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AOM8s3s7Frh8UJMGvXqnUbBFZKLYf1v9qk0/cFrvZyM="/>
    </ext>
  </extLst>
</workbook>
</file>

<file path=xl/sharedStrings.xml><?xml version="1.0" encoding="utf-8"?>
<sst xmlns="http://schemas.openxmlformats.org/spreadsheetml/2006/main" count="978" uniqueCount="657">
  <si>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</si>
  <si>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</si>
  <si>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</si>
  <si>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</si>
  <si>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</si>
  <si>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</si>
  <si>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</si>
  <si>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relevant</t>
  </si>
  <si>
    <t>read_only</t>
  </si>
  <si>
    <t>calculation</t>
  </si>
  <si>
    <t>hint::English(en)</t>
  </si>
  <si>
    <t>hint::Hindi(hi)</t>
  </si>
  <si>
    <t>hint::Gujarati(gu)</t>
  </si>
  <si>
    <t>hint::Kannada(kn)</t>
  </si>
  <si>
    <t>appearance</t>
  </si>
  <si>
    <t>parameters</t>
  </si>
  <si>
    <t>required</t>
  </si>
  <si>
    <t>constraint</t>
  </si>
  <si>
    <t>constraint_message::English(en)</t>
  </si>
  <si>
    <t>constraint_message::Hindi(hi)</t>
  </si>
  <si>
    <t>constraint_message::Gujarati(gu)</t>
  </si>
  <si>
    <t>constraint_message::Kannada(kn)</t>
  </si>
  <si>
    <t>start</t>
  </si>
  <si>
    <t>end</t>
  </si>
  <si>
    <t>today</t>
  </si>
  <si>
    <t>deviceid</t>
  </si>
  <si>
    <t>text</t>
  </si>
  <si>
    <t>beneficiary_settlement</t>
  </si>
  <si>
    <t>Name of Beneficiary's Settlement</t>
  </si>
  <si>
    <t xml:space="preserve">लाभ मिलने वाला टोला का नाम </t>
  </si>
  <si>
    <t xml:space="preserve">ಫಲಾನುಭವಿಯ ಹೆಸರು </t>
  </si>
  <si>
    <t>yes</t>
  </si>
  <si>
    <t>select_one demand</t>
  </si>
  <si>
    <t>demand_type</t>
  </si>
  <si>
    <t>Type of demand</t>
  </si>
  <si>
    <t>ಬೇಡಿಕೆಯ ಪ್ರಕಾರ</t>
  </si>
  <si>
    <t>Beneficiary_Name</t>
  </si>
  <si>
    <t>Beneficiary's Name</t>
  </si>
  <si>
    <t>लाभार्थी का नाम</t>
  </si>
  <si>
    <t>ಫಲಾನುಭವಿಯ ಹೆಸರು</t>
  </si>
  <si>
    <t>${demand_type}='Individual_demand'</t>
  </si>
  <si>
    <t>select_one gender</t>
  </si>
  <si>
    <t>select_gender</t>
  </si>
  <si>
    <t>Gender</t>
  </si>
  <si>
    <t>ಲಿಂಗ</t>
  </si>
  <si>
    <t>ben_father</t>
  </si>
  <si>
    <t>Beneficiary's Father/Husband name</t>
  </si>
  <si>
    <t>लाभार्थी के पिता का नाम</t>
  </si>
  <si>
    <t>ಫಲಾನುಭವಿಯ ತಂದೆಯ ಹೆಸರು</t>
  </si>
  <si>
    <t>integer</t>
  </si>
  <si>
    <t>Beneficiary_Contact_Number</t>
  </si>
  <si>
    <t>Beneficiary's Contact Number</t>
  </si>
  <si>
    <t>लाभार्थी का फोन नंबर</t>
  </si>
  <si>
    <t>ಫಲಾನುಭವಿಯ ಸಂಪರ್ಕ ಸಂಖ್ಯೆ</t>
  </si>
  <si>
    <t>regex(., '^(\\+?91[ -]?)?0?[6-9][0-9]{2}[ -]?[0-9]{3}[ -]?[0-9]{4}$')</t>
  </si>
  <si>
    <t>Enter a phone number (format: 9876543210)</t>
  </si>
  <si>
    <t>ಫೋನ್ ಸಂಖ್ಯೆಯನ್ನು ನಮೂದಿಸಿ (ಸ್ವರೂಪ: 9876543210)</t>
  </si>
  <si>
    <t>select_one yes_no</t>
  </si>
  <si>
    <t>past_repair</t>
  </si>
  <si>
    <t>Any past repair or maintenance work done on this structure?</t>
  </si>
  <si>
    <t>ಈ ರಚನೆಯ ಮೇಲೆ ಹಿಂದೆ ಯಾವುದಾದರೂ ದುರಸ್ತಿ ಅಥವಾ ನಿರ್ವಹಣಾ ಕೆಲಸ ನಡೆದಿದೆಯೇ?</t>
  </si>
  <si>
    <t>${demand_type}='Community_demand' or ${demand_type}='Individual_demand'</t>
  </si>
  <si>
    <t>select_one recharge_structure</t>
  </si>
  <si>
    <t>select_one_recharge_structure</t>
  </si>
  <si>
    <t xml:space="preserve">Select the visible repairs or maintenance issues for the recharge structures?
</t>
  </si>
  <si>
    <t>रिचार्ज स्ट्रक्चर में किस प्रकार की मरम्मत या रखरखाव की जरूरत है उनका चयन करें?</t>
  </si>
  <si>
    <t>ರೀಚಾರ್ಜ್ ರಚನೆಗಳಿಗೆ ಗೋಚರಿಸುವ ರಿಪೇರಿ ಅಥವಾ ನಿರ್ವಹಣಾ ಸಮಸ್ಯೆಗಳನ್ನು ಆಯ್ಕೆ ಮಾಡುವುದೇ?</t>
  </si>
  <si>
    <r>
      <rPr>
        <rFont val="Arial"/>
        <color theme="1"/>
        <sz val="11.0"/>
      </rPr>
      <t>select_multiple c</t>
    </r>
    <r>
      <rPr>
        <rFont val="Arial"/>
        <color rgb="FF333333"/>
        <sz val="11.0"/>
      </rPr>
      <t>heck_dam or_other</t>
    </r>
  </si>
  <si>
    <t>select_one_check_dam</t>
  </si>
  <si>
    <t>Repair of check dam</t>
  </si>
  <si>
    <t>चेक डैम की मरम्मत</t>
  </si>
  <si>
    <t>ಚೆಕ್ ಡ್ಯಾಂ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</si>
  <si>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Check dam’</t>
    </r>
  </si>
  <si>
    <t>select_one Soil</t>
  </si>
  <si>
    <t>select_one_soil_cd</t>
  </si>
  <si>
    <t>Type of Soil</t>
  </si>
  <si>
    <t>मिट्टी का प्रकार</t>
  </si>
  <si>
    <t>માટીનો પ્રકાર</t>
  </si>
  <si>
    <t>ಮಣ್ಣಿನ ವಿಧ</t>
  </si>
  <si>
    <t>selected(${select_one_check_dam}, ’De_sitling’)</t>
  </si>
  <si>
    <t>select_one silt</t>
  </si>
  <si>
    <t>Select_one_silt_cd</t>
  </si>
  <si>
    <t>Amount of Silt</t>
  </si>
  <si>
    <t>गाद का ढेर</t>
  </si>
  <si>
    <t>કાંપનો પર્વત</t>
  </si>
  <si>
    <t>ಸಿಲ್ಟ್ ಪರ್ವತ</t>
  </si>
  <si>
    <r>
      <rPr>
        <rFont val="Arial"/>
        <color theme="1"/>
        <sz val="11.0"/>
      </rPr>
      <t>select_multiple e</t>
    </r>
    <r>
      <rPr>
        <rFont val="Arial"/>
        <color rgb="FF333333"/>
        <sz val="11.0"/>
      </rPr>
      <t>arthen_gully_plug or_other</t>
    </r>
  </si>
  <si>
    <r>
      <rPr>
        <rFont val="Arial"/>
        <color theme="1"/>
        <sz val="11.0"/>
      </rPr>
      <t>select_one_e</t>
    </r>
    <r>
      <rPr>
        <rFont val="Arial"/>
        <color rgb="FF333333"/>
        <sz val="11.0"/>
      </rPr>
      <t>arthen_gully_plug</t>
    </r>
  </si>
  <si>
    <r>
      <rPr>
        <rFont val="Arial"/>
        <color theme="1"/>
        <sz val="11.0"/>
      </rPr>
      <t>Repair of e</t>
    </r>
    <r>
      <rPr>
        <rFont val="Arial"/>
        <color rgb="FF333333"/>
        <sz val="11.0"/>
      </rPr>
      <t>arthen gully plug</t>
    </r>
  </si>
  <si>
    <t>अर्थन गली प्लग की मरम्मत</t>
  </si>
  <si>
    <t>ಮಣ್ಣಿನಿಂದ ಮಾಡಿರುವ ಪ್ಲಗ್ ದುರಸ್ತಿಯನ್ನು ಮಾಡುವದು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</si>
  <si>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Earthen gully plug’</t>
    </r>
  </si>
  <si>
    <r>
      <rPr>
        <rFont val="Arial"/>
        <color theme="1"/>
        <sz val="11.0"/>
      </rPr>
      <t>select_multiple p</t>
    </r>
    <r>
      <rPr>
        <rFont val="Arial"/>
        <color rgb="FF333333"/>
        <sz val="11.0"/>
      </rPr>
      <t>ercolation_tank or_other</t>
    </r>
  </si>
  <si>
    <r>
      <rPr>
        <rFont val="Arial"/>
        <color theme="1"/>
        <sz val="11.0"/>
      </rPr>
      <t>select_one_p</t>
    </r>
    <r>
      <rPr>
        <rFont val="Arial"/>
        <color rgb="FF333333"/>
        <sz val="11.0"/>
      </rPr>
      <t>ercolation_tank</t>
    </r>
  </si>
  <si>
    <r>
      <rPr>
        <rFont val="Arial"/>
        <color theme="1"/>
        <sz val="11.0"/>
      </rPr>
      <t>Repair of p</t>
    </r>
    <r>
      <rPr>
        <rFont val="Arial"/>
        <color rgb="FF333333"/>
        <sz val="11.0"/>
      </rPr>
      <t>ercolation_tank</t>
    </r>
  </si>
  <si>
    <t>परकोलेशन टैंक की मरम्मत</t>
  </si>
  <si>
    <t>ಒಳಚರಂಡಿ ಟ್ಯಾಂಕ್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</si>
  <si>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Percolation tank’</t>
    </r>
  </si>
  <si>
    <t>select_one_soil_pt</t>
  </si>
  <si>
    <t>selected(${select_one_percolation_tank}, ’De_sitling’)</t>
  </si>
  <si>
    <t>Select_one_silt_pt</t>
  </si>
  <si>
    <t>select_multiple drainage_channels or_other</t>
  </si>
  <si>
    <r>
      <rPr>
        <rFont val="Arial"/>
        <color theme="1"/>
        <sz val="11.0"/>
      </rPr>
      <t>select_one_d</t>
    </r>
    <r>
      <rPr>
        <rFont val="Arial"/>
        <color rgb="FF000000"/>
        <sz val="11.0"/>
      </rPr>
      <t>rainage_soakage_channels</t>
    </r>
  </si>
  <si>
    <r>
      <rPr>
        <rFont val="Arial"/>
        <color theme="1"/>
        <sz val="11.0"/>
      </rPr>
      <t>Repair of d</t>
    </r>
    <r>
      <rPr>
        <rFont val="Arial"/>
        <color rgb="FF000000"/>
        <sz val="11.0"/>
      </rPr>
      <t>rainage/soakage channels</t>
    </r>
  </si>
  <si>
    <t>नाली /सोख्ता नाली की मरम्मत</t>
  </si>
  <si>
    <t>ಒಳಚರಂಡಿ/ನೀರು ನಾಲೆಗಳ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</si>
  <si>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}=’Drainage/soakage channels</t>
    </r>
    <r>
      <rPr>
        <rFont val="Arial"/>
        <color rgb="FF333333"/>
        <sz val="11.0"/>
      </rPr>
      <t>’</t>
    </r>
  </si>
  <si>
    <t>select_multiple recharge_pits or_other</t>
  </si>
  <si>
    <t>select_one_recharge_pits</t>
  </si>
  <si>
    <r>
      <rPr>
        <rFont val="Arial"/>
        <color theme="1"/>
        <sz val="11.0"/>
      </rPr>
      <t>Repair of r</t>
    </r>
    <r>
      <rPr>
        <rFont val="Arial"/>
        <color rgb="FF000000"/>
        <sz val="11.0"/>
      </rPr>
      <t>echarge pits</t>
    </r>
  </si>
  <si>
    <t>रिचार्ज पिट्स की मरम्मत</t>
  </si>
  <si>
    <t>ಮರುಪೂರಣ ಗುಂಡಿಗಳ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</si>
  <si>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}=’Recharge pits</t>
    </r>
    <r>
      <rPr>
        <rFont val="Arial"/>
        <color rgb="FF333333"/>
        <sz val="11.0"/>
      </rPr>
      <t>’</t>
    </r>
  </si>
  <si>
    <t>select_one_soil_rp</t>
  </si>
  <si>
    <t>selected(${select_one_recharge_pits}, ’De_sitling’)</t>
  </si>
  <si>
    <t>Select_one_silt_rp</t>
  </si>
  <si>
    <t>select_multiple sokage_pits or_other</t>
  </si>
  <si>
    <t>select_one_sokage_pits</t>
  </si>
  <si>
    <r>
      <rPr>
        <rFont val="Arial"/>
        <color theme="1"/>
        <sz val="11.0"/>
      </rPr>
      <t>Repair of s</t>
    </r>
    <r>
      <rPr>
        <rFont val="Arial"/>
        <color rgb="FF000000"/>
        <sz val="11.0"/>
      </rPr>
      <t>okage pits</t>
    </r>
  </si>
  <si>
    <t>सोख्ता गड्ढे की मरम्मत</t>
  </si>
  <si>
    <t>ಸೋಕೇಜ್ ಹೊಂಡಗಳ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</si>
  <si>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}=’Sokage pits</t>
    </r>
    <r>
      <rPr>
        <rFont val="Arial"/>
        <color rgb="FF333333"/>
        <sz val="11.0"/>
      </rPr>
      <t>’</t>
    </r>
  </si>
  <si>
    <t>select_one_soil_sp</t>
  </si>
  <si>
    <t>selected(${select_one_sokage_pits}, ’De_sitling’)</t>
  </si>
  <si>
    <t>Select_one_silt_sp</t>
  </si>
  <si>
    <t>select_multiple trench_cum_bund_network or_other</t>
  </si>
  <si>
    <t>select_one_trench_cum_bund_network</t>
  </si>
  <si>
    <r>
      <rPr>
        <rFont val="Arial"/>
        <color theme="1"/>
        <sz val="11.0"/>
      </rPr>
      <t>Repair of t</t>
    </r>
    <r>
      <rPr>
        <rFont val="Arial"/>
        <color rgb="FF000000"/>
        <sz val="11.0"/>
      </rPr>
      <t>rench cum bund network</t>
    </r>
  </si>
  <si>
    <t>ट्रेंच /बाँध की मरम्मत</t>
  </si>
  <si>
    <t>ಕಂದಕ ಮತ್ತು ಬಂದರು 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</si>
  <si>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}=’Trench cum bund network</t>
    </r>
    <r>
      <rPr>
        <rFont val="Arial"/>
        <color rgb="FF333333"/>
        <sz val="11.0"/>
      </rPr>
      <t>’</t>
    </r>
  </si>
  <si>
    <t>select_one_soil_trench</t>
  </si>
  <si>
    <t>selected(${select_one_trench_cum_bund_network}, ’De_sitling’)</t>
  </si>
  <si>
    <t>Select_one_silt_trench</t>
  </si>
  <si>
    <r>
      <rPr>
        <rFont val="Arial"/>
        <color theme="1"/>
        <sz val="11.0"/>
      </rPr>
      <t>select_multiple c</t>
    </r>
    <r>
      <rPr>
        <rFont val="Arial"/>
        <color rgb="FF333333"/>
        <sz val="11.0"/>
      </rPr>
      <t>ontinuous_contour_trenches or_other</t>
    </r>
  </si>
  <si>
    <r>
      <rPr>
        <rFont val="Arial"/>
        <color theme="1"/>
        <sz val="11.0"/>
      </rPr>
      <t>select_one_c</t>
    </r>
    <r>
      <rPr>
        <rFont val="Arial"/>
        <color rgb="FF333333"/>
        <sz val="11.0"/>
      </rPr>
      <t>ontinuous_contour_trenches</t>
    </r>
  </si>
  <si>
    <r>
      <rPr>
        <rFont val="Arial"/>
        <color theme="1"/>
        <sz val="11.0"/>
      </rPr>
      <t>Repair of c</t>
    </r>
    <r>
      <rPr>
        <rFont val="Arial"/>
        <color rgb="FF333333"/>
        <sz val="11.0"/>
      </rPr>
      <t>ontinuous contour trenches (CCT)</t>
    </r>
  </si>
  <si>
    <t>कन्टिन्यूवस कंटूर ट्रेंच (CCT) की मरम्मत</t>
  </si>
  <si>
    <t>ನಿರಂತರ ಕಾಂಟೂರ್ ಕಂದಕಗಳ ದುರಸ್ತಿ (ಸಿಸಿಟಿ)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</si>
  <si>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Continuous contour trenches (CCT)’</t>
    </r>
  </si>
  <si>
    <t>select_one_soil_cct</t>
  </si>
  <si>
    <t>selected(${select_one_continuous_contour_trenches}, ’De_sitling’)</t>
  </si>
  <si>
    <t>Select_one_silt_cct</t>
  </si>
  <si>
    <r>
      <rPr>
        <rFont val="Arial"/>
        <color theme="1"/>
        <sz val="11.0"/>
      </rPr>
      <t>select_multiple s</t>
    </r>
    <r>
      <rPr>
        <rFont val="Arial"/>
        <color rgb="FF333333"/>
        <sz val="11.0"/>
      </rPr>
      <t>taggered_contour_trenches or_other</t>
    </r>
  </si>
  <si>
    <r>
      <rPr>
        <rFont val="Arial"/>
        <color theme="1"/>
        <sz val="11.0"/>
      </rPr>
      <t>select_one_s</t>
    </r>
    <r>
      <rPr>
        <rFont val="Arial"/>
        <color rgb="FF333333"/>
        <sz val="11.0"/>
      </rPr>
      <t>taggered_contour_trenches</t>
    </r>
  </si>
  <si>
    <r>
      <rPr>
        <rFont val="Arial"/>
        <color theme="1"/>
        <sz val="11.0"/>
      </rPr>
      <t>Repair of s</t>
    </r>
    <r>
      <rPr>
        <rFont val="Arial"/>
        <color rgb="FF333333"/>
        <sz val="11.0"/>
      </rPr>
      <t>taggered Contour trenches (SCT)</t>
    </r>
  </si>
  <si>
    <t>स्टैगर्ड कंटूर ट्रेंच (SCT) की मरम्मत</t>
  </si>
  <si>
    <t>ಅಡ್ಡಾದಿಡ್ಡಿಯಾಗಿ ಜೋಡಿಸಲಾದ ಬಾಹ್ಯರೇಖೆ ಕಂದಕಗಳ (SCT)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</si>
  <si>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Staggered Contour trenches(SCT)’</t>
    </r>
  </si>
  <si>
    <t>select_one_soil_sct</t>
  </si>
  <si>
    <t>selected(${select_one_staggered_contour_trenches}, ’De_sitling’)</t>
  </si>
  <si>
    <t>Select_one_silt_sct</t>
  </si>
  <si>
    <r>
      <rPr>
        <rFont val="Arial"/>
        <color theme="1"/>
        <sz val="11.0"/>
      </rPr>
      <t>select_multiple w</t>
    </r>
    <r>
      <rPr>
        <rFont val="Arial"/>
        <color rgb="FF333333"/>
        <sz val="11.0"/>
      </rPr>
      <t>ater_absorption_trenches or_other</t>
    </r>
  </si>
  <si>
    <r>
      <rPr>
        <rFont val="Arial"/>
        <color theme="1"/>
        <sz val="11.0"/>
      </rPr>
      <t>select_one_w</t>
    </r>
    <r>
      <rPr>
        <rFont val="Arial"/>
        <color rgb="FF333333"/>
        <sz val="11.0"/>
      </rPr>
      <t>ater_absorption_trenches</t>
    </r>
  </si>
  <si>
    <r>
      <rPr>
        <rFont val="Arial"/>
        <color theme="1"/>
        <sz val="11.0"/>
      </rPr>
      <t>Repair of w</t>
    </r>
    <r>
      <rPr>
        <rFont val="Arial"/>
        <color rgb="FF333333"/>
        <sz val="11.0"/>
      </rPr>
      <t>ater absorption trenches (WAT)</t>
    </r>
  </si>
  <si>
    <t>वॉटर ऑब्जॉप्सन ट्रेंच (WAT) की मरम्मत</t>
  </si>
  <si>
    <t>ನೀರು ಹೀರಿಕೊಳ್ಳುವ ಕಂದಕಗಳ ದುರಸ್ತಿ (WAT)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</si>
  <si>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Water absorption trenches(WAT)’</t>
    </r>
  </si>
  <si>
    <t>select_one_soil_wat</t>
  </si>
  <si>
    <t>selected(${select_one_water_absorption_trenches}, ’De_sitling’)</t>
  </si>
  <si>
    <t>Select_one_silt_wat</t>
  </si>
  <si>
    <r>
      <rPr>
        <rFont val="Arial"/>
        <color theme="1"/>
        <sz val="11.0"/>
      </rPr>
      <t>select_multiple l</t>
    </r>
    <r>
      <rPr>
        <rFont val="Arial"/>
        <color rgb="FF333333"/>
        <sz val="11.0"/>
      </rPr>
      <t>oose_boulder_structure or_other</t>
    </r>
  </si>
  <si>
    <r>
      <rPr>
        <rFont val="Arial"/>
        <color theme="1"/>
        <sz val="11.0"/>
      </rPr>
      <t>select_one_l</t>
    </r>
    <r>
      <rPr>
        <rFont val="Arial"/>
        <color rgb="FF333333"/>
        <sz val="11.0"/>
      </rPr>
      <t>oose_boulder_structure</t>
    </r>
  </si>
  <si>
    <r>
      <rPr>
        <rFont val="Arial"/>
        <color theme="1"/>
        <sz val="11.0"/>
      </rPr>
      <t>Repair of l</t>
    </r>
    <r>
      <rPr>
        <rFont val="Arial"/>
        <color rgb="FF333333"/>
        <sz val="11.0"/>
      </rPr>
      <t>oose boulder structure</t>
    </r>
  </si>
  <si>
    <t>लूज़ बोल्डर स्ट्रक्चर की मरम्मत</t>
  </si>
  <si>
    <t>ಸಡಿಲವಾದ ಬಂಡೆಯ ರಚನೆಯ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</si>
  <si>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Loose boulder structure’</t>
    </r>
  </si>
  <si>
    <r>
      <rPr>
        <rFont val="Arial"/>
        <color theme="1"/>
        <sz val="11.0"/>
      </rPr>
      <t>select_multiple r</t>
    </r>
    <r>
      <rPr>
        <rFont val="Arial"/>
        <color rgb="FF333333"/>
        <sz val="11.0"/>
      </rPr>
      <t>ock_fill_dam or_other</t>
    </r>
  </si>
  <si>
    <r>
      <rPr>
        <rFont val="Arial"/>
        <color theme="1"/>
        <sz val="11.0"/>
      </rPr>
      <t>select_one_r</t>
    </r>
    <r>
      <rPr>
        <rFont val="Arial"/>
        <color rgb="FF333333"/>
        <sz val="11.0"/>
      </rPr>
      <t>ock_fill_dam</t>
    </r>
  </si>
  <si>
    <r>
      <rPr>
        <rFont val="Arial"/>
        <color theme="1"/>
        <sz val="11.0"/>
      </rPr>
      <t>Repair of r</t>
    </r>
    <r>
      <rPr>
        <rFont val="Arial"/>
        <color rgb="FF333333"/>
        <sz val="11.0"/>
      </rPr>
      <t>ock fill dam</t>
    </r>
  </si>
  <si>
    <t>रॉक फिल बांध की मरम्मत</t>
  </si>
  <si>
    <t>ಕಲ್ಲು ತುಂಬಿದ ಅಣೆಕಟ್ಟು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</si>
  <si>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Rock fill dam’</t>
    </r>
  </si>
  <si>
    <t>select_one_soil_rfd</t>
  </si>
  <si>
    <t>selected(${select_one_rock_fill_dam}, ’De_sitling’)</t>
  </si>
  <si>
    <t>Select_one_silt_rfd</t>
  </si>
  <si>
    <r>
      <rPr>
        <rFont val="Arial"/>
        <color theme="1"/>
        <sz val="11.0"/>
      </rPr>
      <t>select_multiple s</t>
    </r>
    <r>
      <rPr>
        <rFont val="Arial"/>
        <color rgb="FF333333"/>
        <sz val="11.0"/>
      </rPr>
      <t>tone_bunding or_other</t>
    </r>
  </si>
  <si>
    <r>
      <rPr>
        <rFont val="Arial"/>
        <color theme="1"/>
        <sz val="11.0"/>
      </rPr>
      <t>select_one_s</t>
    </r>
    <r>
      <rPr>
        <rFont val="Arial"/>
        <color rgb="FF333333"/>
        <sz val="11.0"/>
      </rPr>
      <t>tone_bunding</t>
    </r>
  </si>
  <si>
    <r>
      <rPr>
        <rFont val="Arial"/>
        <color theme="1"/>
        <sz val="11.0"/>
      </rPr>
      <t>Repair of s</t>
    </r>
    <r>
      <rPr>
        <rFont val="Arial"/>
        <color rgb="FF333333"/>
        <sz val="11.0"/>
      </rPr>
      <t>tone bunding</t>
    </r>
  </si>
  <si>
    <t>पत्थर बांध की मरम्मत</t>
  </si>
  <si>
    <t>ಕಲ್ಲು ಬಂಡೆಗಳ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</si>
  <si>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Stone bunding’</t>
    </r>
  </si>
  <si>
    <t>select_one_soil_sb</t>
  </si>
  <si>
    <t>selected(${select_one_stone_bunding}, ’De_sitling’)</t>
  </si>
  <si>
    <t>Select_one_silt_sb</t>
  </si>
  <si>
    <r>
      <rPr>
        <rFont val="Arial"/>
        <color theme="1"/>
        <sz val="11.0"/>
      </rPr>
      <t>select_multiple d</t>
    </r>
    <r>
      <rPr>
        <rFont val="Arial"/>
        <color rgb="FF333333"/>
        <sz val="11.0"/>
      </rPr>
      <t>iversion_drains or_other</t>
    </r>
  </si>
  <si>
    <r>
      <rPr>
        <rFont val="Arial"/>
        <color theme="1"/>
        <sz val="11.0"/>
      </rPr>
      <t>select_one_d</t>
    </r>
    <r>
      <rPr>
        <rFont val="Arial"/>
        <color rgb="FF333333"/>
        <sz val="11.0"/>
      </rPr>
      <t>iversion_drains</t>
    </r>
  </si>
  <si>
    <r>
      <rPr>
        <rFont val="Arial"/>
        <color theme="1"/>
        <sz val="11.0"/>
      </rPr>
      <t>Repair of d</t>
    </r>
    <r>
      <rPr>
        <rFont val="Arial"/>
        <color rgb="FF333333"/>
        <sz val="11.0"/>
      </rPr>
      <t>iversion drains</t>
    </r>
  </si>
  <si>
    <t>डायवर्जन नालियों की मरम्मत</t>
  </si>
  <si>
    <t>ತಿರುವು ಚರಂಡಿಗಳ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</si>
  <si>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Diversion drains’</t>
    </r>
  </si>
  <si>
    <t>select_one_soil_dd</t>
  </si>
  <si>
    <t>selected(${select_one_diversion_drains}, ’De_sitling’)</t>
  </si>
  <si>
    <t>Select_one_silt_dd</t>
  </si>
  <si>
    <r>
      <rPr>
        <rFont val="Arial"/>
        <color theme="1"/>
        <sz val="11.0"/>
      </rPr>
      <t>select_multiple b</t>
    </r>
    <r>
      <rPr>
        <rFont val="Arial"/>
        <color rgb="FF333333"/>
        <sz val="11.0"/>
      </rPr>
      <t>unding or_other</t>
    </r>
  </si>
  <si>
    <r>
      <rPr>
        <rFont val="Arial"/>
        <color theme="1"/>
        <sz val="11.0"/>
      </rPr>
      <t>select_one_b</t>
    </r>
    <r>
      <rPr>
        <rFont val="Arial"/>
        <color rgb="FF333333"/>
        <sz val="11.0"/>
      </rPr>
      <t>unding</t>
    </r>
  </si>
  <si>
    <r>
      <rPr>
        <rFont val="Arial"/>
        <color theme="1"/>
        <sz val="11.0"/>
      </rPr>
      <t>Repair of b</t>
    </r>
    <r>
      <rPr>
        <rFont val="Arial"/>
        <color rgb="FF333333"/>
        <sz val="11.0"/>
      </rPr>
      <t>unding:Contour bunds/ graded bunds</t>
    </r>
  </si>
  <si>
    <t>मेड़बंदी: समोच्च बाँध/श्रेणीबद्ध बाँध की मरम्मत</t>
  </si>
  <si>
    <t>ಬದುಗಳ ದುರಸ್ತಿ: ಬಾಹ್ಯರೇಖೆ ಬದುಗಳು/ಶ್ರೇಣೀಕೃತ ಬದುಗಳು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</si>
  <si>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333333"/>
        <sz val="11.0"/>
      </rPr>
      <t>Bunding:Contour bunds/ graded bunds’</t>
    </r>
  </si>
  <si>
    <t>select_one_soil_bunding</t>
  </si>
  <si>
    <t>selected(${select_one_bunding}, ’De_sitling’)</t>
  </si>
  <si>
    <t>Select_one_silt_bunding</t>
  </si>
  <si>
    <t>select_multiple model5_structure or_other</t>
  </si>
  <si>
    <t>select_one_model5_structure</t>
  </si>
  <si>
    <r>
      <rPr>
        <rFont val="Arial"/>
        <color theme="1"/>
        <sz val="11.0"/>
      </rPr>
      <t xml:space="preserve">Repair of </t>
    </r>
    <r>
      <rPr>
        <rFont val="Arial"/>
        <color rgb="FF000000"/>
        <sz val="11.0"/>
      </rPr>
      <t>5% model structure</t>
    </r>
  </si>
  <si>
    <t>5% मॉडल स्ट्रक्चर की मरम्मत</t>
  </si>
  <si>
    <t>5% ಮಾದರಿ ರಚನೆಯ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</si>
  <si>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000000"/>
        <sz val="11.0"/>
      </rPr>
      <t>5% model structure</t>
    </r>
    <r>
      <rPr>
        <rFont val="Arial"/>
        <color rgb="FF333333"/>
        <sz val="11.0"/>
      </rPr>
      <t>’</t>
    </r>
  </si>
  <si>
    <t>select_one_soil_model5</t>
  </si>
  <si>
    <t>selected(${select_one_model5_structure}, ’De_sitling’)</t>
  </si>
  <si>
    <t>Select_one_silt_model5</t>
  </si>
  <si>
    <t>select_multiple model30_40_structure or_other</t>
  </si>
  <si>
    <t xml:space="preserve">select_one_model30_40_structure </t>
  </si>
  <si>
    <r>
      <rPr>
        <rFont val="Arial"/>
        <color theme="1"/>
        <sz val="11.0"/>
      </rPr>
      <t xml:space="preserve">Repair of </t>
    </r>
    <r>
      <rPr>
        <rFont val="Arial"/>
        <color rgb="FF000000"/>
        <sz val="11.0"/>
      </rPr>
      <t xml:space="preserve">30-40 model structure </t>
    </r>
  </si>
  <si>
    <t>30-40 मॉडल स्ट्रक्चर की मरम्मत</t>
  </si>
  <si>
    <t>30-40 ಮಾದರಿ ರಚನೆಯ ದುರಸ್ತಿ</t>
  </si>
  <si>
    <r>
      <rPr>
        <rFont val="Arial"/>
        <color rgb="FF000000"/>
        <sz val="11.0"/>
      </rPr>
      <t>${</t>
    </r>
    <r>
      <rPr>
        <rFont val="Arial"/>
        <color rgb="FF000000"/>
        <sz val="11.0"/>
      </rPr>
      <t>select_one_recharge_structure</t>
    </r>
    <r>
      <rPr>
        <rFont val="Arial"/>
        <color rgb="FF000000"/>
        <sz val="11.0"/>
      </rPr>
      <t>}=’</t>
    </r>
    <r>
      <rPr>
        <rFont val="Arial"/>
        <color rgb="FF000000"/>
        <sz val="11.0"/>
      </rPr>
      <t>30-40 model structure</t>
    </r>
    <r>
      <rPr>
        <rFont val="Arial"/>
        <color rgb="FF333333"/>
        <sz val="11.0"/>
      </rPr>
      <t>’</t>
    </r>
  </si>
  <si>
    <t>select_one_soil_model30</t>
  </si>
  <si>
    <t>selected(${select_one_model30_40_structure}, ’De_sitling’)</t>
  </si>
  <si>
    <t>Select_one_silt_mode30</t>
  </si>
  <si>
    <t>image</t>
  </si>
  <si>
    <t>image_widget</t>
  </si>
  <si>
    <t>Photo of the area</t>
  </si>
  <si>
    <t>क्षेत्र का फोटो</t>
  </si>
  <si>
    <t>ಪ್ರದೇಶದ ಫೋಟೋ</t>
  </si>
  <si>
    <t>max-pixels=3000</t>
  </si>
  <si>
    <t>audio</t>
  </si>
  <si>
    <t>audio_record</t>
  </si>
  <si>
    <t>Record a message justifying the need of maintenance of the recharge structure at this location</t>
  </si>
  <si>
    <t>इस स्थान पर रिचार्ज स्ट्रक्चर का रख रखाव की आवश्यकता क्यों है, यह बताते हुए एक संदेश रिकॉर्ड करें</t>
  </si>
  <si>
    <t>ಈ ಸ್ಥಳದಲ್ಲಿ ರೀಚಾರ್ಜ್ ರಚನೆಯ ನಿರ್ವಹಣೆಯ ಅಗತ್ಯವನ್ನು ಸಮರ್ಥಿಸುವ ಸಂದೇಶವನ್ನು ರೆಕಾರ್ಡ್ ಮಾಡಿ.</t>
  </si>
  <si>
    <t>text_record</t>
  </si>
  <si>
    <t>If you cannot record, write down the justification for the need of maintenance of recharge structure at this location</t>
  </si>
  <si>
    <t>यदि आप रिकॉर्ड नहीं कर सकते हैं, तो इस स्थान पर पुनर्भरण संरचना के रखरखाव की आवश्यकता के लिए औचित्य लिखें</t>
  </si>
  <si>
    <t>false()</t>
  </si>
  <si>
    <t>note</t>
  </si>
  <si>
    <t>main_rs_note_1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</si>
  <si>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</si>
  <si>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</si>
  <si>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 ಈ ಅಂಶವನ್ನು ಮೀರಿ ಏನನ್ನೂ ಮಾರ್ಪಡಿಸಬೇಡಿ ಮತ್ತು ನಿಮ್ಮ ಫಾರ್ಮ್ ಡೇಟಾವನ್ನು ಸಲ್ಲಿಸಿ&lt;/span&gt;</t>
  </si>
  <si>
    <t>begin_group</t>
  </si>
  <si>
    <t>GPS_point</t>
  </si>
  <si>
    <t>Lat/Lon</t>
  </si>
  <si>
    <t>अक्षांश/देशांतर</t>
  </si>
  <si>
    <t>ಅಕ್ಷಾಂಶ/ಲೋನ್</t>
  </si>
  <si>
    <t>compact</t>
  </si>
  <si>
    <t>main_rs_note_2</t>
  </si>
  <si>
    <t>&lt;span style="color:red"&gt;PLEASE DO NOT SPAN AROUND IN THE MAP BELOW&lt;/span&gt;</t>
  </si>
  <si>
    <t>&lt;span style="color:red"&gt;कृपया नीचे दिए गए नक्शे में इधर-उधर न घूमें&lt;/span&gt;</t>
  </si>
  <si>
    <t>&lt;span style="color:red"&gt;ದಯವಿಟ್ಟು ಕೆಳಗಿನ ನಕ್ಷೆಯಲ್ಲಿ ಹರಡಬೇಡಿ&lt;/span&gt;</t>
  </si>
  <si>
    <t>geopoint</t>
  </si>
  <si>
    <t>point_mapsappearance</t>
  </si>
  <si>
    <t>जियोपॉइंट</t>
  </si>
  <si>
    <t>maps</t>
  </si>
  <si>
    <t>end_group</t>
  </si>
  <si>
    <t>block_name</t>
  </si>
  <si>
    <t>Block name</t>
  </si>
  <si>
    <t>ब्लॉक का नाम</t>
  </si>
  <si>
    <t>ತಾಲ್ಲೂಕಿನ ಹೆಸರು</t>
  </si>
  <si>
    <t>corresponding_work_id</t>
  </si>
  <si>
    <t>Corresponding Work ID</t>
  </si>
  <si>
    <t xml:space="preserve">सम्बंधित कार्य का आईडी </t>
  </si>
  <si>
    <t>ಕೆಲಸದ ಗುರುತಿನ ಸಂಖ್ಯೆ</t>
  </si>
  <si>
    <t>plan_id</t>
  </si>
  <si>
    <t>Plan ID</t>
  </si>
  <si>
    <t>योजना का आईडी</t>
  </si>
  <si>
    <t>ಯೋಜನೆ ಐಡಿ</t>
  </si>
  <si>
    <t>hidden</t>
  </si>
  <si>
    <t>plan_name</t>
  </si>
  <si>
    <t>Plan name</t>
  </si>
  <si>
    <t>योजना का नाम</t>
  </si>
  <si>
    <t>ಯೋಜನೆಯ ಹೆಸರು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</si>
  <si>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</si>
  <si>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</si>
  <si>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</si>
  <si>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</si>
  <si>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work_id</t>
  </si>
  <si>
    <t>Work ID</t>
  </si>
  <si>
    <t>कार्य आईडी</t>
  </si>
  <si>
    <t>ಕೆಲಸದ ಐಡಿ</t>
  </si>
  <si>
    <t>once(uuid(10))</t>
  </si>
  <si>
    <t>list_name</t>
  </si>
  <si>
    <t>activities</t>
  </si>
  <si>
    <t>Yes</t>
  </si>
  <si>
    <t xml:space="preserve">हाँ </t>
  </si>
  <si>
    <t>ಹೌದು</t>
  </si>
  <si>
    <t>no</t>
  </si>
  <si>
    <t>No</t>
  </si>
  <si>
    <t xml:space="preserve">नहीं </t>
  </si>
  <si>
    <t>ಇಲ್ಲ</t>
  </si>
  <si>
    <t>recharge_structure</t>
  </si>
  <si>
    <t>Check dam</t>
  </si>
  <si>
    <t>चेक डैम</t>
  </si>
  <si>
    <t>ಚೆಕ್ ಡ್ಯಾಮ್</t>
  </si>
  <si>
    <t>Percolation tank</t>
  </si>
  <si>
    <t xml:space="preserve">परकोलेशन टैंक </t>
  </si>
  <si>
    <t>ನೀರಿಿನ ಹೊಂಡ</t>
  </si>
  <si>
    <t>Earthen gully plug</t>
  </si>
  <si>
    <t>अर्थन गली प्लग्स</t>
  </si>
  <si>
    <t>ಮಣ್ಣಿನ ಗಲ್ಲಿ ಪ್ಲಗ್</t>
  </si>
  <si>
    <t>Drainage/soakage channels</t>
  </si>
  <si>
    <t xml:space="preserve">नाली /सोख्ता नाली </t>
  </si>
  <si>
    <t>ಒಳಚರಂಡಿ/ಸೋಕೇಜ್ ಚಾನಲ್‌ಗಳು</t>
  </si>
  <si>
    <t>Recharge pits</t>
  </si>
  <si>
    <t xml:space="preserve">रिचार्ज पिट्स </t>
  </si>
  <si>
    <t>ರೀಚಾರ್ಜ್ ಪಿಟ್‌ಗಳು</t>
  </si>
  <si>
    <t>Sokage pits</t>
  </si>
  <si>
    <t>Soakage pits</t>
  </si>
  <si>
    <t>सोख्ता गड्ढे</t>
  </si>
  <si>
    <t>ಸೋಕೇಜ್ ಹೊಂಡಗಳು</t>
  </si>
  <si>
    <t>Trench cum bund network</t>
  </si>
  <si>
    <t xml:space="preserve">ट्रेंच /बाँध </t>
  </si>
  <si>
    <t>ಕಾಲುವೆ ಮತ್ತು ಬದು</t>
  </si>
  <si>
    <t>Continuous contour trenches (CCT)</t>
  </si>
  <si>
    <t>कन्टिन्यूवस कंटूर ट्रेंच (CCT )</t>
  </si>
  <si>
    <t>ನಿರಂತರ ಕಾಂಟೂರ್ ಕಂದಕಗಳು (CCT)</t>
  </si>
  <si>
    <t>Staggered Contour trenches(SCT)</t>
  </si>
  <si>
    <t>स्टैगर्ड कंटूर ट्रेंच (SCT )</t>
  </si>
  <si>
    <t>ಅಡ್ಡಾದಿಡ್ಡಿಯಾಗಿ ರೂಪುಗೊಂಡ ಬಾಹ್ಯರೇಖೆ ಕಂದಕಗಳು (SCT)</t>
  </si>
  <si>
    <t>Water absorption trenches(WAT)</t>
  </si>
  <si>
    <t>वॉटर अब्सॉर्प्शन ट्रेंच  (WAT)</t>
  </si>
  <si>
    <t>ನೀರು ಹೀರಿಕೊಳ್ಳುವ ಕಂದಕಗಳು (WAT)</t>
  </si>
  <si>
    <t>Loose boulder structure</t>
  </si>
  <si>
    <t xml:space="preserve">लूज बोल्डर स्ट्रक्चर </t>
  </si>
  <si>
    <t>ಸಡಿಲವಾದ ಬಂಡೆಯ ರಚನೆ</t>
  </si>
  <si>
    <t>Rock fill dam</t>
  </si>
  <si>
    <t xml:space="preserve">रॉक फिल डैम </t>
  </si>
  <si>
    <t>ಕಲ್ಲು ತುಂಬಿದ ಅಣೆಕಟ್ಟು</t>
  </si>
  <si>
    <t>Stone bunding</t>
  </si>
  <si>
    <t xml:space="preserve">पत्थर बाँध </t>
  </si>
  <si>
    <t>ಕಲ್ಲು ಬದುಗಳನ್ನು ಹಾಕುವುದು</t>
  </si>
  <si>
    <t>Diversion drains</t>
  </si>
  <si>
    <t xml:space="preserve">डायवर्जन नालियाँ </t>
  </si>
  <si>
    <t>ತಿರುವು ಚರಂಡಿಗಳು</t>
  </si>
  <si>
    <t xml:space="preserve">Bunding:Contour bunds/ graded bunds
</t>
  </si>
  <si>
    <t xml:space="preserve">मेड़बंदी: समोच्च बाँध/श्रेणीबद्ध बाँध </t>
  </si>
  <si>
    <t xml:space="preserve">ಬದು ನಿರ್ಮಾಣ: ಬಾಹ್ಯರೇಖೆ ಬದುಗಳು/ ಶ್ರೇಣೀಕೃತ ಬದುಗಳು
</t>
  </si>
  <si>
    <t>5% model structure</t>
  </si>
  <si>
    <t>5% मॉडल स्ट्रक्चर</t>
  </si>
  <si>
    <t>5% ಮಾದರಿ ರಚನೆ</t>
  </si>
  <si>
    <t xml:space="preserve">30-40 model structure </t>
  </si>
  <si>
    <t xml:space="preserve">30-40 मॉडल स्ट्रक्चर </t>
  </si>
  <si>
    <t>30-40 ಮಾದರಿ ರಚನೆ</t>
  </si>
  <si>
    <r>
      <rPr>
        <rFont val="Arial"/>
        <color theme="1"/>
        <sz val="10.0"/>
      </rPr>
      <t>c</t>
    </r>
    <r>
      <rPr>
        <rFont val="Arial"/>
        <color rgb="FF333333"/>
        <sz val="10.0"/>
      </rPr>
      <t>heck_dam</t>
    </r>
  </si>
  <si>
    <t xml:space="preserve">Erosion_on_the_check_dam
</t>
  </si>
  <si>
    <t>Erosion on the check dam</t>
  </si>
  <si>
    <t>चेक डैम में कटाव</t>
  </si>
  <si>
    <t>ಚೆಕ್ ಡ್ಯಾಂ ಮೇಲೆ ಸವೆತ</t>
  </si>
  <si>
    <r>
      <rPr>
        <rFont val="Arial"/>
        <color theme="1"/>
        <sz val="10.0"/>
      </rPr>
      <t>c</t>
    </r>
    <r>
      <rPr>
        <rFont val="Arial"/>
        <color rgb="FF333333"/>
        <sz val="10.0"/>
      </rPr>
      <t>heck_dam</t>
    </r>
  </si>
  <si>
    <t xml:space="preserve">De_sitling
</t>
  </si>
  <si>
    <t>De sitling</t>
  </si>
  <si>
    <t>डी सिटलिंग</t>
  </si>
  <si>
    <t>ಡಿ ಸಿಟ್ಲಿಂಗ್</t>
  </si>
  <si>
    <r>
      <rPr>
        <rFont val="Arial"/>
        <color theme="1"/>
        <sz val="10.0"/>
      </rPr>
      <t>c</t>
    </r>
    <r>
      <rPr>
        <rFont val="Arial"/>
        <color rgb="FF333333"/>
        <sz val="10.0"/>
      </rPr>
      <t>heck_dam</t>
    </r>
  </si>
  <si>
    <t xml:space="preserve">Structural_damage_on_the_check_dam
</t>
  </si>
  <si>
    <t>Structural damage on the check dam</t>
  </si>
  <si>
    <t>चेक डैम के ढ़ाँचे में टूट-फूट</t>
  </si>
  <si>
    <t>ಚೆಕ್ ಡ್ಯಾಂ ಮೇಲಿನ ರಚನಾತ್ಮಕ ಹಾನಿ</t>
  </si>
  <si>
    <r>
      <rPr>
        <rFont val="Arial"/>
        <color theme="1"/>
        <sz val="10.0"/>
      </rPr>
      <t>l</t>
    </r>
    <r>
      <rPr>
        <rFont val="Arial"/>
        <color rgb="FF333333"/>
        <sz val="10.0"/>
      </rPr>
      <t>oose_boulder_structure</t>
    </r>
  </si>
  <si>
    <t xml:space="preserve">Dislodged_boulders
</t>
  </si>
  <si>
    <t>Dislodged boulders</t>
  </si>
  <si>
    <t xml:space="preserve">उखड़े हुए पत्थर </t>
  </si>
  <si>
    <t>ಸ್ಥಳಾಂತರಗೊಂಡ ಬಂಡೆಗಳು</t>
  </si>
  <si>
    <r>
      <rPr>
        <rFont val="Arial"/>
        <color theme="1"/>
        <sz val="10.0"/>
      </rPr>
      <t>l</t>
    </r>
    <r>
      <rPr>
        <rFont val="Arial"/>
        <color rgb="FF333333"/>
        <sz val="10.0"/>
      </rPr>
      <t>oose_boulder_structure</t>
    </r>
  </si>
  <si>
    <t xml:space="preserve">Grouting 
</t>
  </si>
  <si>
    <t xml:space="preserve">Grouting </t>
  </si>
  <si>
    <t xml:space="preserve">दरार को भरना </t>
  </si>
  <si>
    <t>ಸಿಮೆಂಟ</t>
  </si>
  <si>
    <r>
      <rPr>
        <rFont val="Arial"/>
        <color theme="1"/>
        <sz val="10.0"/>
      </rPr>
      <t>l</t>
    </r>
    <r>
      <rPr>
        <rFont val="Arial"/>
        <color rgb="FF333333"/>
        <sz val="10.0"/>
      </rPr>
      <t>oose_boulder_structure</t>
    </r>
  </si>
  <si>
    <t xml:space="preserve">Erosion_around_boulder_structure
</t>
  </si>
  <si>
    <t>Erosion around boulder structure</t>
  </si>
  <si>
    <t>बोल्डर स्ट्रक्चर के आसपास कटाव</t>
  </si>
  <si>
    <t>ಬಂಡೆಯ ರಚನೆಯ ಸುತ್ತ ಸವೆತ</t>
  </si>
  <si>
    <r>
      <rPr>
        <rFont val="Arial"/>
        <color theme="1"/>
        <sz val="10.0"/>
      </rPr>
      <t>t</t>
    </r>
    <r>
      <rPr>
        <rFont val="Arial"/>
        <color rgb="FF000000"/>
        <sz val="10.0"/>
      </rPr>
      <t>rench_cum_bund_network</t>
    </r>
  </si>
  <si>
    <t>De_sitling</t>
  </si>
  <si>
    <r>
      <rPr>
        <rFont val="Arial"/>
        <color theme="1"/>
        <sz val="10.0"/>
      </rPr>
      <t>t</t>
    </r>
    <r>
      <rPr>
        <rFont val="Arial"/>
        <color rgb="FF000000"/>
        <sz val="10.0"/>
      </rPr>
      <t>rench_cum_bund_network</t>
    </r>
  </si>
  <si>
    <t xml:space="preserve">Water_leakage_in_Bund_due_to_breach
</t>
  </si>
  <si>
    <t>Water leakage in Bund due to breach</t>
  </si>
  <si>
    <t>क्षतिग्रस्त बांध के कारण पानी का रिसाव</t>
  </si>
  <si>
    <t>ಬಂಡ್‌ನಲ್ಲಿ ಬಿರುಕು ಬಿಟ್ಟ ಕಾರಣ ನೀರು ಸೋರಿಕೆ</t>
  </si>
  <si>
    <r>
      <rPr>
        <rFont val="Arial"/>
        <color theme="1"/>
        <sz val="10.0"/>
      </rPr>
      <t>t</t>
    </r>
    <r>
      <rPr>
        <rFont val="Arial"/>
        <color rgb="FF000000"/>
        <sz val="10.0"/>
      </rPr>
      <t>rench_cum_bund_network</t>
    </r>
  </si>
  <si>
    <t xml:space="preserve">Erosion_on_bund
</t>
  </si>
  <si>
    <t>Erosion on bund</t>
  </si>
  <si>
    <t>बांध का कटाव</t>
  </si>
  <si>
    <t>ಏರಿ ಮೇಲಿನ ಸವೆತ</t>
  </si>
  <si>
    <r>
      <rPr>
        <rFont val="Arial"/>
        <color theme="1"/>
        <sz val="10.0"/>
      </rPr>
      <t>p</t>
    </r>
    <r>
      <rPr>
        <rFont val="Arial"/>
        <color rgb="FF333333"/>
        <sz val="10.0"/>
      </rPr>
      <t>ercolation_tank</t>
    </r>
  </si>
  <si>
    <r>
      <rPr>
        <rFont val="Arial"/>
        <color theme="1"/>
        <sz val="10.0"/>
      </rPr>
      <t>p</t>
    </r>
    <r>
      <rPr>
        <rFont val="Arial"/>
        <color rgb="FF333333"/>
        <sz val="10.0"/>
      </rPr>
      <t>ercolation_tank</t>
    </r>
  </si>
  <si>
    <t>Breach_in_embankments</t>
  </si>
  <si>
    <t>Breach in embankments</t>
  </si>
  <si>
    <t>तटबंधों का टूटना</t>
  </si>
  <si>
    <t>ಒಡ್ಡುಗಳಲ್ಲಿ ಬಿರುಕು</t>
  </si>
  <si>
    <r>
      <rPr>
        <rFont val="Arial"/>
        <color theme="1"/>
        <sz val="10.0"/>
      </rPr>
      <t>p</t>
    </r>
    <r>
      <rPr>
        <rFont val="Arial"/>
        <color rgb="FF333333"/>
        <sz val="10.0"/>
      </rPr>
      <t>ercolation_tank</t>
    </r>
  </si>
  <si>
    <t>Erosion_on_tank_bund_or_inlet_outlet</t>
  </si>
  <si>
    <t>Erosion on tank bund or inlet/outlet</t>
  </si>
  <si>
    <t>टैंक बांध या इनलेट/आउटलेट पर कटाव</t>
  </si>
  <si>
    <t>ಟ್ಯಾಂಕ್ ಬಂಡ್ ಅಥವಾ ಒಳಹರಿವು/ಹೊರಹರಿವಿನ ಮೇಲೆ ಸವೆತ</t>
  </si>
  <si>
    <r>
      <rPr>
        <rFont val="Arial"/>
        <color theme="1"/>
        <sz val="10.0"/>
      </rPr>
      <t>p</t>
    </r>
    <r>
      <rPr>
        <rFont val="Arial"/>
        <color rgb="FF333333"/>
        <sz val="10.0"/>
      </rPr>
      <t>ercolation_tank</t>
    </r>
  </si>
  <si>
    <t>Vegetation_growth_blocking_water_entry</t>
  </si>
  <si>
    <t>Vegetation growth blocking water entry</t>
  </si>
  <si>
    <t>पौधों की वृद्धि से पानी का बहाव रुक रहा है</t>
  </si>
  <si>
    <t>ಸಸ್ಯವರ್ಗದ ಬೆಳವಣಿಗೆ ನೀರಿನ ಪ್ರವೇಶವನ್ನು ತಡೆಯುತ್ತದೆ</t>
  </si>
  <si>
    <r>
      <rPr>
        <rFont val="Arial"/>
        <color theme="1"/>
        <sz val="10.0"/>
      </rPr>
      <t>p</t>
    </r>
    <r>
      <rPr>
        <rFont val="Arial"/>
        <color rgb="FF333333"/>
        <sz val="10.0"/>
      </rPr>
      <t>ercolation_tank</t>
    </r>
  </si>
  <si>
    <t>Damage_to_spillway_or_outlet_structure</t>
  </si>
  <si>
    <t>Damage to spillway or outlet structure</t>
  </si>
  <si>
    <t>स्पिलवे या आउटलेट स्ट्रक्चर को नुकसान</t>
  </si>
  <si>
    <t>ಕೆನಾಲ್‌ ಗೇಟಗಳು ಒಡಿದಿರುವದು</t>
  </si>
  <si>
    <r>
      <rPr>
        <rFont val="Arial"/>
        <color theme="1"/>
        <sz val="10.0"/>
      </rPr>
      <t>e</t>
    </r>
    <r>
      <rPr>
        <rFont val="Arial"/>
        <color rgb="FF333333"/>
        <sz val="10.0"/>
      </rPr>
      <t>arthen_gully_plug</t>
    </r>
  </si>
  <si>
    <t>Breaches_in_the_earthen_structure</t>
  </si>
  <si>
    <t>Breaches in the earthen structure</t>
  </si>
  <si>
    <t>मिट्टी के स्ट्रक्चर में दरारें</t>
  </si>
  <si>
    <t>ಮಣ್ಣಿನ ರಚನೆಯಲ್ಲಿ ಬಿರುಕುಗಳು</t>
  </si>
  <si>
    <r>
      <rPr>
        <rFont val="Arial"/>
        <color theme="1"/>
        <sz val="10.0"/>
      </rPr>
      <t>e</t>
    </r>
    <r>
      <rPr>
        <rFont val="Arial"/>
        <color rgb="FF333333"/>
        <sz val="10.0"/>
      </rPr>
      <t>arthen_gully_plug</t>
    </r>
  </si>
  <si>
    <t>Erosion_at_the_base_or_sides</t>
  </si>
  <si>
    <t>Erosion at the base or sides</t>
  </si>
  <si>
    <t>आधार या किनारों पर कटाव</t>
  </si>
  <si>
    <t>ತಳ ಅಥವಾ ಬದಿಗಳಲ್ಲಿ ಸವೆತ</t>
  </si>
  <si>
    <r>
      <rPr>
        <rFont val="Arial"/>
        <color theme="1"/>
        <sz val="10.0"/>
      </rPr>
      <t>e</t>
    </r>
    <r>
      <rPr>
        <rFont val="Arial"/>
        <color rgb="FF333333"/>
        <sz val="10.0"/>
      </rPr>
      <t>arthen_gully_plug</t>
    </r>
  </si>
  <si>
    <t>Loss_of_compactness_in_the_soil_structure</t>
  </si>
  <si>
    <t>Loss of compactness in the soil structure</t>
  </si>
  <si>
    <t xml:space="preserve">मिट्टी के स्ट्रक्चर में सघनता की कमी </t>
  </si>
  <si>
    <t>ಮಣ್ಣಿನ ರಚನೆಯಲ್ಲಿ ಸಾಂದ್ರತೆಯ ನಷ್ಟ</t>
  </si>
  <si>
    <r>
      <rPr>
        <rFont val="Arial"/>
        <color theme="1"/>
        <sz val="10.0"/>
      </rPr>
      <t>e</t>
    </r>
    <r>
      <rPr>
        <rFont val="Arial"/>
        <color rgb="FF333333"/>
        <sz val="10.0"/>
      </rPr>
      <t>arthen_gully_plug</t>
    </r>
  </si>
  <si>
    <t>Vegetation_growth_on_the_plug</t>
  </si>
  <si>
    <t>Vegetation growth on the plug</t>
  </si>
  <si>
    <t>प्लग पर पौधों की वृद्धि</t>
  </si>
  <si>
    <t>ಸಸ್ಯ ವರ್ಗದ ಬೆಳವಣಿಗೆ</t>
  </si>
  <si>
    <r>
      <rPr>
        <rFont val="Arial"/>
        <color theme="1"/>
        <sz val="10.0"/>
      </rPr>
      <t>d</t>
    </r>
    <r>
      <rPr>
        <rFont val="Arial"/>
        <color rgb="FF000000"/>
        <sz val="10.0"/>
      </rPr>
      <t>rainage_channels</t>
    </r>
  </si>
  <si>
    <t>Blockages_due_to_sediment_or_debris</t>
  </si>
  <si>
    <t>Blockages due to sediment or debris</t>
  </si>
  <si>
    <t>गाद या मलबे के कारण रुकावटें</t>
  </si>
  <si>
    <t>ಕೆಸರು ಅಥವಾ ಶಿಲಾಖಂಡರಾಶಿಗಳಿಂದಾಗಿ ಅಡಚಣೆಗಳು</t>
  </si>
  <si>
    <r>
      <rPr>
        <rFont val="Arial"/>
        <color theme="1"/>
        <sz val="10.0"/>
      </rPr>
      <t>d</t>
    </r>
    <r>
      <rPr>
        <rFont val="Arial"/>
        <color rgb="FF000000"/>
        <sz val="10.0"/>
      </rPr>
      <t>rainage_channels</t>
    </r>
  </si>
  <si>
    <t>Erosion_along_the_channel_sides</t>
  </si>
  <si>
    <t>Erosion along the channel sides</t>
  </si>
  <si>
    <t>चैनल के किनारों पर कटाव</t>
  </si>
  <si>
    <t>ಚಾನಲ್ ಬದಿಗಳಲ್ಲಿ ಸವೆತ</t>
  </si>
  <si>
    <r>
      <rPr>
        <rFont val="Arial"/>
        <color theme="1"/>
        <sz val="10.0"/>
      </rPr>
      <t>d</t>
    </r>
    <r>
      <rPr>
        <rFont val="Arial"/>
        <color rgb="FF000000"/>
        <sz val="10.0"/>
      </rPr>
      <t>rainage_channels</t>
    </r>
  </si>
  <si>
    <t>Collapsed_sections_of_the_channel</t>
  </si>
  <si>
    <t>Collapsed sections of the channel</t>
  </si>
  <si>
    <t xml:space="preserve">नहर के हिस्सों का ढह जाना </t>
  </si>
  <si>
    <t>ಚಾನಲ್‌ನ ಕುಗ್ಗಿಸಿದ ವಿಭಾಗಗಳು</t>
  </si>
  <si>
    <r>
      <rPr>
        <rFont val="Arial"/>
        <color theme="1"/>
        <sz val="10.0"/>
      </rPr>
      <t>d</t>
    </r>
    <r>
      <rPr>
        <rFont val="Arial"/>
        <color rgb="FF000000"/>
        <sz val="10.0"/>
      </rPr>
      <t>rainage_channels</t>
    </r>
  </si>
  <si>
    <t>Vegetation_overgrowth_reducing_flow_efficiency</t>
  </si>
  <si>
    <t>Vegetation overgrowth reducing flow efficiency</t>
  </si>
  <si>
    <t>पौधों की अधिक वृद्धि से बहाव कम हो रही है</t>
  </si>
  <si>
    <t>ಸಸ್ಯವರ್ಗದ ಅತಿಯಾದ ಬೆಳವಣಿಗೆ ಹರಿವಿನ ದಕ್ಷತೆಯನ್ನು ಕಡಿಮೆ ಮಾಡುತ್ತದೆ</t>
  </si>
  <si>
    <r>
      <rPr>
        <rFont val="Arial"/>
        <color theme="1"/>
        <sz val="10.0"/>
      </rPr>
      <t>r</t>
    </r>
    <r>
      <rPr>
        <rFont val="Arial"/>
        <color rgb="FF000000"/>
        <sz val="10.0"/>
      </rPr>
      <t>echarge_pits</t>
    </r>
  </si>
  <si>
    <t xml:space="preserve">De sitling
</t>
  </si>
  <si>
    <r>
      <rPr>
        <rFont val="Arial"/>
        <color theme="1"/>
        <sz val="10.0"/>
      </rPr>
      <t>r</t>
    </r>
    <r>
      <rPr>
        <rFont val="Arial"/>
        <color rgb="FF000000"/>
        <sz val="10.0"/>
      </rPr>
      <t>echarge_pits</t>
    </r>
  </si>
  <si>
    <t>Cracks_or_damages_in_the_lining</t>
  </si>
  <si>
    <t>Cracks or damages in the lining</t>
  </si>
  <si>
    <t xml:space="preserve">परत में दरारें या टूट - फूट </t>
  </si>
  <si>
    <t>ಲೈನಿಂಗ್‌ನಲ್ಲಿ ಬಿರುಕುಗಳು ಅಥವಾ ಹಾನಿಗಳು</t>
  </si>
  <si>
    <r>
      <rPr>
        <rFont val="Arial"/>
        <color theme="1"/>
        <sz val="10.0"/>
      </rPr>
      <t>r</t>
    </r>
    <r>
      <rPr>
        <rFont val="Arial"/>
        <color rgb="FF000000"/>
        <sz val="10.0"/>
      </rPr>
      <t>echarge_pits</t>
    </r>
  </si>
  <si>
    <t>Blockages_in_filters_or_gravel_layers</t>
  </si>
  <si>
    <t>Blockages in filters or gravel layers</t>
  </si>
  <si>
    <t>फिल्टर या कंकड़ वाले परतों में रुकावटें</t>
  </si>
  <si>
    <t>ಶೋಧಕಗಳು ಅಥವಾ ಜಲ್ಲಿ ಪದರಗಳಲ್ಲಿ ಅಡಚಣೆಗಳು</t>
  </si>
  <si>
    <r>
      <rPr>
        <rFont val="Arial"/>
        <color theme="1"/>
        <sz val="10.0"/>
      </rPr>
      <t>r</t>
    </r>
    <r>
      <rPr>
        <rFont val="Arial"/>
        <color rgb="FF000000"/>
        <sz val="10.0"/>
      </rPr>
      <t>echarge_pits</t>
    </r>
  </si>
  <si>
    <t>Vegetation_or_debris_obstructing_the_pit</t>
  </si>
  <si>
    <t>Vegetation or debris obstructing the pit</t>
  </si>
  <si>
    <t xml:space="preserve">पौधे या मलबा गड्ढे में पानी जाने से रोकते हैं </t>
  </si>
  <si>
    <t>ಗುಂಡಿಗೆ ಅಡ್ಡಿಯಾಗಿರುವ ಸಸ್ಯವರ್ಗ ಅಥವಾ ಭಗ್ನಾವಶೇಷಗಳು</t>
  </si>
  <si>
    <r>
      <rPr>
        <rFont val="Arial"/>
        <color theme="1"/>
        <sz val="10.0"/>
      </rPr>
      <t>s</t>
    </r>
    <r>
      <rPr>
        <rFont val="Arial"/>
        <color rgb="FF000000"/>
        <sz val="10.0"/>
      </rPr>
      <t>okage_pits</t>
    </r>
  </si>
  <si>
    <r>
      <rPr>
        <rFont val="Arial"/>
        <color theme="1"/>
        <sz val="10.0"/>
      </rPr>
      <t>s</t>
    </r>
    <r>
      <rPr>
        <rFont val="Arial"/>
        <color rgb="FF000000"/>
        <sz val="10.0"/>
      </rPr>
      <t>okage_pits</t>
    </r>
  </si>
  <si>
    <t>Damage_to_pit_walls_or_filters</t>
  </si>
  <si>
    <t>Damage to pit walls or filters</t>
  </si>
  <si>
    <t>गड्ढे की दीवारों या फिल्टरों को नुकसान</t>
  </si>
  <si>
    <t>ಪಿಟ್ ಗೋಡೆಗಳು ಅಥವಾ ಫಿಲ್ಟರ್‌ಗಳಿಗೆ ಹಾನಿ</t>
  </si>
  <si>
    <r>
      <rPr>
        <rFont val="Arial"/>
        <color theme="1"/>
        <sz val="10.0"/>
      </rPr>
      <t>s</t>
    </r>
    <r>
      <rPr>
        <rFont val="Arial"/>
        <color rgb="FF000000"/>
        <sz val="10.0"/>
      </rPr>
      <t>okage_pits</t>
    </r>
  </si>
  <si>
    <t>Vegetation_obstructing_flow_into_the_pit</t>
  </si>
  <si>
    <t>Vegetation obstructing flow into the pit</t>
  </si>
  <si>
    <t xml:space="preserve">पौधे गड्ढे में पानी के बहाव को रोक रहे हैं </t>
  </si>
  <si>
    <t>ಸಸ್ಯವರ್ಗವು ಗುಂಡಿಯೊಳಗೆ ಹರಿವಿಗೆ ಅಡ್ಡಿಯಾಗುತ್ತಿದೆ.</t>
  </si>
  <si>
    <r>
      <rPr>
        <rFont val="Arial"/>
        <color theme="1"/>
        <sz val="10.0"/>
      </rPr>
      <t>s</t>
    </r>
    <r>
      <rPr>
        <rFont val="Arial"/>
        <color rgb="FF000000"/>
        <sz val="10.0"/>
      </rPr>
      <t>okage_pits</t>
    </r>
  </si>
  <si>
    <t>Water_pooling_due_to_improper_drainage</t>
  </si>
  <si>
    <t>Water pooling due to improper drainage</t>
  </si>
  <si>
    <t>गलत पानी निकासी के वजह से जल जमाव</t>
  </si>
  <si>
    <t>ಅಸಮರ್ಪಕ ಒಳಚರಂಡಿ ವ್ಯವಸ್ಥೆಯಿಂದಾಗಿ ನೀರು ಸಂಗ್ರಹವಾಗುವುದು.</t>
  </si>
  <si>
    <r>
      <rPr>
        <rFont val="Arial"/>
        <color theme="1"/>
        <sz val="10.0"/>
      </rPr>
      <t>c</t>
    </r>
    <r>
      <rPr>
        <rFont val="Arial"/>
        <color rgb="FF333333"/>
        <sz val="10.0"/>
      </rPr>
      <t>ontinuous_contour_trenches</t>
    </r>
  </si>
  <si>
    <r>
      <rPr>
        <rFont val="Arial"/>
        <color theme="1"/>
        <sz val="10.0"/>
      </rPr>
      <t>c</t>
    </r>
    <r>
      <rPr>
        <rFont val="Arial"/>
        <color rgb="FF333333"/>
        <sz val="10.0"/>
      </rPr>
      <t>ontinuous_contour_trenches</t>
    </r>
  </si>
  <si>
    <t>Erosion_of_trench_edges</t>
  </si>
  <si>
    <t>Erosion of trench edges</t>
  </si>
  <si>
    <t>खाई के किनारों का घिस जाना</t>
  </si>
  <si>
    <t>ಕಂದಕದ ಅಂಚುಗಳ ಸವೆತ</t>
  </si>
  <si>
    <r>
      <rPr>
        <rFont val="Arial"/>
        <color theme="1"/>
        <sz val="10.0"/>
      </rPr>
      <t>c</t>
    </r>
    <r>
      <rPr>
        <rFont val="Arial"/>
        <color rgb="FF333333"/>
        <sz val="10.0"/>
      </rPr>
      <t>ontinuous_contour_trenches</t>
    </r>
  </si>
  <si>
    <t>Vegetation_growth_obstructing_water_infiltration</t>
  </si>
  <si>
    <t>Vegetation growth obstructing water infiltration</t>
  </si>
  <si>
    <t>पौधों की वृद्धि पानी को प्रवेश करने से रोकती है</t>
  </si>
  <si>
    <t>ನೀರಿನ ಒಳನುಸುಳುವಿಕೆಗೆ ಅಡ್ಡಿಯಾಗುವ ಸಸ್ಯವರ್ಗದ ಬೆಳವಣಿಗೆ</t>
  </si>
  <si>
    <r>
      <rPr>
        <rFont val="Arial"/>
        <color theme="1"/>
        <sz val="10.0"/>
      </rPr>
      <t>s</t>
    </r>
    <r>
      <rPr>
        <rFont val="Arial"/>
        <color rgb="FF333333"/>
        <sz val="10.0"/>
      </rPr>
      <t>taggered_contour_trenches</t>
    </r>
  </si>
  <si>
    <r>
      <rPr>
        <rFont val="Arial"/>
        <color theme="1"/>
        <sz val="10.0"/>
      </rPr>
      <t>s</t>
    </r>
    <r>
      <rPr>
        <rFont val="Arial"/>
        <color rgb="FF333333"/>
        <sz val="10.0"/>
      </rPr>
      <t>taggered_contour_trenches</t>
    </r>
  </si>
  <si>
    <t>Erosion_of_trench_edges_or_sides</t>
  </si>
  <si>
    <t>Erosion of trench edges or sides</t>
  </si>
  <si>
    <t>खाई का ऊपरी किनारा या अन्य किनारों का घिस जाना</t>
  </si>
  <si>
    <t>ಕಂದಕದ ಅಂಚುಗಳು ಅಥವಾ ಬದಿಗಳ ಸವೆತ</t>
  </si>
  <si>
    <r>
      <rPr>
        <rFont val="Arial"/>
        <color theme="1"/>
        <sz val="10.0"/>
      </rPr>
      <t>s</t>
    </r>
    <r>
      <rPr>
        <rFont val="Arial"/>
        <color rgb="FF333333"/>
        <sz val="10.0"/>
      </rPr>
      <t>taggered_contour_trenches</t>
    </r>
  </si>
  <si>
    <t>Poor_alignment_reducing_effectiveness</t>
  </si>
  <si>
    <t>Poor alignment reducing effectiveness</t>
  </si>
  <si>
    <t>खराब अलाइमेंट से असर कम हो रही है</t>
  </si>
  <si>
    <t>ಕಳಪೆ ಜೋಡಣೆ ಪರಿಣಾಮಕಾರಿತ್ವವನ್ನು ಕಡಿಮೆ ಮಾಡುತ್ತದೆ</t>
  </si>
  <si>
    <r>
      <rPr>
        <rFont val="Arial"/>
        <color theme="1"/>
        <sz val="10.0"/>
      </rPr>
      <t>w</t>
    </r>
    <r>
      <rPr>
        <rFont val="Arial"/>
        <color rgb="FF333333"/>
        <sz val="10.0"/>
      </rPr>
      <t>ater_absorption_trenches</t>
    </r>
  </si>
  <si>
    <r>
      <rPr>
        <rFont val="Arial"/>
        <color theme="1"/>
        <sz val="10.0"/>
      </rPr>
      <t>w</t>
    </r>
    <r>
      <rPr>
        <rFont val="Arial"/>
        <color rgb="FF333333"/>
        <sz val="10.0"/>
      </rPr>
      <t>ater_absorption_trenches</t>
    </r>
  </si>
  <si>
    <t>Erosion_along_trench_edges</t>
  </si>
  <si>
    <t>Erosion along trench edges</t>
  </si>
  <si>
    <t>खाई के सभी किनारों पर कटाव</t>
  </si>
  <si>
    <t>ಕಂದಕದ ಅಂಚುಗಳ ಉದ್ದಕ್ಕೂ ಸವೆತ</t>
  </si>
  <si>
    <r>
      <rPr>
        <rFont val="Arial"/>
        <color theme="1"/>
        <sz val="10.0"/>
      </rPr>
      <t>w</t>
    </r>
    <r>
      <rPr>
        <rFont val="Arial"/>
        <color rgb="FF333333"/>
        <sz val="10.0"/>
      </rPr>
      <t>ater_absorption_trenches</t>
    </r>
  </si>
  <si>
    <t>Vegetation_obstructing_flow_into_the_trench</t>
  </si>
  <si>
    <t>Vegetation obstructing flow into the trench</t>
  </si>
  <si>
    <t xml:space="preserve">पौधे खाई में जल के बहाव को रोक रहे हैं </t>
  </si>
  <si>
    <t>ಕಂದಕದೊಳಗೆ ಹರಿವಿಗೆ ಸಸ್ಯವರ್ಗ ಅಡ್ಡಿಯಾಗುತ್ತಿದೆ.</t>
  </si>
  <si>
    <r>
      <rPr>
        <rFont val="Arial"/>
        <color theme="1"/>
        <sz val="10.0"/>
      </rPr>
      <t>r</t>
    </r>
    <r>
      <rPr>
        <rFont val="Arial"/>
        <color rgb="FF333333"/>
        <sz val="10.0"/>
      </rPr>
      <t>ock_fill_dam</t>
    </r>
  </si>
  <si>
    <t>ಹೂಳು ಸಂಗ್ರಹವಾಗುವುದರಿಂದ ನೀರಿನ ಸಂಗ್ರಹ ಕಡಿಮೆಯಾಗುತ್ತದೆ.</t>
  </si>
  <si>
    <r>
      <rPr>
        <rFont val="Arial"/>
        <color theme="1"/>
        <sz val="10.0"/>
      </rPr>
      <t>r</t>
    </r>
    <r>
      <rPr>
        <rFont val="Arial"/>
        <color rgb="FF333333"/>
        <sz val="10.0"/>
      </rPr>
      <t>ock_fill_dam</t>
    </r>
  </si>
  <si>
    <t>Dislodged_or_loose_rocks</t>
  </si>
  <si>
    <t>Dislodged or loose rocks</t>
  </si>
  <si>
    <t>उखड़ी हुई या ढीली चट्टानें</t>
  </si>
  <si>
    <t>ಸ್ಥಳಾಂತರಗೊಂಡ ಅಥವಾ ಸಡಿಲವಾದ ಬಂಡೆಗಳು</t>
  </si>
  <si>
    <r>
      <rPr>
        <rFont val="Arial"/>
        <color theme="1"/>
        <sz val="10.0"/>
      </rPr>
      <t>r</t>
    </r>
    <r>
      <rPr>
        <rFont val="Arial"/>
        <color rgb="FF333333"/>
        <sz val="10.0"/>
      </rPr>
      <t>ock_fill_dam</t>
    </r>
  </si>
  <si>
    <t>Erosion_around_or_under_the_dam_structure</t>
  </si>
  <si>
    <t>Erosion around or under the dam structure</t>
  </si>
  <si>
    <t>बांध स्ट्रक्चर के आसपास या नीचे कटाव</t>
  </si>
  <si>
    <t>ಅಣೆಕಟ್ಟು ರಚನೆಯ ಸುತ್ತಲೂ ಅಥವಾ ಕೆಳಗೆ ಸವೆತ</t>
  </si>
  <si>
    <r>
      <rPr>
        <rFont val="Arial"/>
        <color theme="1"/>
        <sz val="10.0"/>
      </rPr>
      <t>s</t>
    </r>
    <r>
      <rPr>
        <rFont val="Arial"/>
        <color rgb="FF333333"/>
        <sz val="10.0"/>
      </rPr>
      <t>tone_bunding</t>
    </r>
  </si>
  <si>
    <t>Dislodged_stones_reducing_structure_stability</t>
  </si>
  <si>
    <t>Dislodged stones reducing structure stability</t>
  </si>
  <si>
    <t>उखड़े हुए पत्थरों से स्ट्रक्चर की मजबूती कम हो रही है</t>
  </si>
  <si>
    <t>ಸ್ಥಳಾಂತರಗೊಂಡ ಕಲ್ಲುಗಳು ರಚನೆಯ ಸ್ಥಿರತೆಯನ್ನು ಕಡಿಮೆ ಮಾಡುತ್ತವೆ.</t>
  </si>
  <si>
    <r>
      <rPr>
        <rFont val="Arial"/>
        <color theme="1"/>
        <sz val="10.0"/>
      </rPr>
      <t>s</t>
    </r>
    <r>
      <rPr>
        <rFont val="Arial"/>
        <color rgb="FF333333"/>
        <sz val="10.0"/>
      </rPr>
      <t>tone_bunding</t>
    </r>
  </si>
  <si>
    <r>
      <rPr>
        <rFont val="Arial"/>
        <color theme="1"/>
        <sz val="10.0"/>
      </rPr>
      <t>s</t>
    </r>
    <r>
      <rPr>
        <rFont val="Arial"/>
        <color rgb="FF333333"/>
        <sz val="10.0"/>
      </rPr>
      <t>tone_bunding</t>
    </r>
  </si>
  <si>
    <t>Erosion_along_the_bund_edges</t>
  </si>
  <si>
    <t>Erosion along the bund edges</t>
  </si>
  <si>
    <t>बांध के सभी किनारों पर कटाव</t>
  </si>
  <si>
    <t>ಕಟ್ಟೆ ಅಂಚುಗಳ ಉದ್ದಕ್ಕೂ ಸವೆತ</t>
  </si>
  <si>
    <r>
      <rPr>
        <rFont val="Arial"/>
        <color theme="1"/>
        <sz val="10.0"/>
      </rPr>
      <t>d</t>
    </r>
    <r>
      <rPr>
        <rFont val="Arial"/>
        <color rgb="FF333333"/>
        <sz val="10.0"/>
      </rPr>
      <t>iversion_drains</t>
    </r>
  </si>
  <si>
    <r>
      <rPr>
        <rFont val="Arial"/>
        <color theme="1"/>
        <sz val="10.0"/>
      </rPr>
      <t>d</t>
    </r>
    <r>
      <rPr>
        <rFont val="Arial"/>
        <color rgb="FF333333"/>
        <sz val="10.0"/>
      </rPr>
      <t>iversion_drains</t>
    </r>
  </si>
  <si>
    <t>Erosion_along_the_drain_edges</t>
  </si>
  <si>
    <t>Erosion along the drain edges</t>
  </si>
  <si>
    <t>नाले के किनारों पर कटाव</t>
  </si>
  <si>
    <t>ಚರಂಡಿ ಅಂಚುಗಳ ಉದ್ದಕ್ಕೂ ಸವೆತ</t>
  </si>
  <si>
    <r>
      <rPr>
        <rFont val="Arial"/>
        <color theme="1"/>
        <sz val="10.0"/>
      </rPr>
      <t>d</t>
    </r>
    <r>
      <rPr>
        <rFont val="Arial"/>
        <color rgb="FF333333"/>
        <sz val="10.0"/>
      </rPr>
      <t>iversion_drains</t>
    </r>
  </si>
  <si>
    <t>Collapsed_or_damaged_drain_sections</t>
  </si>
  <si>
    <t>Collapsed or damaged drain sections</t>
  </si>
  <si>
    <t xml:space="preserve">ढहे या टूटे नाली के भाग </t>
  </si>
  <si>
    <t>ಕುಸಿದ ಅಥವಾ ಹಾನಿಗೊಳಗಾದ ಡ್ರೈನ್ ವಿಭಾಗಗಳು</t>
  </si>
  <si>
    <r>
      <rPr>
        <rFont val="Arial"/>
        <color theme="1"/>
        <sz val="10.0"/>
      </rPr>
      <t>b</t>
    </r>
    <r>
      <rPr>
        <rFont val="Arial"/>
        <color rgb="FF333333"/>
        <sz val="10.0"/>
      </rPr>
      <t>unding</t>
    </r>
  </si>
  <si>
    <r>
      <rPr>
        <rFont val="Arial"/>
        <color theme="1"/>
        <sz val="10.0"/>
      </rPr>
      <t>b</t>
    </r>
    <r>
      <rPr>
        <rFont val="Arial"/>
        <color rgb="FF333333"/>
        <sz val="10.0"/>
      </rPr>
      <t>unding</t>
    </r>
  </si>
  <si>
    <t>Cracks_breaches,_or_damage_to_the_bund_structure</t>
  </si>
  <si>
    <t>Cracks, breaches, or damage to the bund structure</t>
  </si>
  <si>
    <t xml:space="preserve">बांध स्ट्रक्चर में दरारें, टूट-फूट या अन्य खराबी </t>
  </si>
  <si>
    <t>ಬಿರುಕುಗಳು, ಬಿರುಕುಗಳು ಅಥವಾ ಏರಿಳಿತದ ರಚನೆಗೆ ಹಾನಿ</t>
  </si>
  <si>
    <r>
      <rPr>
        <rFont val="Arial"/>
        <color theme="1"/>
        <sz val="10.0"/>
      </rPr>
      <t>b</t>
    </r>
    <r>
      <rPr>
        <rFont val="Arial"/>
        <color rgb="FF333333"/>
        <sz val="10.0"/>
      </rPr>
      <t>unding</t>
    </r>
  </si>
  <si>
    <t>Erosion_along_bund_edges,_slopes,_or_base</t>
  </si>
  <si>
    <t>Erosion along bund edges, slopes, or base</t>
  </si>
  <si>
    <t>बांध के किनारों, ढलानों या आधार पर कटाव</t>
  </si>
  <si>
    <t>ಕಟ್ಟೆ ಅಂಚುಗಳು, ಇಳಿಜಾರುಗಳು ಅಥವಾ ತಳದಲ್ಲಿ ಸವೆತ</t>
  </si>
  <si>
    <r>
      <rPr>
        <rFont val="Arial"/>
        <color theme="1"/>
        <sz val="10.0"/>
      </rPr>
      <t>b</t>
    </r>
    <r>
      <rPr>
        <rFont val="Arial"/>
        <color rgb="FF333333"/>
        <sz val="10.0"/>
      </rPr>
      <t>unding</t>
    </r>
  </si>
  <si>
    <t>Improper_alignment_or_grading_disrupting_water_distribution</t>
  </si>
  <si>
    <t>Improper alignment or grading disrupting water distribution</t>
  </si>
  <si>
    <t xml:space="preserve">गलत अलाइमेंट या ग्रेडिंग से पानी वितरण में रूकावट होता है </t>
  </si>
  <si>
    <t>ನೀರಿನ ವಿತರಣೆಗೆ ಅಡ್ಡಿಯುಂಟುಮಾಡುವ ಅನುಚಿತ ಜೋಡಣೆ ಅಥವಾ ಶ್ರೇಣೀಕರಣ.</t>
  </si>
  <si>
    <r>
      <rPr>
        <rFont val="Arial"/>
        <color theme="1"/>
        <sz val="10.0"/>
      </rPr>
      <t>b</t>
    </r>
    <r>
      <rPr>
        <rFont val="Arial"/>
        <color rgb="FF333333"/>
        <sz val="10.0"/>
      </rPr>
      <t>unding</t>
    </r>
  </si>
  <si>
    <t>Vegetative_growth_weakening_bund_stability</t>
  </si>
  <si>
    <t>Vegetative growth weakening bund stability</t>
  </si>
  <si>
    <t>पौधों की वृद्धि से बांध की मजबूती कमजोर हो रही है</t>
  </si>
  <si>
    <t>ಸಸ್ಯಕ ಬೆಳವಣಿಗೆಯಿಂದಾಗಿ ಕಟ್ಟು ಸ್ಥಿರತೆ ದುರ್ಬಲಗೊಳ್ಳುತ್ತಿದೆ</t>
  </si>
  <si>
    <r>
      <rPr>
        <rFont val="Arial"/>
        <color theme="1"/>
        <sz val="10.0"/>
      </rPr>
      <t>b</t>
    </r>
    <r>
      <rPr>
        <rFont val="Arial"/>
        <color rgb="FF333333"/>
        <sz val="10.0"/>
      </rPr>
      <t>unding</t>
    </r>
  </si>
  <si>
    <t>Weakening_of_the_structure_due_to_seepage_or_heavy_rainfall</t>
  </si>
  <si>
    <t>Weakening of the structure due to seepage or heavy rainfall</t>
  </si>
  <si>
    <t>रिसाव या भारी वर्षा के कारण स्ट्रक्चर का कमजोर होना</t>
  </si>
  <si>
    <t>ನೀರು ಸೋರುವಿಕೆ ಅಥವಾ ಭಾರೀ ಮಳೆಯಿಂದಾಗಿ ರಚನೆ ದುರ್ಬಲಗೊಳ್ಳುವುದು.</t>
  </si>
  <si>
    <t>model5_structure</t>
  </si>
  <si>
    <t>Breaches_or_leaks_in_the_embankment</t>
  </si>
  <si>
    <t>Breaches or leaks in the embankment</t>
  </si>
  <si>
    <t>तटबंध में दरारें या रिसाव</t>
  </si>
  <si>
    <t>ಒಡ್ಡಿನಲ್ಲಿ ಬಿರುಕುಗಳು ಅಥವಾ ಸೋರಿಕೆಗಳು</t>
  </si>
  <si>
    <t>Erosion_on_sides_or_base</t>
  </si>
  <si>
    <t>Erosion on sides or base</t>
  </si>
  <si>
    <t>किनारों या आधार पर कटाव</t>
  </si>
  <si>
    <t>ಬದಿಗಳಲ್ಲಿ ಅಥವಾ ತಳದಲ್ಲಿ ಸವೆತ</t>
  </si>
  <si>
    <t>model30_40_structure</t>
  </si>
  <si>
    <t>Breaches_in_bunding_or_structure_walls</t>
  </si>
  <si>
    <t>Breaches in bunding or structure walls</t>
  </si>
  <si>
    <t>बाँध या स्ट्रक्चर की दीवारों में दरारें</t>
  </si>
  <si>
    <t>ಕಂಬಗಳು ಅಥವಾ ರಚನೆಯ ಗೋಡೆಗಳಲ್ಲಿನ ಬಿರುಕುಗಳು</t>
  </si>
  <si>
    <t>Erosion_along_trenches_or_bunds</t>
  </si>
  <si>
    <t>Erosion along trenches or bunds</t>
  </si>
  <si>
    <t>खाइयों या बांधों के किनारों पर कटाव</t>
  </si>
  <si>
    <t>ಕಂದಕಗಳು ಅಥವಾ ಕಟ್ಟೆಗಳ ಉದ್ದಕ್ಕೂ ಸವೆತ</t>
  </si>
  <si>
    <t>demand</t>
  </si>
  <si>
    <t>Community_demand</t>
  </si>
  <si>
    <t>Community Demand</t>
  </si>
  <si>
    <t>ಸಮುದಾಯದ ಬೇಡಿಕೆ</t>
  </si>
  <si>
    <t>Individual_demand</t>
  </si>
  <si>
    <t>Individual Demand</t>
  </si>
  <si>
    <t>ವೈಯಕ್ತಿಕ ಬೇಡಿಕೆ</t>
  </si>
  <si>
    <t>gender</t>
  </si>
  <si>
    <t xml:space="preserve">Male </t>
  </si>
  <si>
    <t>ಗಂಡು</t>
  </si>
  <si>
    <t>Female</t>
  </si>
  <si>
    <t>ಹೆಣ್ಣು</t>
  </si>
  <si>
    <t>yes_no</t>
  </si>
  <si>
    <t>Soil</t>
  </si>
  <si>
    <t>Black</t>
  </si>
  <si>
    <t>काला</t>
  </si>
  <si>
    <t>કાળો</t>
  </si>
  <si>
    <t>ಕಪ್ಪು</t>
  </si>
  <si>
    <t>Red</t>
  </si>
  <si>
    <t>लाल</t>
  </si>
  <si>
    <t>લાલ</t>
  </si>
  <si>
    <t>ಕೆಂಪು</t>
  </si>
  <si>
    <t>Laterite</t>
  </si>
  <si>
    <t>लैटेराइट</t>
  </si>
  <si>
    <t>લેટરાઇટ</t>
  </si>
  <si>
    <t>ಲ್ಯಾಟರೈಟ್</t>
  </si>
  <si>
    <t>Alluvial</t>
  </si>
  <si>
    <t>जलोढ़</t>
  </si>
  <si>
    <t>એલુવિયલ</t>
  </si>
  <si>
    <t>ಮೆಕ್ಕಲು</t>
  </si>
  <si>
    <t>Sandy</t>
  </si>
  <si>
    <t>रेतीला</t>
  </si>
  <si>
    <t>રેતાળ</t>
  </si>
  <si>
    <t>ಮರಳು</t>
  </si>
  <si>
    <t>Clay</t>
  </si>
  <si>
    <t>मिट्टी</t>
  </si>
  <si>
    <t>માટી</t>
  </si>
  <si>
    <t>ಜೇಡಿಮಣ್ಣು</t>
  </si>
  <si>
    <t>Rocky</t>
  </si>
  <si>
    <t>चट्टानी</t>
  </si>
  <si>
    <t>રોકી</t>
  </si>
  <si>
    <t>ರಾಕಿ</t>
  </si>
  <si>
    <t>silt</t>
  </si>
  <si>
    <t>Low</t>
  </si>
  <si>
    <t>कम</t>
  </si>
  <si>
    <t>નીચું</t>
  </si>
  <si>
    <t>ಕಡಿಮೆ</t>
  </si>
  <si>
    <t>Moderate</t>
  </si>
  <si>
    <t>मध्यम</t>
  </si>
  <si>
    <t>મધ્યમ</t>
  </si>
  <si>
    <t>ಮಧ್ಯಮ</t>
  </si>
  <si>
    <t>High</t>
  </si>
  <si>
    <t>ज़्यादा</t>
  </si>
  <si>
    <t>ઉચ્ચ</t>
  </si>
  <si>
    <t>ಹೆಚ್ಚು</t>
  </si>
  <si>
    <t>form_title</t>
  </si>
  <si>
    <t>form_id</t>
  </si>
  <si>
    <t>default_language</t>
  </si>
  <si>
    <t>instance_name</t>
  </si>
  <si>
    <t>version</t>
  </si>
  <si>
    <t>style</t>
  </si>
  <si>
    <t>Propose Maintenance On Existing Water Recharge Structures</t>
  </si>
  <si>
    <t>Propose_Maintenance_on_Existing_Water_Recharge_Structures_V1.1.1</t>
  </si>
  <si>
    <t>Hindi(hi)</t>
  </si>
  <si>
    <t>concat(${work_id})</t>
  </si>
  <si>
    <t>2.1.1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</si>
</sst>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i/>
      <sz val="11.0"/>
      <color theme="1"/>
      <name val="Courier New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Courier New"/>
    </font>
    <font>
      <sz val="11.0"/>
      <color theme="1"/>
      <name val="Roboto"/>
    </font>
    <font>
      <sz val="11.0"/>
      <color rgb="FF000000"/>
      <name val="Arial"/>
    </font>
    <font>
      <sz val="11.0"/>
      <color rgb="FF333333"/>
      <name val="Arial"/>
    </font>
    <font>
      <color theme="1"/>
      <name val="Courier New"/>
    </font>
    <font>
      <color theme="1"/>
      <name val="Roboto"/>
    </font>
    <font>
      <b/>
      <color theme="1"/>
      <name val="Arial"/>
    </font>
    <font>
      <color theme="1"/>
      <name val="Calibri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33333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EF2CB"/>
        <bgColor rgb="FFFEF2CB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2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0" fillId="0" fontId="4" numFmtId="0" xfId="0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2" fillId="3" fontId="3" numFmtId="0" xfId="0" applyAlignment="1" applyBorder="1" applyFont="1">
      <alignment shrinkToFit="0" wrapText="1"/>
    </xf>
    <xf borderId="0" fillId="3" fontId="3" numFmtId="0" xfId="0" applyAlignment="1" applyFont="1">
      <alignment shrinkToFit="0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4" fontId="7" numFmtId="0" xfId="0" applyAlignment="1" applyFill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shrinkToFit="0" vertical="bottom" wrapText="1"/>
    </xf>
    <xf borderId="0" fillId="0" fontId="13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vertical="bottom"/>
    </xf>
    <xf borderId="0" fillId="5" fontId="4" numFmtId="0" xfId="0" applyFont="1"/>
    <xf borderId="0" fillId="0" fontId="5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4" numFmtId="0" xfId="0" applyAlignment="1" applyFont="1">
      <alignment vertical="bottom"/>
    </xf>
    <xf borderId="1" fillId="6" fontId="9" numFmtId="0" xfId="0" applyAlignment="1" applyBorder="1" applyFill="1" applyFont="1">
      <alignment shrinkToFit="0" vertical="bottom" wrapText="0"/>
    </xf>
    <xf borderId="0" fillId="6" fontId="9" numFmtId="0" xfId="0" applyAlignment="1" applyFont="1">
      <alignment shrinkToFit="0" vertical="bottom" wrapText="0"/>
    </xf>
    <xf borderId="1" fillId="2" fontId="15" numFmtId="0" xfId="0" applyAlignment="1" applyBorder="1" applyFont="1">
      <alignment shrinkToFit="0" vertical="bottom" wrapText="0"/>
    </xf>
    <xf borderId="0" fillId="2" fontId="15" numFmtId="0" xfId="0" applyAlignment="1" applyFont="1">
      <alignment shrinkToFit="0" vertical="bottom" wrapText="1"/>
    </xf>
    <xf borderId="0" fillId="0" fontId="16" numFmtId="0" xfId="0" applyFont="1"/>
    <xf borderId="0" fillId="0" fontId="16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1"/>
    </xf>
    <xf borderId="0" fillId="0" fontId="18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50.75"/>
    <col customWidth="1" min="3" max="3" width="41.0"/>
    <col customWidth="1" min="4" max="8" width="69.88"/>
    <col customWidth="1" min="9" max="9" width="12.0"/>
    <col customWidth="1" min="10" max="10" width="17.63"/>
    <col customWidth="1" min="11" max="14" width="18.0"/>
    <col customWidth="1" min="15" max="16" width="14.63"/>
    <col customWidth="1" min="17" max="17" width="12.0"/>
    <col customWidth="1" min="18" max="18" width="33.63"/>
    <col customWidth="1" min="19" max="19" width="38.38"/>
    <col customWidth="1" min="20" max="20" width="26.75"/>
    <col customWidth="1" min="21" max="21" width="36.0"/>
    <col customWidth="1" min="22" max="42" width="12.0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5" t="s">
        <v>20</v>
      </c>
      <c r="V1" s="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6"/>
      <c r="AI1" s="6"/>
      <c r="AJ1" s="6"/>
      <c r="AK1" s="6"/>
      <c r="AL1" s="6"/>
      <c r="AM1" s="6"/>
      <c r="AN1" s="6"/>
      <c r="AO1" s="6"/>
      <c r="AP1" s="6"/>
    </row>
    <row r="2" ht="12.75" customHeight="1">
      <c r="A2" s="7" t="s">
        <v>22</v>
      </c>
      <c r="B2" s="8" t="s">
        <v>22</v>
      </c>
      <c r="C2" s="9"/>
      <c r="D2" s="10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ht="12.75" customHeight="1">
      <c r="A3" s="7" t="s">
        <v>23</v>
      </c>
      <c r="B3" s="8" t="s">
        <v>23</v>
      </c>
      <c r="C3" s="9"/>
      <c r="D3" s="10"/>
      <c r="E3" s="10"/>
      <c r="F3" s="11"/>
      <c r="G3" s="1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ht="12.75" customHeight="1">
      <c r="A4" s="7" t="s">
        <v>24</v>
      </c>
      <c r="B4" s="8" t="s">
        <v>24</v>
      </c>
      <c r="C4" s="10"/>
      <c r="D4" s="12"/>
      <c r="E4" s="12"/>
      <c r="F4" s="11"/>
      <c r="G4" s="11"/>
      <c r="H4" s="10"/>
      <c r="I4" s="10"/>
      <c r="J4" s="10"/>
      <c r="K4" s="9"/>
      <c r="L4" s="9"/>
      <c r="M4" s="9"/>
      <c r="N4" s="9"/>
      <c r="O4" s="10"/>
      <c r="P4" s="10"/>
      <c r="Q4" s="9"/>
      <c r="R4" s="10"/>
      <c r="S4" s="10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ht="12.75" customHeight="1">
      <c r="A5" s="7" t="s">
        <v>25</v>
      </c>
      <c r="B5" s="13" t="s">
        <v>25</v>
      </c>
      <c r="C5" s="9"/>
      <c r="D5" s="10"/>
      <c r="E5" s="10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ht="12.75" customHeight="1">
      <c r="A6" s="7"/>
      <c r="B6" s="14"/>
      <c r="C6" s="9"/>
      <c r="D6" s="10"/>
      <c r="E6" s="10"/>
      <c r="F6" s="11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ht="12.75" customHeight="1">
      <c r="A7" s="12" t="s">
        <v>26</v>
      </c>
      <c r="B7" s="12" t="s">
        <v>27</v>
      </c>
      <c r="C7" s="12" t="s">
        <v>28</v>
      </c>
      <c r="D7" s="12" t="s">
        <v>29</v>
      </c>
      <c r="E7" s="12" t="str">
        <f>IFERROR(__xludf.DUMMYFUNCTION("GOOGLETRANSLATE(D7, ""hi"", ""gu"")"),"લાભાર્થી સમુદાયનું નામ")</f>
        <v>લાભાર્થી સમુદાયનું નામ</v>
      </c>
      <c r="F7" s="12" t="s">
        <v>30</v>
      </c>
      <c r="G7" s="12" t="str">
        <f>IFERROR(__xludf.DUMMYFUNCTION("GOOGLETRANSLATE(C7,""en"",""or"")"),"ହିତାଧିକାରୀଙ୍କ ବନ୍ଦୋବସ୍ତ ନାମ")</f>
        <v>ହିତାଧିକାରୀଙ୍କ ବନ୍ଦୋବସ୍ତ ନାମ</v>
      </c>
      <c r="H7" s="12"/>
      <c r="I7" s="12"/>
      <c r="J7" s="12"/>
      <c r="K7" s="12"/>
      <c r="L7" s="12"/>
      <c r="M7" s="12"/>
      <c r="N7" s="12"/>
      <c r="O7" s="12"/>
      <c r="P7" s="12"/>
      <c r="Q7" s="12" t="s">
        <v>31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ht="12.75" customHeight="1">
      <c r="A8" s="12"/>
      <c r="B8" s="12"/>
      <c r="C8" s="12"/>
      <c r="D8" s="12"/>
      <c r="E8" s="12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ht="12.75" customHeight="1">
      <c r="A9" s="12"/>
      <c r="B9" s="12"/>
      <c r="C9" s="12"/>
      <c r="D9" s="12"/>
      <c r="E9" s="12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5"/>
      <c r="T9" s="15"/>
      <c r="U9" s="15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</row>
    <row r="10">
      <c r="G10" s="12"/>
    </row>
    <row r="11" ht="12.75" customHeight="1">
      <c r="A11" s="16" t="s">
        <v>32</v>
      </c>
      <c r="B11" s="16" t="s">
        <v>33</v>
      </c>
      <c r="C11" s="15" t="s">
        <v>34</v>
      </c>
      <c r="D11" s="17" t="str">
        <f>IFERROR(__xludf.DUMMYFUNCTION("GOOGLETRANSLATE(C11, ""en"", ""hi"")"),"मांग का प्रकार")</f>
        <v>मांग का प्रकार</v>
      </c>
      <c r="E11" s="12" t="str">
        <f>IFERROR(__xludf.DUMMYFUNCTION("GOOGLETRANSLATE(D11, ""hi"", ""gu"")"),"માંગનો પ્રકાર")</f>
        <v>માંગનો પ્રકાર</v>
      </c>
      <c r="F11" s="12" t="s">
        <v>35</v>
      </c>
      <c r="G11" s="12" t="str">
        <f>IFERROR(__xludf.DUMMYFUNCTION("GOOGLETRANSLATE(C11,""en"",""or"")"),"ଚାହିଦାର ପ୍ରକାର")</f>
        <v>ଚାହିଦାର ପ୍ରକାର</v>
      </c>
      <c r="H11" s="17"/>
      <c r="I11" s="17"/>
      <c r="J11" s="17"/>
      <c r="K11" s="17"/>
      <c r="L11" s="17"/>
      <c r="M11" s="17"/>
      <c r="N11" s="17"/>
      <c r="O11" s="17"/>
      <c r="P11" s="15"/>
      <c r="Q11" s="17" t="s">
        <v>31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ht="30.75" customHeight="1">
      <c r="A12" s="16" t="s">
        <v>26</v>
      </c>
      <c r="B12" s="18" t="s">
        <v>36</v>
      </c>
      <c r="C12" s="19" t="s">
        <v>37</v>
      </c>
      <c r="D12" s="19" t="s">
        <v>38</v>
      </c>
      <c r="E12" s="19" t="str">
        <f>IFERROR(__xludf.DUMMYFUNCTION("GOOGLETRANSLATE(C12, ""en"", ""gu"")"),"લાભાર્થીનું નામ")</f>
        <v>લાભાર્થીનું નામ</v>
      </c>
      <c r="F12" s="12" t="s">
        <v>39</v>
      </c>
      <c r="G12" s="12" t="str">
        <f>IFERROR(__xludf.DUMMYFUNCTION("GOOGLETRANSLATE(C12,""en"",""or"")"),"ହିତାଧିକାରୀଙ୍କ ନାମ")</f>
        <v>ହିତାଧିକାରୀଙ୍କ ନାମ</v>
      </c>
      <c r="H12" s="20" t="s">
        <v>40</v>
      </c>
      <c r="I12" s="20"/>
      <c r="J12" s="20"/>
      <c r="K12" s="20"/>
      <c r="L12" s="20"/>
      <c r="M12" s="20"/>
      <c r="N12" s="20"/>
      <c r="O12" s="20"/>
      <c r="P12" s="20"/>
      <c r="Q12" s="20" t="s">
        <v>31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ht="30.75" customHeight="1">
      <c r="A13" s="21" t="s">
        <v>41</v>
      </c>
      <c r="B13" s="22" t="s">
        <v>42</v>
      </c>
      <c r="C13" s="23" t="s">
        <v>43</v>
      </c>
      <c r="D13" s="20" t="str">
        <f>IFERROR(__xludf.DUMMYFUNCTION("GOOGLETRANSLATE(C13, ""en"", ""hi"")"),"लिंग")</f>
        <v>लिंग</v>
      </c>
      <c r="E13" s="20" t="str">
        <f>IFERROR(__xludf.DUMMYFUNCTION("GOOGLETRANSLATE(D13, ""en"", ""gu"")"),"લિંગ")</f>
        <v>લિંગ</v>
      </c>
      <c r="F13" s="12" t="s">
        <v>44</v>
      </c>
      <c r="G13" s="12" t="str">
        <f>IFERROR(__xludf.DUMMYFUNCTION("GOOGLETRANSLATE(C13,""en"",""or"")"),"ଲିଙ୍ଗ")</f>
        <v>ଲିଙ୍ଗ</v>
      </c>
      <c r="H13" s="20" t="s">
        <v>40</v>
      </c>
      <c r="I13" s="20"/>
      <c r="J13" s="20"/>
      <c r="K13" s="20"/>
      <c r="L13" s="20"/>
      <c r="M13" s="20"/>
      <c r="N13" s="20"/>
      <c r="O13" s="20"/>
      <c r="P13" s="20"/>
      <c r="Q13" s="20" t="s">
        <v>31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ht="30.75" customHeight="1">
      <c r="A14" s="21" t="s">
        <v>26</v>
      </c>
      <c r="B14" s="22" t="s">
        <v>45</v>
      </c>
      <c r="C14" s="23" t="s">
        <v>46</v>
      </c>
      <c r="D14" s="23" t="s">
        <v>47</v>
      </c>
      <c r="E14" s="24" t="str">
        <f>IFERROR(__xludf.DUMMYFUNCTION("GOOGLETRANSLATE(D14, ""hi"", ""gu"")"),"લાભાર્થીના પિતાનું નામ")</f>
        <v>લાભાર્થીના પિતાનું નામ</v>
      </c>
      <c r="F14" s="12" t="s">
        <v>48</v>
      </c>
      <c r="G14" s="12" t="str">
        <f>IFERROR(__xludf.DUMMYFUNCTION("GOOGLETRANSLATE(C14,""en"",""or"")"),"ହିତାଧିକାରୀଙ୍କ ପିତା/ସ୍ୱାମୀଙ୍କ ନାମ")</f>
        <v>ହିତାଧିକାରୀଙ୍କ ପିତା/ସ୍ୱାମୀଙ୍କ ନାମ</v>
      </c>
      <c r="H14" s="20" t="s">
        <v>40</v>
      </c>
      <c r="I14" s="20"/>
      <c r="J14" s="20"/>
      <c r="K14" s="20"/>
      <c r="L14" s="20"/>
      <c r="M14" s="20"/>
      <c r="N14" s="20"/>
      <c r="O14" s="20"/>
      <c r="P14" s="20"/>
      <c r="Q14" s="20" t="s">
        <v>31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ht="30.75" customHeight="1">
      <c r="A15" s="16" t="s">
        <v>49</v>
      </c>
      <c r="B15" s="18" t="s">
        <v>50</v>
      </c>
      <c r="C15" s="19" t="s">
        <v>51</v>
      </c>
      <c r="D15" s="19" t="s">
        <v>52</v>
      </c>
      <c r="E15" s="19" t="str">
        <f>IFERROR(__xludf.DUMMYFUNCTION("GOOGLETRANSLATE(C15, ""en"", ""gu"")"),"લાભાર્થીનો સંપર્ક નંબર")</f>
        <v>લાભાર્થીનો સંપર્ક નંબર</v>
      </c>
      <c r="F15" s="12" t="s">
        <v>53</v>
      </c>
      <c r="G15" s="12" t="str">
        <f>IFERROR(__xludf.DUMMYFUNCTION("GOOGLETRANSLATE(C15,""en"",""or"")"),"ହିତାଧିକାରୀଙ୍କ ଯୋଗାଯୋଗ ନମ୍ବର")</f>
        <v>ହିତାଧିକାରୀଙ୍କ ଯୋଗାଯୋଗ ନମ୍ବର</v>
      </c>
      <c r="H15" s="20" t="s">
        <v>40</v>
      </c>
      <c r="I15" s="20"/>
      <c r="J15" s="20"/>
      <c r="K15" s="20"/>
      <c r="L15" s="20"/>
      <c r="M15" s="20"/>
      <c r="N15" s="20"/>
      <c r="O15" s="20"/>
      <c r="P15" s="20"/>
      <c r="Q15" s="20"/>
      <c r="R15" s="19" t="s">
        <v>54</v>
      </c>
      <c r="S15" s="19" t="s">
        <v>55</v>
      </c>
      <c r="T15" s="19" t="str">
        <f>IFERROR(__xludf.DUMMYFUNCTION("GOOGLETRANSLATE(S15, ""en"", ""hi"")"),"फ़ोन नंबर दर्ज करें (फ़ॉर्मेट: 9876543210)")</f>
        <v>फ़ोन नंबर दर्ज करें (फ़ॉर्मेट: 9876543210)</v>
      </c>
      <c r="U15" s="19" t="str">
        <f>IFERROR(__xludf.DUMMYFUNCTION("GOOGLETRANSLATE(S15, ""en"", ""gu"")"),"ફોન નંબર દાખલ કરો (ફોર્મેટ: 9876543210)")</f>
        <v>ફોન નંબર દાખલ કરો (ફોર્મેટ: 9876543210)</v>
      </c>
      <c r="V15" s="20" t="s">
        <v>56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ht="30.75" customHeight="1">
      <c r="A16" s="15" t="s">
        <v>57</v>
      </c>
      <c r="B16" s="15" t="s">
        <v>58</v>
      </c>
      <c r="C16" s="15" t="s">
        <v>59</v>
      </c>
      <c r="D16" s="17" t="str">
        <f>IFERROR(__xludf.DUMMYFUNCTION("GOOGLETRANSLATE(C16, ""en"", ""hi"")"),"क्या इस संरचना पर पहले कोई मरम्मत या रखरखाव का काम किया गया है?")</f>
        <v>क्या इस संरचना पर पहले कोई मरम्मत या रखरखाव का काम किया गया है?</v>
      </c>
      <c r="E16" s="17" t="str">
        <f>IFERROR(__xludf.DUMMYFUNCTION("GOOGLETRANSLATE(D16, ""en"", ""gu"")"),"શું આ બંધારણમાં પહેલા કોઈ આરામનું કામ કરવામાં આવ્યું છે?")</f>
        <v>શું આ બંધારણમાં પહેલા કોઈ આરામનું કામ કરવામાં આવ્યું છે?</v>
      </c>
      <c r="F16" s="12" t="s">
        <v>60</v>
      </c>
      <c r="G16" s="12" t="str">
        <f>IFERROR(__xludf.DUMMYFUNCTION("GOOGLETRANSLATE(C16,""en"",""or"")"),"ଏହି ଗଠନରେ ପୂର୍ବରୁ କୌଣସି ମରାମତି କିମ୍ବା ରକ୍ଷଣାବେକ୍ଷଣ କାର୍ଯ୍ୟ କରାଯାଇଛି କି?")</f>
        <v>ଏହି ଗଠନରେ ପୂର୍ବରୁ କୌଣସି ମରାମତି କିମ୍ବା ରକ୍ଷଣାବେକ୍ଷଣ କାର୍ଯ୍ୟ କରାଯାଇଛି କି?</v>
      </c>
      <c r="H16" s="20" t="s">
        <v>61</v>
      </c>
      <c r="I16" s="17"/>
      <c r="J16" s="17"/>
      <c r="K16" s="17"/>
      <c r="L16" s="17"/>
      <c r="M16" s="17"/>
      <c r="N16" s="17"/>
      <c r="O16" s="17"/>
      <c r="P16" s="17"/>
      <c r="Q16" s="15" t="s">
        <v>31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ht="12.75" customHeight="1">
      <c r="A17" s="9"/>
      <c r="B17" s="9"/>
      <c r="C17" s="9"/>
      <c r="D17" s="10"/>
      <c r="E17" s="12"/>
      <c r="F17" s="11"/>
      <c r="G17" s="1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ht="12.75" customHeight="1">
      <c r="A18" s="9"/>
      <c r="B18" s="9"/>
      <c r="C18" s="9"/>
      <c r="D18" s="10"/>
      <c r="E18" s="12"/>
      <c r="F18" s="11"/>
      <c r="G18" s="1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ht="20.25" customHeight="1">
      <c r="A19" s="9" t="s">
        <v>62</v>
      </c>
      <c r="B19" s="9" t="s">
        <v>63</v>
      </c>
      <c r="C19" s="10" t="s">
        <v>64</v>
      </c>
      <c r="D19" s="12" t="s">
        <v>65</v>
      </c>
      <c r="E19" s="12" t="str">
        <f>IFERROR(__xludf.DUMMYFUNCTION("GOOGLETRANSLATE(D19, ""hi"", ""gu"")"),"રિચાર્જ સ્ટ્રક્ચર પર જરૂરી સમારકામ અથવા જાળવણીનો પ્રકાર પસંદ કરો.")</f>
        <v>રિચાર્જ સ્ટ્રક્ચર પર જરૂરી સમારકામ અથવા જાળવણીનો પ્રકાર પસંદ કરો.</v>
      </c>
      <c r="F19" s="25" t="s">
        <v>66</v>
      </c>
      <c r="G19" s="12" t="str">
        <f>IFERROR(__xludf.DUMMYFUNCTION("GOOGLETRANSLATE(C19,""en"",""or"")"),"ରିଚାର୍ଜ ଷ୍ଟ୍ରକଚର ପାଇଁ ଦୃଶ୍ୟମାନ ମରାମତି କିମ୍ବା ରକ୍ଷଣାବେକ୍ଷଣ ସମସ୍ୟାଗୁଡ଼ିକୁ ଚୟନ କରନ୍ତୁ?
")</f>
        <v>ରିଚାର୍ଜ ଷ୍ଟ୍ରକଚର ପାଇଁ ଦୃଶ୍ୟମାନ ମରାମତି କିମ୍ବା ରକ୍ଷଣାବେକ୍ଷଣ ସମସ୍ୟାଗୁଡ଼ିକୁ ଚୟନ କରନ୍ତୁ?
</v>
      </c>
      <c r="H19" s="9" t="s">
        <v>61</v>
      </c>
      <c r="I19" s="9"/>
      <c r="J19" s="9"/>
      <c r="K19" s="9"/>
      <c r="L19" s="9"/>
      <c r="M19" s="9"/>
      <c r="N19" s="9"/>
      <c r="O19" s="9"/>
      <c r="P19" s="9"/>
      <c r="Q19" s="9" t="s">
        <v>31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ht="12.75" customHeight="1">
      <c r="A20" s="26"/>
      <c r="B20" s="27"/>
      <c r="C20" s="27"/>
      <c r="D20" s="10"/>
      <c r="E20" s="12"/>
      <c r="F20" s="11"/>
      <c r="G20" s="12"/>
      <c r="H20" s="2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ht="12.75" customHeight="1">
      <c r="A21" s="9"/>
      <c r="B21" s="9"/>
      <c r="C21" s="10"/>
      <c r="D21" s="10"/>
      <c r="E21" s="12"/>
      <c r="F21" s="11"/>
      <c r="G21" s="12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ht="12.75" customHeight="1">
      <c r="A22" s="9" t="s">
        <v>67</v>
      </c>
      <c r="B22" s="9" t="s">
        <v>68</v>
      </c>
      <c r="C22" s="9" t="s">
        <v>69</v>
      </c>
      <c r="D22" s="12" t="s">
        <v>70</v>
      </c>
      <c r="E22" s="12" t="str">
        <f>IFERROR(__xludf.DUMMYFUNCTION("GOOGLETRANSLATE(D22, ""hi"", ""gu"")"),"ચેક ડેમ રિપેર")</f>
        <v>ચેક ડેમ રિપેર</v>
      </c>
      <c r="F22" s="12" t="s">
        <v>71</v>
      </c>
      <c r="G22" s="12" t="str">
        <f>IFERROR(__xludf.DUMMYFUNCTION("GOOGLETRANSLATE(C22,""en"",""or"")"),"ଚେକ୍ ଡ୍ୟାମର ମରାମତି")</f>
        <v>ଚେକ୍ ଡ୍ୟାମର ମରାମତି</v>
      </c>
      <c r="H22" s="26" t="s">
        <v>72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ht="12.75" customHeight="1">
      <c r="A23" s="28" t="s">
        <v>73</v>
      </c>
      <c r="B23" s="28" t="s">
        <v>74</v>
      </c>
      <c r="C23" s="29" t="s">
        <v>75</v>
      </c>
      <c r="D23" s="30" t="s">
        <v>76</v>
      </c>
      <c r="E23" s="30" t="s">
        <v>77</v>
      </c>
      <c r="F23" s="30" t="s">
        <v>78</v>
      </c>
      <c r="G23" s="12" t="str">
        <f>IFERROR(__xludf.DUMMYFUNCTION("GOOGLETRANSLATE(C23,""en"",""or"")"),"ମାଟିର ପ୍ରକାର")</f>
        <v>ମାଟିର ପ୍ରକାର</v>
      </c>
      <c r="H23" s="31" t="s">
        <v>79</v>
      </c>
      <c r="I23" s="32"/>
      <c r="J23" s="32"/>
      <c r="K23" s="32"/>
      <c r="L23" s="32"/>
      <c r="M23" s="32"/>
      <c r="N23" s="32"/>
      <c r="O23" s="32"/>
      <c r="P23" s="32"/>
      <c r="Q23" s="33" t="s">
        <v>31</v>
      </c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</row>
    <row r="24" ht="12.75" customHeight="1">
      <c r="A24" s="34" t="s">
        <v>80</v>
      </c>
      <c r="B24" s="28" t="s">
        <v>81</v>
      </c>
      <c r="C24" s="29" t="s">
        <v>82</v>
      </c>
      <c r="D24" s="30" t="s">
        <v>83</v>
      </c>
      <c r="E24" s="30" t="s">
        <v>84</v>
      </c>
      <c r="F24" s="30" t="s">
        <v>85</v>
      </c>
      <c r="G24" s="12" t="str">
        <f>IFERROR(__xludf.DUMMYFUNCTION("GOOGLETRANSLATE(C24,""en"",""or"")"),"ସିଲ୍ଟର ପରିମାଣ")</f>
        <v>ସିଲ୍ଟର ପରିମାଣ</v>
      </c>
      <c r="H24" s="31" t="s">
        <v>79</v>
      </c>
      <c r="I24" s="32"/>
      <c r="J24" s="32"/>
      <c r="K24" s="32"/>
      <c r="L24" s="32"/>
      <c r="M24" s="32"/>
      <c r="N24" s="32"/>
      <c r="O24" s="32"/>
      <c r="P24" s="32"/>
      <c r="Q24" s="33" t="s">
        <v>31</v>
      </c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</row>
    <row r="25" ht="12.75" customHeight="1">
      <c r="A25" s="9" t="s">
        <v>86</v>
      </c>
      <c r="B25" s="9" t="s">
        <v>87</v>
      </c>
      <c r="C25" s="9" t="s">
        <v>88</v>
      </c>
      <c r="D25" s="12" t="s">
        <v>89</v>
      </c>
      <c r="E25" s="12" t="str">
        <f>IFERROR(__xludf.DUMMYFUNCTION("GOOGLETRANSLATE(D25, ""hi"", ""gu"")"),"માટીના ગલી પ્લગનું સમારકામ")</f>
        <v>માટીના ગલી પ્લગનું સમારકામ</v>
      </c>
      <c r="F25" s="11" t="s">
        <v>90</v>
      </c>
      <c r="G25" s="12" t="str">
        <f>IFERROR(__xludf.DUMMYFUNCTION("GOOGLETRANSLATE(C25,""en"",""or"")"),"ମାଟି ଗଲି ପ୍ଲଗ୍ ମରାମତି")</f>
        <v>ମାଟି ଗଲି ପ୍ଲଗ୍ ମରାମତି</v>
      </c>
      <c r="H25" s="26" t="s">
        <v>91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ht="12.75" customHeight="1">
      <c r="A26" s="9" t="s">
        <v>92</v>
      </c>
      <c r="B26" s="9" t="s">
        <v>93</v>
      </c>
      <c r="C26" s="9" t="s">
        <v>94</v>
      </c>
      <c r="D26" s="12" t="s">
        <v>95</v>
      </c>
      <c r="E26" s="12" t="str">
        <f>IFERROR(__xludf.DUMMYFUNCTION("GOOGLETRANSLATE(D26, ""hi"", ""gu"")"),"પરકોલેશન ટાંકીનું સમારકામ")</f>
        <v>પરકોલેશન ટાંકીનું સમારકામ</v>
      </c>
      <c r="F26" s="11" t="s">
        <v>96</v>
      </c>
      <c r="G26" s="12" t="str">
        <f>IFERROR(__xludf.DUMMYFUNCTION("GOOGLETRANSLATE(C26,""en"",""or"")"),"ପର୍କୋଲେସନ୍_ଟ୍ୟାଙ୍କ ମରାମତି")</f>
        <v>ପର୍କୋଲେସନ୍_ଟ୍ୟାଙ୍କ ମରାମତି</v>
      </c>
      <c r="H26" s="26" t="s">
        <v>97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ht="12.75" customHeight="1">
      <c r="A27" s="28" t="s">
        <v>73</v>
      </c>
      <c r="B27" s="28" t="s">
        <v>98</v>
      </c>
      <c r="C27" s="29" t="s">
        <v>75</v>
      </c>
      <c r="D27" s="30" t="s">
        <v>76</v>
      </c>
      <c r="E27" s="30" t="s">
        <v>77</v>
      </c>
      <c r="F27" s="30" t="s">
        <v>78</v>
      </c>
      <c r="G27" s="12" t="str">
        <f>IFERROR(__xludf.DUMMYFUNCTION("GOOGLETRANSLATE(C27,""en"",""or"")"),"ମାଟିର ପ୍ରକାର")</f>
        <v>ମାଟିର ପ୍ରକାର</v>
      </c>
      <c r="H27" s="31" t="s">
        <v>99</v>
      </c>
      <c r="I27" s="32"/>
      <c r="J27" s="32"/>
      <c r="K27" s="32"/>
      <c r="L27" s="32"/>
      <c r="M27" s="32"/>
      <c r="N27" s="32"/>
      <c r="O27" s="32"/>
      <c r="P27" s="32"/>
      <c r="Q27" s="33" t="s">
        <v>31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</row>
    <row r="28" ht="12.75" customHeight="1">
      <c r="A28" s="34" t="s">
        <v>80</v>
      </c>
      <c r="B28" s="28" t="s">
        <v>100</v>
      </c>
      <c r="C28" s="29" t="s">
        <v>82</v>
      </c>
      <c r="D28" s="30" t="s">
        <v>83</v>
      </c>
      <c r="E28" s="30" t="s">
        <v>84</v>
      </c>
      <c r="F28" s="30" t="s">
        <v>85</v>
      </c>
      <c r="G28" s="12" t="str">
        <f>IFERROR(__xludf.DUMMYFUNCTION("GOOGLETRANSLATE(C28,""en"",""or"")"),"ସିଲ୍ଟର ପରିମାଣ")</f>
        <v>ସିଲ୍ଟର ପରିମାଣ</v>
      </c>
      <c r="H28" s="31" t="s">
        <v>99</v>
      </c>
      <c r="I28" s="32"/>
      <c r="J28" s="32"/>
      <c r="K28" s="32"/>
      <c r="L28" s="32"/>
      <c r="M28" s="32"/>
      <c r="N28" s="32"/>
      <c r="O28" s="32"/>
      <c r="P28" s="32"/>
      <c r="Q28" s="33" t="s">
        <v>31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</row>
    <row r="29" ht="12.75" customHeight="1">
      <c r="A29" s="9" t="s">
        <v>101</v>
      </c>
      <c r="B29" s="9" t="s">
        <v>102</v>
      </c>
      <c r="C29" s="9" t="s">
        <v>103</v>
      </c>
      <c r="D29" s="12" t="s">
        <v>104</v>
      </c>
      <c r="E29" s="12" t="str">
        <f>IFERROR(__xludf.DUMMYFUNCTION("GOOGLETRANSLATE(D29, ""hi"", ""gu"")"),"ડ્રેઇન/સોક ડ્રેઇનનું સમારકામ")</f>
        <v>ડ્રેઇન/સોક ડ્રેઇનનું સમારકામ</v>
      </c>
      <c r="F29" s="12" t="s">
        <v>105</v>
      </c>
      <c r="G29" s="12" t="str">
        <f>IFERROR(__xludf.DUMMYFUNCTION("GOOGLETRANSLATE(C29,""en"",""or"")"),"ଜଳ ନିଷ୍କାସନ/ସୋକେଜ୍ ଚ୍ୟାନେଲଗୁଡ଼ିକର ମରାମତି")</f>
        <v>ଜଳ ନିଷ୍କାସନ/ସୋକେଜ୍ ଚ୍ୟାନେଲଗୁଡ଼ିକର ମରାମତି</v>
      </c>
      <c r="H29" s="26" t="s">
        <v>106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ht="12.75" customHeight="1">
      <c r="A30" s="9" t="s">
        <v>107</v>
      </c>
      <c r="B30" s="9" t="s">
        <v>108</v>
      </c>
      <c r="C30" s="9" t="s">
        <v>109</v>
      </c>
      <c r="D30" s="12" t="s">
        <v>110</v>
      </c>
      <c r="E30" s="12" t="str">
        <f>IFERROR(__xludf.DUMMYFUNCTION("GOOGLETRANSLATE(D30, ""hi"", ""gu"")"),"રિચાર્જ ખાડાઓનું સમારકામ")</f>
        <v>રિચાર્જ ખાડાઓનું સમારકામ</v>
      </c>
      <c r="F30" s="11" t="s">
        <v>111</v>
      </c>
      <c r="G30" s="12" t="str">
        <f>IFERROR(__xludf.DUMMYFUNCTION("GOOGLETRANSLATE(C30,""en"",""or"")"),"ରିଚାର୍ଜ ପିଟ୍‌ଗୁଡ଼ିକର ମରାମତି")</f>
        <v>ରିଚାର୍ଜ ପିଟ୍‌ଗୁଡ଼ିକର ମରାମତି</v>
      </c>
      <c r="H30" s="26" t="s">
        <v>112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ht="12.75" customHeight="1">
      <c r="A31" s="28" t="s">
        <v>73</v>
      </c>
      <c r="B31" s="28" t="s">
        <v>113</v>
      </c>
      <c r="C31" s="29" t="s">
        <v>75</v>
      </c>
      <c r="D31" s="30" t="s">
        <v>76</v>
      </c>
      <c r="E31" s="30" t="s">
        <v>77</v>
      </c>
      <c r="F31" s="30" t="s">
        <v>78</v>
      </c>
      <c r="G31" s="12" t="str">
        <f>IFERROR(__xludf.DUMMYFUNCTION("GOOGLETRANSLATE(C31,""en"",""or"")"),"ମାଟିର ପ୍ରକାର")</f>
        <v>ମାଟିର ପ୍ରକାର</v>
      </c>
      <c r="H31" s="31" t="s">
        <v>114</v>
      </c>
      <c r="I31" s="32"/>
      <c r="J31" s="32"/>
      <c r="K31" s="32"/>
      <c r="L31" s="32"/>
      <c r="M31" s="32"/>
      <c r="N31" s="32"/>
      <c r="O31" s="32"/>
      <c r="P31" s="32"/>
      <c r="Q31" s="33" t="s">
        <v>31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</row>
    <row r="32" ht="12.75" customHeight="1">
      <c r="A32" s="34" t="s">
        <v>80</v>
      </c>
      <c r="B32" s="28" t="s">
        <v>115</v>
      </c>
      <c r="C32" s="29" t="s">
        <v>82</v>
      </c>
      <c r="D32" s="30" t="s">
        <v>83</v>
      </c>
      <c r="E32" s="30" t="s">
        <v>84</v>
      </c>
      <c r="F32" s="30" t="s">
        <v>85</v>
      </c>
      <c r="G32" s="12" t="str">
        <f>IFERROR(__xludf.DUMMYFUNCTION("GOOGLETRANSLATE(C32,""en"",""or"")"),"ସିଲ୍ଟର ପରିମାଣ")</f>
        <v>ସିଲ୍ଟର ପରିମାଣ</v>
      </c>
      <c r="H32" s="31" t="s">
        <v>114</v>
      </c>
      <c r="I32" s="32"/>
      <c r="J32" s="32"/>
      <c r="K32" s="32"/>
      <c r="L32" s="32"/>
      <c r="M32" s="32"/>
      <c r="N32" s="32"/>
      <c r="O32" s="32"/>
      <c r="P32" s="32"/>
      <c r="Q32" s="33" t="s">
        <v>31</v>
      </c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</row>
    <row r="33" ht="12.75" customHeight="1">
      <c r="A33" s="9" t="s">
        <v>116</v>
      </c>
      <c r="B33" s="9" t="s">
        <v>117</v>
      </c>
      <c r="C33" s="9" t="s">
        <v>118</v>
      </c>
      <c r="D33" s="12" t="s">
        <v>119</v>
      </c>
      <c r="E33" s="12" t="str">
        <f>IFERROR(__xludf.DUMMYFUNCTION("GOOGLETRANSLATE(D33, ""hi"", ""gu"")"),"ખાડાનું સમારકામ")</f>
        <v>ખાડાનું સમારકામ</v>
      </c>
      <c r="F33" s="12" t="s">
        <v>120</v>
      </c>
      <c r="G33" s="12" t="str">
        <f>IFERROR(__xludf.DUMMYFUNCTION("GOOGLETRANSLATE(C33,""en"",""or"")"),"ସୋକେଜ୍ ପିଟ୍ସର ମରାମତି")</f>
        <v>ସୋକେଜ୍ ପିଟ୍ସର ମରାମତି</v>
      </c>
      <c r="H33" s="26" t="s">
        <v>121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ht="12.75" customHeight="1">
      <c r="A34" s="28" t="s">
        <v>73</v>
      </c>
      <c r="B34" s="28" t="s">
        <v>122</v>
      </c>
      <c r="C34" s="29" t="s">
        <v>75</v>
      </c>
      <c r="D34" s="30" t="s">
        <v>76</v>
      </c>
      <c r="E34" s="30" t="s">
        <v>77</v>
      </c>
      <c r="F34" s="30" t="s">
        <v>78</v>
      </c>
      <c r="G34" s="12" t="str">
        <f>IFERROR(__xludf.DUMMYFUNCTION("GOOGLETRANSLATE(C34,""en"",""or"")"),"ମାଟିର ପ୍ରକାର")</f>
        <v>ମାଟିର ପ୍ରକାର</v>
      </c>
      <c r="H34" s="31" t="s">
        <v>123</v>
      </c>
      <c r="I34" s="32"/>
      <c r="J34" s="32"/>
      <c r="K34" s="32"/>
      <c r="L34" s="32"/>
      <c r="M34" s="32"/>
      <c r="N34" s="32"/>
      <c r="O34" s="32"/>
      <c r="P34" s="32"/>
      <c r="Q34" s="33" t="s">
        <v>31</v>
      </c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</row>
    <row r="35" ht="12.75" customHeight="1">
      <c r="A35" s="34" t="s">
        <v>80</v>
      </c>
      <c r="B35" s="28" t="s">
        <v>124</v>
      </c>
      <c r="C35" s="29" t="s">
        <v>82</v>
      </c>
      <c r="D35" s="30" t="s">
        <v>83</v>
      </c>
      <c r="E35" s="30" t="s">
        <v>84</v>
      </c>
      <c r="F35" s="30" t="s">
        <v>85</v>
      </c>
      <c r="G35" s="12" t="str">
        <f>IFERROR(__xludf.DUMMYFUNCTION("GOOGLETRANSLATE(C35,""en"",""or"")"),"ସିଲ୍ଟର ପରିମାଣ")</f>
        <v>ସିଲ୍ଟର ପରିମାଣ</v>
      </c>
      <c r="H35" s="31" t="s">
        <v>123</v>
      </c>
      <c r="I35" s="32"/>
      <c r="J35" s="32"/>
      <c r="K35" s="32"/>
      <c r="L35" s="32"/>
      <c r="M35" s="32"/>
      <c r="N35" s="32"/>
      <c r="O35" s="32"/>
      <c r="P35" s="32"/>
      <c r="Q35" s="33" t="s">
        <v>31</v>
      </c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</row>
    <row r="36" ht="12.75" customHeight="1">
      <c r="A36" s="9" t="s">
        <v>125</v>
      </c>
      <c r="B36" s="9" t="s">
        <v>126</v>
      </c>
      <c r="C36" s="9" t="s">
        <v>127</v>
      </c>
      <c r="D36" s="12" t="s">
        <v>128</v>
      </c>
      <c r="E36" s="12" t="str">
        <f>IFERROR(__xludf.DUMMYFUNCTION("GOOGLETRANSLATE(D36, ""hi"", ""gu"")"),"ખાઈ/બંધનું સમારકામ")</f>
        <v>ખાઈ/બંધનું સમારકામ</v>
      </c>
      <c r="F36" s="11" t="s">
        <v>129</v>
      </c>
      <c r="G36" s="12" t="str">
        <f>IFERROR(__xludf.DUMMYFUNCTION("GOOGLETRANSLATE(C36,""en"",""or"")"),"ଟ୍ରେଞ୍ଚ କମ୍ ବଣ୍ଡ ନେଟୱାର୍କର ମରାମତି")</f>
        <v>ଟ୍ରେଞ୍ଚ କମ୍ ବଣ୍ଡ ନେଟୱାର୍କର ମରାମତି</v>
      </c>
      <c r="H36" s="26" t="s">
        <v>130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ht="12.75" customHeight="1">
      <c r="A37" s="28" t="s">
        <v>73</v>
      </c>
      <c r="B37" s="28" t="s">
        <v>131</v>
      </c>
      <c r="C37" s="29" t="s">
        <v>75</v>
      </c>
      <c r="D37" s="30" t="s">
        <v>76</v>
      </c>
      <c r="E37" s="30" t="s">
        <v>77</v>
      </c>
      <c r="F37" s="30" t="s">
        <v>78</v>
      </c>
      <c r="G37" s="12" t="str">
        <f>IFERROR(__xludf.DUMMYFUNCTION("GOOGLETRANSLATE(C37,""en"",""or"")"),"ମାଟିର ପ୍ରକାର")</f>
        <v>ମାଟିର ପ୍ରକାର</v>
      </c>
      <c r="H37" s="31" t="s">
        <v>132</v>
      </c>
      <c r="I37" s="32"/>
      <c r="J37" s="32"/>
      <c r="K37" s="32"/>
      <c r="L37" s="32"/>
      <c r="M37" s="32"/>
      <c r="N37" s="32"/>
      <c r="O37" s="32"/>
      <c r="P37" s="32"/>
      <c r="Q37" s="33" t="s">
        <v>31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</row>
    <row r="38" ht="12.75" customHeight="1">
      <c r="A38" s="34" t="s">
        <v>80</v>
      </c>
      <c r="B38" s="28" t="s">
        <v>133</v>
      </c>
      <c r="C38" s="29" t="s">
        <v>82</v>
      </c>
      <c r="D38" s="30" t="s">
        <v>83</v>
      </c>
      <c r="E38" s="30" t="s">
        <v>84</v>
      </c>
      <c r="F38" s="30" t="s">
        <v>85</v>
      </c>
      <c r="G38" s="12" t="str">
        <f>IFERROR(__xludf.DUMMYFUNCTION("GOOGLETRANSLATE(C38,""en"",""or"")"),"ସିଲ୍ଟର ପରିମାଣ")</f>
        <v>ସିଲ୍ଟର ପରିମାଣ</v>
      </c>
      <c r="H38" s="31" t="s">
        <v>132</v>
      </c>
      <c r="I38" s="32"/>
      <c r="J38" s="32"/>
      <c r="K38" s="32"/>
      <c r="L38" s="32"/>
      <c r="M38" s="32"/>
      <c r="N38" s="32"/>
      <c r="O38" s="32"/>
      <c r="P38" s="32"/>
      <c r="Q38" s="33" t="s">
        <v>31</v>
      </c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</row>
    <row r="39" ht="12.75" customHeight="1">
      <c r="A39" s="9" t="s">
        <v>134</v>
      </c>
      <c r="B39" s="9" t="s">
        <v>135</v>
      </c>
      <c r="C39" s="9" t="s">
        <v>136</v>
      </c>
      <c r="D39" s="12" t="s">
        <v>137</v>
      </c>
      <c r="E39" s="12" t="str">
        <f>IFERROR(__xludf.DUMMYFUNCTION("GOOGLETRANSLATE(D39, ""hi"", ""gu"")"),"સતત કોન્ટૂર ટ્રેન્ચ (CCT) સમારકામ")</f>
        <v>સતત કોન્ટૂર ટ્રેન્ચ (CCT) સમારકામ</v>
      </c>
      <c r="F39" s="12" t="s">
        <v>138</v>
      </c>
      <c r="G39" s="12" t="str">
        <f>IFERROR(__xludf.DUMMYFUNCTION("GOOGLETRANSLATE(C39,""en"",""or"")"),"ନିରନ୍ତର କଣ୍ଟୋର ଟ୍ରେଞ୍ଚ (CCT) ର ମରାମତି")</f>
        <v>ନିରନ୍ତର କଣ୍ଟୋର ଟ୍ରେଞ୍ଚ (CCT) ର ମରାମତି</v>
      </c>
      <c r="H39" s="26" t="s">
        <v>139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ht="12.75" customHeight="1">
      <c r="A40" s="28" t="s">
        <v>73</v>
      </c>
      <c r="B40" s="28" t="s">
        <v>140</v>
      </c>
      <c r="C40" s="29" t="s">
        <v>75</v>
      </c>
      <c r="D40" s="30" t="s">
        <v>76</v>
      </c>
      <c r="E40" s="30" t="s">
        <v>77</v>
      </c>
      <c r="F40" s="30" t="s">
        <v>78</v>
      </c>
      <c r="G40" s="12" t="str">
        <f>IFERROR(__xludf.DUMMYFUNCTION("GOOGLETRANSLATE(C40,""en"",""or"")"),"ମାଟିର ପ୍ରକାର")</f>
        <v>ମାଟିର ପ୍ରକାର</v>
      </c>
      <c r="H40" s="31" t="s">
        <v>141</v>
      </c>
      <c r="I40" s="32"/>
      <c r="J40" s="32"/>
      <c r="K40" s="32"/>
      <c r="L40" s="32"/>
      <c r="M40" s="32"/>
      <c r="N40" s="32"/>
      <c r="O40" s="32"/>
      <c r="P40" s="32"/>
      <c r="Q40" s="33" t="s">
        <v>31</v>
      </c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</row>
    <row r="41" ht="12.75" customHeight="1">
      <c r="A41" s="34" t="s">
        <v>80</v>
      </c>
      <c r="B41" s="28" t="s">
        <v>142</v>
      </c>
      <c r="C41" s="29" t="s">
        <v>82</v>
      </c>
      <c r="D41" s="30" t="s">
        <v>83</v>
      </c>
      <c r="E41" s="30" t="s">
        <v>84</v>
      </c>
      <c r="F41" s="30" t="s">
        <v>85</v>
      </c>
      <c r="G41" s="12" t="str">
        <f>IFERROR(__xludf.DUMMYFUNCTION("GOOGLETRANSLATE(C41,""en"",""or"")"),"ସିଲ୍ଟର ପରିମାଣ")</f>
        <v>ସିଲ୍ଟର ପରିମାଣ</v>
      </c>
      <c r="H41" s="31" t="s">
        <v>141</v>
      </c>
      <c r="I41" s="32"/>
      <c r="J41" s="32"/>
      <c r="K41" s="32"/>
      <c r="L41" s="32"/>
      <c r="M41" s="32"/>
      <c r="N41" s="32"/>
      <c r="O41" s="32"/>
      <c r="P41" s="32"/>
      <c r="Q41" s="33" t="s">
        <v>31</v>
      </c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</row>
    <row r="42" ht="12.75" customHeight="1">
      <c r="A42" s="9" t="s">
        <v>143</v>
      </c>
      <c r="B42" s="9" t="s">
        <v>144</v>
      </c>
      <c r="C42" s="9" t="s">
        <v>145</v>
      </c>
      <c r="D42" s="12" t="s">
        <v>146</v>
      </c>
      <c r="E42" s="12" t="str">
        <f>IFERROR(__xludf.DUMMYFUNCTION("GOOGLETRANSLATE(D42, ""hi"", ""gu"")"),"સ્ટેગર્ડ કોન્ટૂર ટ્રેન્ચ (SCT) નું સમારકામ")</f>
        <v>સ્ટેગર્ડ કોન્ટૂર ટ્રેન્ચ (SCT) નું સમારકામ</v>
      </c>
      <c r="F42" s="11" t="s">
        <v>147</v>
      </c>
      <c r="G42" s="12" t="str">
        <f>IFERROR(__xludf.DUMMYFUNCTION("GOOGLETRANSLATE(C42,""en"",""or"")"),"ଷ୍ଟାଗର୍ଡ କଣ୍ଟୁର ଟ୍ରେଞ୍ଚ (SCT) ର ମରାମତି")</f>
        <v>ଷ୍ଟାଗର୍ଡ କଣ୍ଟୁର ଟ୍ରେଞ୍ଚ (SCT) ର ମରାମତି</v>
      </c>
      <c r="H42" s="26" t="s">
        <v>148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ht="12.75" customHeight="1">
      <c r="A43" s="28" t="s">
        <v>73</v>
      </c>
      <c r="B43" s="28" t="s">
        <v>149</v>
      </c>
      <c r="C43" s="29" t="s">
        <v>75</v>
      </c>
      <c r="D43" s="30" t="s">
        <v>76</v>
      </c>
      <c r="E43" s="30" t="s">
        <v>77</v>
      </c>
      <c r="F43" s="30" t="s">
        <v>78</v>
      </c>
      <c r="G43" s="12" t="str">
        <f>IFERROR(__xludf.DUMMYFUNCTION("GOOGLETRANSLATE(C43,""en"",""or"")"),"ମାଟିର ପ୍ରକାର")</f>
        <v>ମାଟିର ପ୍ରକାର</v>
      </c>
      <c r="H43" s="31" t="s">
        <v>150</v>
      </c>
      <c r="I43" s="32"/>
      <c r="J43" s="32"/>
      <c r="K43" s="32"/>
      <c r="L43" s="32"/>
      <c r="M43" s="32"/>
      <c r="N43" s="32"/>
      <c r="O43" s="32"/>
      <c r="P43" s="32"/>
      <c r="Q43" s="33" t="s">
        <v>31</v>
      </c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</row>
    <row r="44" ht="12.75" customHeight="1">
      <c r="A44" s="34" t="s">
        <v>80</v>
      </c>
      <c r="B44" s="28" t="s">
        <v>151</v>
      </c>
      <c r="C44" s="29" t="s">
        <v>82</v>
      </c>
      <c r="D44" s="30" t="s">
        <v>83</v>
      </c>
      <c r="E44" s="30" t="s">
        <v>84</v>
      </c>
      <c r="F44" s="30" t="s">
        <v>85</v>
      </c>
      <c r="G44" s="12" t="str">
        <f>IFERROR(__xludf.DUMMYFUNCTION("GOOGLETRANSLATE(C44,""en"",""or"")"),"ସିଲ୍ଟର ପରିମାଣ")</f>
        <v>ସିଲ୍ଟର ପରିମାଣ</v>
      </c>
      <c r="H44" s="31" t="s">
        <v>150</v>
      </c>
      <c r="I44" s="32"/>
      <c r="J44" s="32"/>
      <c r="K44" s="32"/>
      <c r="L44" s="32"/>
      <c r="M44" s="32"/>
      <c r="N44" s="32"/>
      <c r="O44" s="32"/>
      <c r="P44" s="32"/>
      <c r="Q44" s="33" t="s">
        <v>31</v>
      </c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</row>
    <row r="45" ht="12.75" customHeight="1">
      <c r="A45" s="9" t="s">
        <v>152</v>
      </c>
      <c r="B45" s="9" t="s">
        <v>153</v>
      </c>
      <c r="C45" s="9" t="s">
        <v>154</v>
      </c>
      <c r="D45" s="12" t="s">
        <v>155</v>
      </c>
      <c r="E45" s="12" t="str">
        <f>IFERROR(__xludf.DUMMYFUNCTION("GOOGLETRANSLATE(D45, ""hi"", ""gu"")"),"વોટર ઓબ્સ્ક્યુરેશન ટ્રેન્ચ (WAT) નું સમારકામ")</f>
        <v>વોટર ઓબ્સ્ક્યુરેશન ટ્રેન્ચ (WAT) નું સમારકામ</v>
      </c>
      <c r="F45" s="12" t="s">
        <v>156</v>
      </c>
      <c r="G45" s="12" t="str">
        <f>IFERROR(__xludf.DUMMYFUNCTION("GOOGLETRANSLATE(C45,""en"",""or"")"),"ଜଳ ଅବଶୋଷଣ ଟ୍ରେଞ୍ଚ (WAT) ର ମରାମତି")</f>
        <v>ଜଳ ଅବଶୋଷଣ ଟ୍ରେଞ୍ଚ (WAT) ର ମରାମତି</v>
      </c>
      <c r="H45" s="26" t="s">
        <v>157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ht="12.75" customHeight="1">
      <c r="A46" s="28" t="s">
        <v>73</v>
      </c>
      <c r="B46" s="28" t="s">
        <v>158</v>
      </c>
      <c r="C46" s="29" t="s">
        <v>75</v>
      </c>
      <c r="D46" s="30" t="s">
        <v>76</v>
      </c>
      <c r="E46" s="30" t="s">
        <v>77</v>
      </c>
      <c r="F46" s="30" t="s">
        <v>78</v>
      </c>
      <c r="G46" s="12" t="str">
        <f>IFERROR(__xludf.DUMMYFUNCTION("GOOGLETRANSLATE(C46,""en"",""or"")"),"ମାଟିର ପ୍ରକାର")</f>
        <v>ମାଟିର ପ୍ରକାର</v>
      </c>
      <c r="H46" s="31" t="s">
        <v>159</v>
      </c>
      <c r="I46" s="32"/>
      <c r="J46" s="32"/>
      <c r="K46" s="32"/>
      <c r="L46" s="32"/>
      <c r="M46" s="32"/>
      <c r="N46" s="32"/>
      <c r="O46" s="32"/>
      <c r="P46" s="32"/>
      <c r="Q46" s="33" t="s">
        <v>31</v>
      </c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</row>
    <row r="47" ht="12.75" customHeight="1">
      <c r="A47" s="34" t="s">
        <v>80</v>
      </c>
      <c r="B47" s="28" t="s">
        <v>160</v>
      </c>
      <c r="C47" s="29" t="s">
        <v>82</v>
      </c>
      <c r="D47" s="30" t="s">
        <v>83</v>
      </c>
      <c r="E47" s="30" t="s">
        <v>84</v>
      </c>
      <c r="F47" s="30" t="s">
        <v>85</v>
      </c>
      <c r="G47" s="12" t="str">
        <f>IFERROR(__xludf.DUMMYFUNCTION("GOOGLETRANSLATE(C47,""en"",""or"")"),"ସିଲ୍ଟର ପରିମାଣ")</f>
        <v>ସିଲ୍ଟର ପରିମାଣ</v>
      </c>
      <c r="H47" s="31" t="s">
        <v>159</v>
      </c>
      <c r="I47" s="32"/>
      <c r="J47" s="32"/>
      <c r="K47" s="32"/>
      <c r="L47" s="32"/>
      <c r="M47" s="32"/>
      <c r="N47" s="32"/>
      <c r="O47" s="32"/>
      <c r="P47" s="32"/>
      <c r="Q47" s="33" t="s">
        <v>31</v>
      </c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</row>
    <row r="48" ht="12.75" customHeight="1">
      <c r="A48" s="9" t="s">
        <v>161</v>
      </c>
      <c r="B48" s="9" t="s">
        <v>162</v>
      </c>
      <c r="C48" s="9" t="s">
        <v>163</v>
      </c>
      <c r="D48" s="12" t="s">
        <v>164</v>
      </c>
      <c r="E48" s="12" t="str">
        <f>IFERROR(__xludf.DUMMYFUNCTION("GOOGLETRANSLATE(D48, ""hi"", ""gu"")"),"છૂટા પથ્થરના માળખાનું સમારકામ")</f>
        <v>છૂટા પથ્થરના માળખાનું સમારકામ</v>
      </c>
      <c r="F48" s="12" t="s">
        <v>165</v>
      </c>
      <c r="G48" s="12" t="str">
        <f>IFERROR(__xludf.DUMMYFUNCTION("GOOGLETRANSLATE(C48,""en"",""or"")"),"ଢିଲା ପଥର ଗଠନର ମରାମତି")</f>
        <v>ଢିଲା ପଥର ଗଠନର ମରାମତି</v>
      </c>
      <c r="H48" s="26" t="s">
        <v>166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ht="12.75" customHeight="1">
      <c r="A49" s="9" t="s">
        <v>167</v>
      </c>
      <c r="B49" s="9" t="s">
        <v>168</v>
      </c>
      <c r="C49" s="9" t="s">
        <v>169</v>
      </c>
      <c r="D49" s="12" t="s">
        <v>170</v>
      </c>
      <c r="E49" s="12" t="str">
        <f>IFERROR(__xludf.DUMMYFUNCTION("GOOGLETRANSLATE(D49, ""hi"", ""gu"")"),"રોકફિલ ડેમનું સમારકામ")</f>
        <v>રોકફિલ ડેમનું સમારકામ</v>
      </c>
      <c r="F49" s="12" t="s">
        <v>171</v>
      </c>
      <c r="G49" s="12" t="str">
        <f>IFERROR(__xludf.DUMMYFUNCTION("GOOGLETRANSLATE(C49,""en"",""or"")"),"ପଥର ପୂରଣ ବନ୍ଧର ମରାମତି")</f>
        <v>ପଥର ପୂରଣ ବନ୍ଧର ମରାମତି</v>
      </c>
      <c r="H49" s="26" t="s">
        <v>172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ht="12.75" customHeight="1">
      <c r="A50" s="28" t="s">
        <v>73</v>
      </c>
      <c r="B50" s="28" t="s">
        <v>173</v>
      </c>
      <c r="C50" s="29" t="s">
        <v>75</v>
      </c>
      <c r="D50" s="30" t="s">
        <v>76</v>
      </c>
      <c r="E50" s="30" t="s">
        <v>77</v>
      </c>
      <c r="F50" s="30" t="s">
        <v>78</v>
      </c>
      <c r="G50" s="12" t="str">
        <f>IFERROR(__xludf.DUMMYFUNCTION("GOOGLETRANSLATE(C50,""en"",""or"")"),"ମାଟିର ପ୍ରକାର")</f>
        <v>ମାଟିର ପ୍ରକାର</v>
      </c>
      <c r="H50" s="31" t="s">
        <v>174</v>
      </c>
      <c r="I50" s="32"/>
      <c r="J50" s="32"/>
      <c r="K50" s="32"/>
      <c r="L50" s="32"/>
      <c r="M50" s="32"/>
      <c r="N50" s="32"/>
      <c r="O50" s="32"/>
      <c r="P50" s="32"/>
      <c r="Q50" s="33" t="s">
        <v>31</v>
      </c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</row>
    <row r="51" ht="12.75" customHeight="1">
      <c r="A51" s="34" t="s">
        <v>80</v>
      </c>
      <c r="B51" s="28" t="s">
        <v>175</v>
      </c>
      <c r="C51" s="29" t="s">
        <v>82</v>
      </c>
      <c r="D51" s="30" t="s">
        <v>83</v>
      </c>
      <c r="E51" s="30" t="s">
        <v>84</v>
      </c>
      <c r="F51" s="30" t="s">
        <v>85</v>
      </c>
      <c r="G51" s="12" t="str">
        <f>IFERROR(__xludf.DUMMYFUNCTION("GOOGLETRANSLATE(C51,""en"",""or"")"),"ସିଲ୍ଟର ପରିମାଣ")</f>
        <v>ସିଲ୍ଟର ପରିମାଣ</v>
      </c>
      <c r="H51" s="31" t="s">
        <v>174</v>
      </c>
      <c r="I51" s="32"/>
      <c r="J51" s="32"/>
      <c r="K51" s="32"/>
      <c r="L51" s="32"/>
      <c r="M51" s="32"/>
      <c r="N51" s="32"/>
      <c r="O51" s="32"/>
      <c r="P51" s="32"/>
      <c r="Q51" s="33" t="s">
        <v>31</v>
      </c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</row>
    <row r="52" ht="12.75" customHeight="1">
      <c r="A52" s="9" t="s">
        <v>176</v>
      </c>
      <c r="B52" s="9" t="s">
        <v>177</v>
      </c>
      <c r="C52" s="9" t="s">
        <v>178</v>
      </c>
      <c r="D52" s="12" t="s">
        <v>179</v>
      </c>
      <c r="E52" s="12" t="str">
        <f>IFERROR(__xludf.DUMMYFUNCTION("GOOGLETRANSLATE(D52, ""hi"", ""gu"")"),"પથ્થર બંધનું સમારકામ")</f>
        <v>પથ્થર બંધનું સમારકામ</v>
      </c>
      <c r="F52" s="12" t="s">
        <v>180</v>
      </c>
      <c r="G52" s="12" t="str">
        <f>IFERROR(__xludf.DUMMYFUNCTION("GOOGLETRANSLATE(C52,""en"",""or"")"),"ପଥର ବନ୍ଧନର ମରାମତି")</f>
        <v>ପଥର ବନ୍ଧନର ମରାମତି</v>
      </c>
      <c r="H52" s="26" t="s">
        <v>181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ht="12.75" customHeight="1">
      <c r="A53" s="28" t="s">
        <v>73</v>
      </c>
      <c r="B53" s="28" t="s">
        <v>182</v>
      </c>
      <c r="C53" s="29" t="s">
        <v>75</v>
      </c>
      <c r="D53" s="30" t="s">
        <v>76</v>
      </c>
      <c r="E53" s="30" t="s">
        <v>77</v>
      </c>
      <c r="F53" s="30" t="s">
        <v>78</v>
      </c>
      <c r="G53" s="12" t="str">
        <f>IFERROR(__xludf.DUMMYFUNCTION("GOOGLETRANSLATE(C53,""en"",""or"")"),"ମାଟିର ପ୍ରକାର")</f>
        <v>ମାଟିର ପ୍ରକାର</v>
      </c>
      <c r="H53" s="31" t="s">
        <v>183</v>
      </c>
      <c r="I53" s="32"/>
      <c r="J53" s="32"/>
      <c r="K53" s="32"/>
      <c r="L53" s="32"/>
      <c r="M53" s="32"/>
      <c r="N53" s="32"/>
      <c r="O53" s="32"/>
      <c r="P53" s="32"/>
      <c r="Q53" s="33" t="s">
        <v>31</v>
      </c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</row>
    <row r="54" ht="12.75" customHeight="1">
      <c r="A54" s="34" t="s">
        <v>80</v>
      </c>
      <c r="B54" s="28" t="s">
        <v>184</v>
      </c>
      <c r="C54" s="29" t="s">
        <v>82</v>
      </c>
      <c r="D54" s="30" t="s">
        <v>83</v>
      </c>
      <c r="E54" s="30" t="s">
        <v>84</v>
      </c>
      <c r="F54" s="30" t="s">
        <v>85</v>
      </c>
      <c r="G54" s="12" t="str">
        <f>IFERROR(__xludf.DUMMYFUNCTION("GOOGLETRANSLATE(C54,""en"",""or"")"),"ସିଲ୍ଟର ପରିମାଣ")</f>
        <v>ସିଲ୍ଟର ପରିମାଣ</v>
      </c>
      <c r="H54" s="31" t="s">
        <v>183</v>
      </c>
      <c r="I54" s="32"/>
      <c r="J54" s="32"/>
      <c r="K54" s="32"/>
      <c r="L54" s="32"/>
      <c r="M54" s="32"/>
      <c r="N54" s="32"/>
      <c r="O54" s="32"/>
      <c r="P54" s="32"/>
      <c r="Q54" s="33" t="s">
        <v>31</v>
      </c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</row>
    <row r="55" ht="12.75" customHeight="1">
      <c r="A55" s="9" t="s">
        <v>185</v>
      </c>
      <c r="B55" s="9" t="s">
        <v>186</v>
      </c>
      <c r="C55" s="9" t="s">
        <v>187</v>
      </c>
      <c r="D55" s="12" t="s">
        <v>188</v>
      </c>
      <c r="E55" s="12" t="str">
        <f>IFERROR(__xludf.DUMMYFUNCTION("GOOGLETRANSLATE(D55, ""hi"", ""gu"")"),"ડાયવર્ઝન ડ્રેઇનનું સમારકામ")</f>
        <v>ડાયવર્ઝન ડ્રેઇનનું સમારકામ</v>
      </c>
      <c r="F55" s="12" t="s">
        <v>189</v>
      </c>
      <c r="G55" s="12" t="str">
        <f>IFERROR(__xludf.DUMMYFUNCTION("GOOGLETRANSLATE(C55,""en"",""or"")"),"ଡାଇଭର୍ସନ ଡ୍ରେନଗୁଡ଼ିକର ମରାମତି")</f>
        <v>ଡାଇଭର୍ସନ ଡ୍ରେନଗୁଡ଼ିକର ମରାମତି</v>
      </c>
      <c r="H55" s="26" t="s">
        <v>190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ht="12.75" customHeight="1">
      <c r="A56" s="28" t="s">
        <v>73</v>
      </c>
      <c r="B56" s="28" t="s">
        <v>191</v>
      </c>
      <c r="C56" s="29" t="s">
        <v>75</v>
      </c>
      <c r="D56" s="30" t="s">
        <v>76</v>
      </c>
      <c r="E56" s="30" t="s">
        <v>77</v>
      </c>
      <c r="F56" s="30" t="s">
        <v>78</v>
      </c>
      <c r="G56" s="12" t="str">
        <f>IFERROR(__xludf.DUMMYFUNCTION("GOOGLETRANSLATE(C56,""en"",""or"")"),"ମାଟିର ପ୍ରକାର")</f>
        <v>ମାଟିର ପ୍ରକାର</v>
      </c>
      <c r="H56" s="31" t="s">
        <v>192</v>
      </c>
      <c r="I56" s="32"/>
      <c r="J56" s="32"/>
      <c r="K56" s="32"/>
      <c r="L56" s="32"/>
      <c r="M56" s="32"/>
      <c r="N56" s="32"/>
      <c r="O56" s="32"/>
      <c r="P56" s="32"/>
      <c r="Q56" s="33" t="s">
        <v>31</v>
      </c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</row>
    <row r="57" ht="12.75" customHeight="1">
      <c r="A57" s="34" t="s">
        <v>80</v>
      </c>
      <c r="B57" s="28" t="s">
        <v>193</v>
      </c>
      <c r="C57" s="29" t="s">
        <v>82</v>
      </c>
      <c r="D57" s="30" t="s">
        <v>83</v>
      </c>
      <c r="E57" s="30" t="s">
        <v>84</v>
      </c>
      <c r="F57" s="30" t="s">
        <v>85</v>
      </c>
      <c r="G57" s="12" t="str">
        <f>IFERROR(__xludf.DUMMYFUNCTION("GOOGLETRANSLATE(C57,""en"",""or"")"),"ସିଲ୍ଟର ପରିମାଣ")</f>
        <v>ସିଲ୍ଟର ପରିମାଣ</v>
      </c>
      <c r="H57" s="31" t="s">
        <v>192</v>
      </c>
      <c r="I57" s="32"/>
      <c r="J57" s="32"/>
      <c r="K57" s="32"/>
      <c r="L57" s="32"/>
      <c r="M57" s="32"/>
      <c r="N57" s="32"/>
      <c r="O57" s="32"/>
      <c r="P57" s="32"/>
      <c r="Q57" s="33" t="s">
        <v>31</v>
      </c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</row>
    <row r="58" ht="12.75" customHeight="1">
      <c r="A58" s="9" t="s">
        <v>194</v>
      </c>
      <c r="B58" s="9" t="s">
        <v>195</v>
      </c>
      <c r="C58" s="9" t="s">
        <v>196</v>
      </c>
      <c r="D58" s="12" t="s">
        <v>197</v>
      </c>
      <c r="E58" s="12" t="str">
        <f>IFERROR(__xludf.DUMMYFUNCTION("GOOGLETRANSLATE(D58, ""hi"", ""gu"")"),"બંધન: કોન્ટૂર બંધ/ગ્રેડેડ બંધનું સમારકામ")</f>
        <v>બંધન: કોન્ટૂર બંધ/ગ્રેડેડ બંધનું સમારકામ</v>
      </c>
      <c r="F58" s="11" t="s">
        <v>198</v>
      </c>
      <c r="G58" s="12" t="str">
        <f>IFERROR(__xludf.DUMMYFUNCTION("GOOGLETRANSLATE(C58,""en"",""or"")"),"ବାଣ୍ଡିଂର ମରାମତି: କଣ୍ଟୁର ବାଣ୍ଡ / ଗ୍ରେଡେଡ୍ ବାଣ୍ଡ")</f>
        <v>ବାଣ୍ଡିଂର ମରାମତି: କଣ୍ଟୁର ବାଣ୍ଡ / ଗ୍ରେଡେଡ୍ ବାଣ୍ଡ</v>
      </c>
      <c r="H58" s="26" t="s">
        <v>199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ht="12.75" customHeight="1">
      <c r="A59" s="28" t="s">
        <v>73</v>
      </c>
      <c r="B59" s="28" t="s">
        <v>200</v>
      </c>
      <c r="C59" s="29" t="s">
        <v>75</v>
      </c>
      <c r="D59" s="30" t="s">
        <v>76</v>
      </c>
      <c r="E59" s="30" t="s">
        <v>77</v>
      </c>
      <c r="F59" s="30" t="s">
        <v>78</v>
      </c>
      <c r="G59" s="12" t="str">
        <f>IFERROR(__xludf.DUMMYFUNCTION("GOOGLETRANSLATE(C59,""en"",""or"")"),"ମାଟିର ପ୍ରକାର")</f>
        <v>ମାଟିର ପ୍ରକାର</v>
      </c>
      <c r="H59" s="31" t="s">
        <v>201</v>
      </c>
      <c r="I59" s="32"/>
      <c r="J59" s="32"/>
      <c r="K59" s="32"/>
      <c r="L59" s="32"/>
      <c r="M59" s="32"/>
      <c r="N59" s="32"/>
      <c r="O59" s="32"/>
      <c r="P59" s="32"/>
      <c r="Q59" s="33" t="s">
        <v>31</v>
      </c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</row>
    <row r="60" ht="12.75" customHeight="1">
      <c r="A60" s="34" t="s">
        <v>80</v>
      </c>
      <c r="B60" s="28" t="s">
        <v>202</v>
      </c>
      <c r="C60" s="29" t="s">
        <v>82</v>
      </c>
      <c r="D60" s="30" t="s">
        <v>83</v>
      </c>
      <c r="E60" s="30" t="s">
        <v>84</v>
      </c>
      <c r="F60" s="30" t="s">
        <v>85</v>
      </c>
      <c r="G60" s="12" t="str">
        <f>IFERROR(__xludf.DUMMYFUNCTION("GOOGLETRANSLATE(C60,""en"",""or"")"),"ସିଲ୍ଟର ପରିମାଣ")</f>
        <v>ସିଲ୍ଟର ପରିମାଣ</v>
      </c>
      <c r="H60" s="31" t="s">
        <v>201</v>
      </c>
      <c r="I60" s="32"/>
      <c r="J60" s="32"/>
      <c r="K60" s="32"/>
      <c r="L60" s="32"/>
      <c r="M60" s="32"/>
      <c r="N60" s="32"/>
      <c r="O60" s="32"/>
      <c r="P60" s="32"/>
      <c r="Q60" s="33" t="s">
        <v>31</v>
      </c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</row>
    <row r="61" ht="12.75" customHeight="1">
      <c r="A61" s="9" t="s">
        <v>203</v>
      </c>
      <c r="B61" s="9" t="s">
        <v>204</v>
      </c>
      <c r="C61" s="9" t="s">
        <v>205</v>
      </c>
      <c r="D61" s="12" t="s">
        <v>206</v>
      </c>
      <c r="E61" s="12" t="str">
        <f>IFERROR(__xludf.DUMMYFUNCTION("GOOGLETRANSLATE(D61, ""hi"", ""gu"")"),"મોડેલ સ્ટ્રક્ચર્સનું 5% સમારકામ")</f>
        <v>મોડેલ સ્ટ્રક્ચર્સનું 5% સમારકામ</v>
      </c>
      <c r="F61" s="12" t="s">
        <v>207</v>
      </c>
      <c r="G61" s="12" t="str">
        <f>IFERROR(__xludf.DUMMYFUNCTION("GOOGLETRANSLATE(C61,""en"",""or"")"),"୫% ମଡେଲ ଗଠନର ମରାମତି")</f>
        <v>୫% ମଡେଲ ଗଠନର ମରାମତି</v>
      </c>
      <c r="H61" s="26" t="s">
        <v>208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ht="12.75" customHeight="1">
      <c r="A62" s="28" t="s">
        <v>73</v>
      </c>
      <c r="B62" s="28" t="s">
        <v>209</v>
      </c>
      <c r="C62" s="29" t="s">
        <v>75</v>
      </c>
      <c r="D62" s="30" t="s">
        <v>76</v>
      </c>
      <c r="E62" s="30" t="s">
        <v>77</v>
      </c>
      <c r="F62" s="30" t="s">
        <v>78</v>
      </c>
      <c r="G62" s="12" t="str">
        <f>IFERROR(__xludf.DUMMYFUNCTION("GOOGLETRANSLATE(C62,""en"",""or"")"),"ମାଟିର ପ୍ରକାର")</f>
        <v>ମାଟିର ପ୍ରକାର</v>
      </c>
      <c r="H62" s="31" t="s">
        <v>210</v>
      </c>
      <c r="I62" s="32"/>
      <c r="J62" s="32"/>
      <c r="K62" s="32"/>
      <c r="L62" s="32"/>
      <c r="M62" s="32"/>
      <c r="N62" s="32"/>
      <c r="O62" s="32"/>
      <c r="P62" s="32"/>
      <c r="Q62" s="33" t="s">
        <v>31</v>
      </c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</row>
    <row r="63" ht="12.75" customHeight="1">
      <c r="A63" s="34" t="s">
        <v>80</v>
      </c>
      <c r="B63" s="28" t="s">
        <v>211</v>
      </c>
      <c r="C63" s="29" t="s">
        <v>82</v>
      </c>
      <c r="D63" s="30" t="s">
        <v>83</v>
      </c>
      <c r="E63" s="30" t="s">
        <v>84</v>
      </c>
      <c r="F63" s="30" t="s">
        <v>85</v>
      </c>
      <c r="G63" s="12" t="str">
        <f>IFERROR(__xludf.DUMMYFUNCTION("GOOGLETRANSLATE(C63,""en"",""or"")"),"ସିଲ୍ଟର ପରିମାଣ")</f>
        <v>ସିଲ୍ଟର ପରିମାଣ</v>
      </c>
      <c r="H63" s="31" t="s">
        <v>210</v>
      </c>
      <c r="I63" s="32"/>
      <c r="J63" s="32"/>
      <c r="K63" s="32"/>
      <c r="L63" s="32"/>
      <c r="M63" s="32"/>
      <c r="N63" s="32"/>
      <c r="O63" s="32"/>
      <c r="P63" s="32"/>
      <c r="Q63" s="33" t="s">
        <v>31</v>
      </c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</row>
    <row r="64" ht="12.75" customHeight="1">
      <c r="A64" s="9" t="s">
        <v>212</v>
      </c>
      <c r="B64" s="9" t="s">
        <v>213</v>
      </c>
      <c r="C64" s="9" t="s">
        <v>214</v>
      </c>
      <c r="D64" s="12" t="s">
        <v>215</v>
      </c>
      <c r="E64" s="12" t="str">
        <f>IFERROR(__xludf.DUMMYFUNCTION("GOOGLETRANSLATE(D64, ""hi"", ""gu"")"),"૩૦-૪૦ મોડેલ સ્ટ્રક્ચર્સનું સમારકામ")</f>
        <v>૩૦-૪૦ મોડેલ સ્ટ્રક્ચર્સનું સમારકામ</v>
      </c>
      <c r="F64" s="12" t="s">
        <v>216</v>
      </c>
      <c r="G64" s="12" t="str">
        <f>IFERROR(__xludf.DUMMYFUNCTION("GOOGLETRANSLATE(C64,""en"",""or"")"),"30-40 ମଡେଲ ଗଠନର ମରାମତି")</f>
        <v>30-40 ମଡେଲ ଗଠନର ମରାମତି</v>
      </c>
      <c r="H64" s="26" t="s">
        <v>217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ht="12.75" customHeight="1">
      <c r="A65" s="28" t="s">
        <v>73</v>
      </c>
      <c r="B65" s="28" t="s">
        <v>218</v>
      </c>
      <c r="C65" s="29" t="s">
        <v>75</v>
      </c>
      <c r="D65" s="30" t="s">
        <v>76</v>
      </c>
      <c r="E65" s="30" t="s">
        <v>77</v>
      </c>
      <c r="F65" s="30" t="s">
        <v>78</v>
      </c>
      <c r="G65" s="12" t="str">
        <f>IFERROR(__xludf.DUMMYFUNCTION("GOOGLETRANSLATE(C65,""en"",""or"")"),"ମାଟିର ପ୍ରକାର")</f>
        <v>ମାଟିର ପ୍ରକାର</v>
      </c>
      <c r="H65" s="31" t="s">
        <v>219</v>
      </c>
      <c r="I65" s="32"/>
      <c r="J65" s="32"/>
      <c r="K65" s="32"/>
      <c r="L65" s="32"/>
      <c r="M65" s="32"/>
      <c r="N65" s="32"/>
      <c r="O65" s="32"/>
      <c r="P65" s="32"/>
      <c r="Q65" s="33" t="s">
        <v>31</v>
      </c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</row>
    <row r="66" ht="12.75" customHeight="1">
      <c r="A66" s="34" t="s">
        <v>80</v>
      </c>
      <c r="B66" s="28" t="s">
        <v>220</v>
      </c>
      <c r="C66" s="29" t="s">
        <v>82</v>
      </c>
      <c r="D66" s="30" t="s">
        <v>83</v>
      </c>
      <c r="E66" s="30" t="s">
        <v>84</v>
      </c>
      <c r="F66" s="30" t="s">
        <v>85</v>
      </c>
      <c r="G66" s="12" t="str">
        <f>IFERROR(__xludf.DUMMYFUNCTION("GOOGLETRANSLATE(C66,""en"",""or"")"),"ସିଲ୍ଟର ପରିମାଣ")</f>
        <v>ସିଲ୍ଟର ପରିମାଣ</v>
      </c>
      <c r="H66" s="31" t="s">
        <v>219</v>
      </c>
      <c r="I66" s="32"/>
      <c r="J66" s="32"/>
      <c r="K66" s="32"/>
      <c r="L66" s="32"/>
      <c r="M66" s="32"/>
      <c r="N66" s="32"/>
      <c r="O66" s="32"/>
      <c r="P66" s="32"/>
      <c r="Q66" s="33" t="s">
        <v>31</v>
      </c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</row>
    <row r="67" ht="12.75" customHeight="1">
      <c r="A67" s="9"/>
      <c r="B67" s="9"/>
      <c r="C67" s="9"/>
      <c r="D67" s="10"/>
      <c r="E67" s="12"/>
      <c r="F67" s="11"/>
      <c r="G67" s="12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ht="12.75" customHeight="1">
      <c r="A68" s="12" t="s">
        <v>221</v>
      </c>
      <c r="B68" s="12" t="s">
        <v>222</v>
      </c>
      <c r="C68" s="12" t="s">
        <v>223</v>
      </c>
      <c r="D68" s="12" t="s">
        <v>224</v>
      </c>
      <c r="E68" s="12" t="str">
        <f>IFERROR(__xludf.DUMMYFUNCTION("GOOGLETRANSLATE(D68, ""hi"", ""gu"")"),"વિસ્તારનો ફોટો")</f>
        <v>વિસ્તારનો ફોટો</v>
      </c>
      <c r="F68" s="12" t="s">
        <v>225</v>
      </c>
      <c r="G68" s="12" t="str">
        <f>IFERROR(__xludf.DUMMYFUNCTION("GOOGLETRANSLATE(C68,""en"",""or"")"),"ଅଞ୍ଚଳର ଫଟୋ")</f>
        <v>ଅଞ୍ଚଳର ଫଟୋ</v>
      </c>
      <c r="H68" s="12"/>
      <c r="I68" s="12"/>
      <c r="J68" s="12"/>
      <c r="K68" s="12"/>
      <c r="L68" s="12"/>
      <c r="M68" s="12"/>
      <c r="N68" s="12"/>
      <c r="O68" s="12"/>
      <c r="P68" s="12" t="s">
        <v>226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</row>
    <row r="69" ht="12.75" customHeight="1">
      <c r="A69" s="12" t="s">
        <v>227</v>
      </c>
      <c r="B69" s="12" t="s">
        <v>228</v>
      </c>
      <c r="C69" s="12" t="s">
        <v>229</v>
      </c>
      <c r="D69" s="12" t="s">
        <v>230</v>
      </c>
      <c r="E69" s="12" t="str">
        <f>IFERROR(__xludf.DUMMYFUNCTION("GOOGLETRANSLATE(D69, ""hi"", ""gu"")"),"આ સ્થાન પર રિચાર્જ સ્ટ્રક્ચરને જાળવણીની જરૂર કેમ છે તે સમજાવતો સંદેશ રેકોર્ડ કરો.")</f>
        <v>આ સ્થાન પર રિચાર્જ સ્ટ્રક્ચરને જાળવણીની જરૂર કેમ છે તે સમજાવતો સંદેશ રેકોર્ડ કરો.</v>
      </c>
      <c r="F69" s="12" t="s">
        <v>231</v>
      </c>
      <c r="G69" s="12" t="str">
        <f>IFERROR(__xludf.DUMMYFUNCTION("GOOGLETRANSLATE(C69,""en"",""or"")"),"ଏହି ସ୍ଥାନରେ ରିଚାର୍ଜ ଷ୍ଟ୍ରକଚରର ରକ୍ଷଣାବେକ୍ଷଣର ଆବଶ୍ୟକତାକୁ ଯଥାର୍ଥ କରି ଏକ ବାର୍ତ୍ତା ରେକର୍ଡ କରନ୍ତୁ।")</f>
        <v>ଏହି ସ୍ଥାନରେ ରିଚାର୍ଜ ଷ୍ଟ୍ରକଚରର ରକ୍ଷଣାବେକ୍ଷଣର ଆବଶ୍ୟକତାକୁ ଯଥାର୍ଥ କରି ଏକ ବାର୍ତ୍ତା ରେକର୍ଡ କରନ୍ତୁ।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</row>
    <row r="70" ht="12.75" customHeight="1">
      <c r="A70" s="36" t="s">
        <v>26</v>
      </c>
      <c r="B70" s="36" t="s">
        <v>232</v>
      </c>
      <c r="C70" s="36" t="s">
        <v>233</v>
      </c>
      <c r="D70" s="36" t="s">
        <v>234</v>
      </c>
      <c r="E70" s="36" t="str">
        <f>IFERROR(__xludf.DUMMYFUNCTION("GOOGLETRANSLATE(D70, ""hi"", ""gu"")"),"જો તમે રેકોર્ડ કરી શકતા નથી, તો આ સ્થાન પર રિચાર્જ સ્ટ્રક્ચર જાળવવાની જરૂરિયાતનું કારણ લખો.")</f>
        <v>જો તમે રેકોર્ડ કરી શકતા નથી, તો આ સ્થાન પર રિચાર્જ સ્ટ્રક્ચર જાળવવાની જરૂરિયાતનું કારણ લખો.</v>
      </c>
      <c r="F70" s="36" t="str">
        <f>IFERROR(__xludf.DUMMYFUNCTION("GOOGLETRANSLATE(E70, ""en"", ""kn"")"),"ಜೋ ನಿಮ್ಮ ರೆಕಾರ್ಡ್ ಕರಿ ಶಕತಾ ನತಿ, ತೋ ಆ ಸ್ಥಾವರ ರಿಚಾರ್ಜ್ ಸ್ಟ್ರಕ್ಚರ್ ಜಾಲವಾಣಿ ಜರೂರಿಯಂತನ್ ಲಖೋ.")</f>
        <v>ಜೋ ನಿಮ್ಮ ರೆಕಾರ್ಡ್ ಕರಿ ಶಕತಾ ನತಿ, ತೋ ಆ ಸ್ಥಾವರ ರಿಚಾರ್ಜ್ ಸ್ಟ್ರಕ್ಚರ್ ಜಾಲವಾಣಿ ಜರೂರಿಯಂತನ್ ಲಖೋ.</v>
      </c>
      <c r="G70" s="12" t="str">
        <f>IFERROR(__xludf.DUMMYFUNCTION("GOOGLETRANSLATE(C70,""en"",""or"")"),"ଯଦି ଆପଣ ରେକର୍ଡ କରିପାରିବେ ନାହିଁ, ତେବେ ଏହି ସ୍ଥାନରେ ରିଚାର୍ଜ ଷ୍ଟ୍ରକଚରର ରକ୍ଷଣାବେକ୍ଷଣର ଆବଶ୍ୟକତାର ଯଥାର୍ଥତା ଲେଖନ୍ତୁ।")</f>
        <v>ଯଦି ଆପଣ ରେକର୍ଡ କରିପାରିବେ ନାହିଁ, ତେବେ ଏହି ସ୍ଥାନରେ ରିଚାର୍ଜ ଷ୍ଟ୍ରକଚରର ରକ୍ଷଣାବେକ୍ଷଣର ଆବଶ୍ୟକତାର ଯଥାର୍ଥତା ଲେଖନ୍ତୁ।</v>
      </c>
      <c r="H70" s="37" t="s">
        <v>235</v>
      </c>
      <c r="I70" s="37"/>
      <c r="J70" s="38"/>
      <c r="K70" s="38"/>
      <c r="L70" s="38"/>
      <c r="M70" s="38"/>
      <c r="N70" s="38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</row>
    <row r="71" ht="12.75" customHeight="1">
      <c r="A71" s="9"/>
      <c r="B71" s="9"/>
      <c r="C71" s="9"/>
      <c r="D71" s="10"/>
      <c r="E71" s="12"/>
      <c r="F71" s="11"/>
      <c r="G71" s="12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ht="12.75" customHeight="1">
      <c r="A72" s="21" t="s">
        <v>236</v>
      </c>
      <c r="B72" s="21" t="s">
        <v>237</v>
      </c>
      <c r="C72" s="15" t="s">
        <v>238</v>
      </c>
      <c r="D72" s="39" t="s">
        <v>239</v>
      </c>
      <c r="E72" s="39" t="str">
        <f>IFERROR(__xludf.DUMMYFUNCTION("GOOGLETRANSLATE(D72,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72" s="12" t="s">
        <v>240</v>
      </c>
      <c r="G72" s="12" t="str">
        <f>IFERROR(__xludf.DUMMYFUNCTION("GOOGLETRANSLATE(C72,""en"",""or"")"),"&lt;span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</row>
    <row r="73" ht="12.75" customHeight="1">
      <c r="A73" s="12" t="s">
        <v>241</v>
      </c>
      <c r="B73" s="40" t="s">
        <v>242</v>
      </c>
      <c r="C73" s="39" t="s">
        <v>243</v>
      </c>
      <c r="D73" s="41" t="s">
        <v>244</v>
      </c>
      <c r="E73" s="39" t="str">
        <f>IFERROR(__xludf.DUMMYFUNCTION("GOOGLETRANSLATE(D73, ""hi"", ""gu"")"),"અક્ષાંશ રેખાંશ")</f>
        <v>અક્ષાંશ રેખાંશ</v>
      </c>
      <c r="F73" s="12" t="s">
        <v>245</v>
      </c>
      <c r="G73" s="12" t="str">
        <f>IFERROR(__xludf.DUMMYFUNCTION("GOOGLETRANSLATE(C73,""en"",""or"")"),"ଅକ୍ଷାଂଶ/ଲୋନ")</f>
        <v>ଅକ୍ଷାଂଶ/ଲୋନ</v>
      </c>
      <c r="H73" s="12"/>
      <c r="I73" s="12"/>
      <c r="J73" s="12"/>
      <c r="K73" s="40"/>
      <c r="L73" s="40"/>
      <c r="M73" s="40"/>
      <c r="N73" s="40"/>
      <c r="O73" s="42" t="s">
        <v>246</v>
      </c>
      <c r="P73" s="43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</row>
    <row r="74" ht="12.75" customHeight="1">
      <c r="A74" s="16" t="s">
        <v>236</v>
      </c>
      <c r="B74" s="16" t="s">
        <v>247</v>
      </c>
      <c r="C74" s="15" t="s">
        <v>248</v>
      </c>
      <c r="D74" s="17" t="s">
        <v>249</v>
      </c>
      <c r="E74" s="12" t="str">
        <f>IFERROR(__xludf.DUMMYFUNCTION("GOOGLETRANSLATE(D74, ""hi"", ""gu"")"),"&lt;span style=""color:red""&gt;કૃપા કરીને નીચેના નકશામાં ભટકશો નહીં&lt;/span&gt;")</f>
        <v>&lt;span style="color:red"&gt;કૃપા કરીને નીચેના નકશામાં ભટકશો નહીં&lt;/span&gt;</v>
      </c>
      <c r="F74" s="12" t="s">
        <v>250</v>
      </c>
      <c r="G74" s="12" t="str">
        <f>IFERROR(__xludf.DUMMYFUNCTION("GOOGLETRANSLATE(C74,""en"",""or"")"),"&lt;span style=""color:red""&gt;ଦୟାକରି ତଳେ ଥିବା ମାନଚିତ୍ରରେ ଏଣେତେଣେ ବୁଲି ଦେଖନ୍ତୁ ନାହିଁ&lt;/span&gt;")</f>
        <v>&lt;span style="color:red"&gt;ଦୟାକରି ତଳେ ଥିବା ମାନଚିତ୍ରରେ ଏଣେତେଣେ ବୁଲି ଦେଖନ୍ତୁ ନାହିଁ&lt;/span&gt;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</row>
    <row r="75" ht="12.75" customHeight="1">
      <c r="A75" s="12" t="s">
        <v>251</v>
      </c>
      <c r="B75" s="12" t="s">
        <v>252</v>
      </c>
      <c r="C75" s="15"/>
      <c r="D75" s="17"/>
      <c r="E75" s="12"/>
      <c r="F75" s="11"/>
      <c r="G75" s="12"/>
      <c r="H75" s="12"/>
      <c r="I75" s="12"/>
      <c r="J75" s="12"/>
      <c r="K75" s="39" t="s">
        <v>251</v>
      </c>
      <c r="L75" s="39" t="s">
        <v>253</v>
      </c>
      <c r="M75" s="39" t="str">
        <f>IFERROR(__xludf.DUMMYFUNCTION("GOOGLETRANSLATE(K75, ""en"", ""gu"")"),"જીઓપોઇન્ટ")</f>
        <v>જીઓપોઇન્ટ</v>
      </c>
      <c r="N75" s="39" t="str">
        <f>IFERROR(__xludf.DUMMYFUNCTION("GOOGLETRANSLATE(K75, ""en"", ""kn"")"),"ಜಿಯೋಪಾಯಿಂಟ್")</f>
        <v>ಜಿಯೋಪಾಯಿಂಟ್</v>
      </c>
      <c r="O75" s="12" t="s">
        <v>254</v>
      </c>
      <c r="P75" s="12"/>
      <c r="Q75" s="12" t="s">
        <v>31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</row>
    <row r="76" ht="12.75" customHeight="1">
      <c r="A76" s="12" t="s">
        <v>255</v>
      </c>
      <c r="B76" s="12"/>
      <c r="C76" s="12"/>
      <c r="D76" s="10"/>
      <c r="E76" s="12"/>
      <c r="F76" s="11"/>
      <c r="G76" s="12"/>
      <c r="H76" s="12"/>
      <c r="I76" s="12"/>
      <c r="J76" s="12"/>
      <c r="K76" s="40"/>
      <c r="L76" s="40"/>
      <c r="M76" s="40"/>
      <c r="N76" s="40"/>
      <c r="O76" s="40"/>
      <c r="P76" s="40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</row>
    <row r="77" ht="12.75" customHeight="1">
      <c r="A77" s="10" t="s">
        <v>26</v>
      </c>
      <c r="B77" s="12" t="s">
        <v>256</v>
      </c>
      <c r="C77" s="10" t="s">
        <v>257</v>
      </c>
      <c r="D77" s="12" t="s">
        <v>258</v>
      </c>
      <c r="E77" s="12" t="str">
        <f>IFERROR(__xludf.DUMMYFUNCTION("GOOGLETRANSLATE(D77, ""hi"", ""gu"")"),"બ્લોકનું નામ")</f>
        <v>બ્લોકનું નામ</v>
      </c>
      <c r="F77" s="12" t="s">
        <v>259</v>
      </c>
      <c r="G77" s="12" t="str">
        <f>IFERROR(__xludf.DUMMYFUNCTION("GOOGLETRANSLATE(C77,""en"",""or"")"),"ବ୍ଲକ୍ ନାମ")</f>
        <v>ବ୍ଲକ୍ ନାମ</v>
      </c>
      <c r="H77" s="10"/>
      <c r="I77" s="10"/>
      <c r="J77" s="10"/>
      <c r="K77" s="9"/>
      <c r="L77" s="9"/>
      <c r="M77" s="9"/>
      <c r="N77" s="9"/>
      <c r="O77" s="10"/>
      <c r="P77" s="10"/>
      <c r="Q77" s="9"/>
      <c r="R77" s="10"/>
      <c r="S77" s="10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ht="12.75" customHeight="1">
      <c r="A78" s="12" t="s">
        <v>26</v>
      </c>
      <c r="B78" s="12" t="s">
        <v>260</v>
      </c>
      <c r="C78" s="12" t="s">
        <v>261</v>
      </c>
      <c r="D78" s="12" t="s">
        <v>262</v>
      </c>
      <c r="E78" s="12" t="str">
        <f>IFERROR(__xludf.DUMMYFUNCTION("GOOGLETRANSLATE(D78, ""hi"", ""gu"")"),"સંકળાયેલ નોકરીનું ID")</f>
        <v>સંકળાયેલ નોકરીનું ID</v>
      </c>
      <c r="F78" s="12" t="s">
        <v>263</v>
      </c>
      <c r="G78" s="12" t="str">
        <f>IFERROR(__xludf.DUMMYFUNCTION("GOOGLETRANSLATE(C78,""en"",""or"")"),"ଅନୁରୂପ କାର୍ଯ୍ୟ ID")</f>
        <v>ଅନୁରୂପ କାର୍ଯ୍ୟ ID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</row>
    <row r="79" ht="12.75" customHeight="1">
      <c r="A79" s="12" t="s">
        <v>26</v>
      </c>
      <c r="B79" s="12" t="s">
        <v>264</v>
      </c>
      <c r="C79" s="12" t="s">
        <v>265</v>
      </c>
      <c r="D79" s="12" t="s">
        <v>266</v>
      </c>
      <c r="E79" s="12" t="str">
        <f>IFERROR(__xludf.DUMMYFUNCTION("GOOGLETRANSLATE(D79, ""hi"", ""gu"")"),"સ્કીમ આઈડી")</f>
        <v>સ્કીમ આઈડી</v>
      </c>
      <c r="F79" s="12" t="s">
        <v>267</v>
      </c>
      <c r="G79" s="12" t="str">
        <f>IFERROR(__xludf.DUMMYFUNCTION("GOOGLETRANSLATE(C79,""en"",""or"")"),"ପ୍ଲାନ୍ ID")</f>
        <v>ପ୍ଲାନ୍ ID</v>
      </c>
      <c r="H79" s="12"/>
      <c r="I79" s="12"/>
      <c r="J79" s="12"/>
      <c r="K79" s="12"/>
      <c r="L79" s="12"/>
      <c r="M79" s="12"/>
      <c r="N79" s="12"/>
      <c r="O79" s="12" t="s">
        <v>268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</row>
    <row r="80" ht="12.75" customHeight="1">
      <c r="A80" s="12" t="s">
        <v>26</v>
      </c>
      <c r="B80" s="12" t="s">
        <v>269</v>
      </c>
      <c r="C80" s="12" t="s">
        <v>270</v>
      </c>
      <c r="D80" s="12" t="s">
        <v>271</v>
      </c>
      <c r="E80" s="12" t="str">
        <f>IFERROR(__xludf.DUMMYFUNCTION("GOOGLETRANSLATE(D80, ""hi"", ""gu"")"),"યોજનાનું નામ")</f>
        <v>યોજનાનું નામ</v>
      </c>
      <c r="F80" s="12" t="s">
        <v>272</v>
      </c>
      <c r="G80" s="12" t="str">
        <f>IFERROR(__xludf.DUMMYFUNCTION("GOOGLETRANSLATE(C80,""en"",""or"")"),"ଯୋଜନାର ନାମ")</f>
        <v>ଯୋଜନାର ନାମ</v>
      </c>
      <c r="H80" s="12"/>
      <c r="I80" s="12"/>
      <c r="J80" s="12"/>
      <c r="K80" s="12"/>
      <c r="L80" s="12"/>
      <c r="M80" s="12"/>
      <c r="N80" s="12"/>
      <c r="O80" s="12" t="s">
        <v>268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</row>
    <row r="81" ht="12.75" customHeight="1">
      <c r="A81" s="12" t="s">
        <v>26</v>
      </c>
      <c r="B81" s="12" t="s">
        <v>273</v>
      </c>
      <c r="C81" s="12" t="s">
        <v>274</v>
      </c>
      <c r="D81" s="35" t="s">
        <v>275</v>
      </c>
      <c r="E81" s="12" t="str">
        <f>IFERROR(__xludf.DUMMYFUNCTION("GOOGLETRANSLATE(D81, ""hi"", ""gu"")"),"વપરાશકર્તાનું વર્તમાન સ્થાન")</f>
        <v>વપરાશકર્તાનું વર્તમાન સ્થાન</v>
      </c>
      <c r="F81" s="12" t="s">
        <v>276</v>
      </c>
      <c r="G81" s="12" t="str">
        <f>IFERROR(__xludf.DUMMYFUNCTION("GOOGLETRANSLATE(C81,""en"",""or"")"),"ଉପଯୋଗକର୍ତ୍ତାଙ୍କ ବର୍ତ୍ତମାନର ସ୍ଥାନ")</f>
        <v>ଉପଯୋଗକର୍ତ୍ତାଙ୍କ ବର୍ତ୍ତମାନର ସ୍ଥାନ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</row>
    <row r="82" ht="12.75" customHeight="1">
      <c r="A82" s="10" t="s">
        <v>26</v>
      </c>
      <c r="B82" s="10" t="s">
        <v>277</v>
      </c>
      <c r="C82" s="10" t="s">
        <v>278</v>
      </c>
      <c r="D82" s="12" t="s">
        <v>279</v>
      </c>
      <c r="E82" s="12" t="str">
        <f>IFERROR(__xludf.DUMMYFUNCTION("GOOGLETRANSLATE(D82, ""hi"", ""gu"")"),"કાર્યાલય ID")</f>
        <v>કાર્યાલય ID</v>
      </c>
      <c r="F82" s="12" t="s">
        <v>280</v>
      </c>
      <c r="G82" s="12" t="str">
        <f>IFERROR(__xludf.DUMMYFUNCTION("GOOGLETRANSLATE(C82,""en"",""or"")"),"କାର୍ଯ୍ୟସ୍ଥଳୀ ID")</f>
        <v>କାର୍ଯ୍ୟସ୍ଥଳୀ ID</v>
      </c>
      <c r="H82" s="10"/>
      <c r="I82" s="10" t="s">
        <v>31</v>
      </c>
      <c r="J82" s="10" t="s">
        <v>281</v>
      </c>
      <c r="K82" s="10"/>
      <c r="L82" s="10"/>
      <c r="M82" s="10"/>
      <c r="N82" s="10"/>
      <c r="O82" s="10"/>
      <c r="P82" s="10"/>
      <c r="Q82" s="9"/>
      <c r="R82" s="10"/>
      <c r="S82" s="10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ht="12.75" customHeight="1">
      <c r="A83" s="9"/>
      <c r="B83" s="9"/>
      <c r="C83" s="9"/>
      <c r="D83" s="10"/>
      <c r="E83" s="10"/>
      <c r="F83" s="11"/>
      <c r="G83" s="12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ht="12.75" customHeight="1">
      <c r="A84" s="12"/>
      <c r="B84" s="12"/>
      <c r="C84" s="12"/>
      <c r="D84" s="12"/>
      <c r="E84" s="12"/>
      <c r="F84" s="11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</row>
    <row r="85" ht="12.75" customHeight="1">
      <c r="A85" s="9"/>
      <c r="B85" s="9"/>
      <c r="C85" s="9"/>
      <c r="D85" s="10"/>
      <c r="E85" s="10"/>
      <c r="F85" s="11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ht="12.75" customHeight="1">
      <c r="A86" s="9"/>
      <c r="B86" s="9"/>
      <c r="C86" s="9"/>
      <c r="D86" s="10"/>
      <c r="E86" s="10"/>
      <c r="F86" s="11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ht="12.75" customHeight="1">
      <c r="A87" s="9"/>
      <c r="B87" s="9"/>
      <c r="C87" s="9"/>
      <c r="D87" s="10"/>
      <c r="E87" s="10"/>
      <c r="F87" s="11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ht="12.75" customHeight="1">
      <c r="A88" s="9"/>
      <c r="B88" s="9"/>
      <c r="C88" s="9"/>
      <c r="D88" s="10"/>
      <c r="E88" s="10"/>
      <c r="F88" s="11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ht="12.75" customHeight="1">
      <c r="A89" s="9"/>
      <c r="B89" s="9"/>
      <c r="C89" s="9"/>
      <c r="D89" s="10"/>
      <c r="E89" s="10"/>
      <c r="F89" s="11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ht="12.75" customHeight="1">
      <c r="A90" s="9"/>
      <c r="B90" s="9"/>
      <c r="C90" s="9"/>
      <c r="D90" s="10"/>
      <c r="E90" s="10"/>
      <c r="F90" s="11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ht="12.75" customHeight="1">
      <c r="A91" s="9"/>
      <c r="B91" s="9"/>
      <c r="C91" s="9"/>
      <c r="D91" s="10"/>
      <c r="E91" s="10"/>
      <c r="F91" s="11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ht="12.75" customHeight="1">
      <c r="A92" s="9"/>
      <c r="B92" s="9"/>
      <c r="C92" s="9"/>
      <c r="D92" s="10"/>
      <c r="E92" s="10"/>
      <c r="F92" s="11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ht="12.75" customHeight="1">
      <c r="A93" s="9"/>
      <c r="B93" s="9"/>
      <c r="C93" s="9"/>
      <c r="D93" s="10"/>
      <c r="E93" s="10"/>
      <c r="F93" s="11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</row>
    <row r="94" ht="12.75" customHeight="1">
      <c r="A94" s="9"/>
      <c r="B94" s="9"/>
      <c r="C94" s="9"/>
      <c r="D94" s="10"/>
      <c r="E94" s="10"/>
      <c r="F94" s="11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ht="12.75" customHeight="1">
      <c r="A95" s="9"/>
      <c r="B95" s="9"/>
      <c r="C95" s="9"/>
      <c r="D95" s="10"/>
      <c r="E95" s="10"/>
      <c r="F95" s="11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</row>
    <row r="96" ht="12.75" customHeight="1">
      <c r="A96" s="9"/>
      <c r="B96" s="9"/>
      <c r="C96" s="9"/>
      <c r="D96" s="10"/>
      <c r="E96" s="10"/>
      <c r="F96" s="11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</row>
    <row r="97" ht="12.75" customHeight="1">
      <c r="A97" s="9"/>
      <c r="B97" s="9"/>
      <c r="C97" s="9"/>
      <c r="D97" s="10"/>
      <c r="E97" s="10"/>
      <c r="F97" s="11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</row>
    <row r="98" ht="12.75" customHeight="1">
      <c r="A98" s="9"/>
      <c r="B98" s="9"/>
      <c r="C98" s="9"/>
      <c r="D98" s="10"/>
      <c r="E98" s="10"/>
      <c r="F98" s="11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</row>
    <row r="99" ht="12.75" customHeight="1">
      <c r="A99" s="9"/>
      <c r="B99" s="9"/>
      <c r="C99" s="9"/>
      <c r="D99" s="10"/>
      <c r="E99" s="10"/>
      <c r="F99" s="11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</row>
    <row r="100" ht="12.75" customHeight="1">
      <c r="A100" s="9"/>
      <c r="B100" s="9"/>
      <c r="C100" s="9"/>
      <c r="D100" s="10"/>
      <c r="E100" s="10"/>
      <c r="F100" s="11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</row>
    <row r="101" ht="12.75" customHeight="1">
      <c r="A101" s="9"/>
      <c r="B101" s="9"/>
      <c r="C101" s="9"/>
      <c r="D101" s="10"/>
      <c r="E101" s="10"/>
      <c r="F101" s="11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</row>
    <row r="102" ht="12.75" customHeight="1">
      <c r="A102" s="9"/>
      <c r="B102" s="9"/>
      <c r="C102" s="9"/>
      <c r="D102" s="10"/>
      <c r="E102" s="10"/>
      <c r="F102" s="11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</row>
    <row r="103" ht="12.75" customHeight="1">
      <c r="A103" s="9"/>
      <c r="B103" s="9"/>
      <c r="C103" s="9"/>
      <c r="D103" s="10"/>
      <c r="E103" s="10"/>
      <c r="F103" s="11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</row>
    <row r="104" ht="12.75" customHeight="1">
      <c r="A104" s="9"/>
      <c r="B104" s="9"/>
      <c r="C104" s="9"/>
      <c r="D104" s="10"/>
      <c r="E104" s="10"/>
      <c r="F104" s="11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</row>
    <row r="105" ht="12.75" customHeight="1">
      <c r="A105" s="9"/>
      <c r="B105" s="9"/>
      <c r="C105" s="9"/>
      <c r="D105" s="10"/>
      <c r="E105" s="10"/>
      <c r="F105" s="11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</row>
    <row r="106" ht="12.75" customHeight="1">
      <c r="A106" s="9"/>
      <c r="B106" s="9"/>
      <c r="C106" s="9"/>
      <c r="D106" s="10"/>
      <c r="E106" s="10"/>
      <c r="F106" s="11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</row>
    <row r="107" ht="12.75" customHeight="1">
      <c r="A107" s="9"/>
      <c r="B107" s="9"/>
      <c r="C107" s="9"/>
      <c r="D107" s="10"/>
      <c r="E107" s="10"/>
      <c r="F107" s="11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</row>
    <row r="108" ht="12.75" customHeight="1">
      <c r="A108" s="9"/>
      <c r="B108" s="9"/>
      <c r="C108" s="9"/>
      <c r="D108" s="10"/>
      <c r="E108" s="10"/>
      <c r="F108" s="11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</row>
    <row r="109" ht="12.75" customHeight="1">
      <c r="A109" s="9"/>
      <c r="B109" s="9"/>
      <c r="C109" s="9"/>
      <c r="D109" s="10"/>
      <c r="E109" s="10"/>
      <c r="F109" s="11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</row>
    <row r="110" ht="12.75" customHeight="1">
      <c r="A110" s="9"/>
      <c r="B110" s="9"/>
      <c r="C110" s="9"/>
      <c r="D110" s="10"/>
      <c r="E110" s="10"/>
      <c r="F110" s="11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</row>
    <row r="111" ht="12.75" customHeight="1">
      <c r="A111" s="9"/>
      <c r="B111" s="9"/>
      <c r="C111" s="9"/>
      <c r="D111" s="10"/>
      <c r="E111" s="10"/>
      <c r="F111" s="11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</row>
    <row r="112" ht="12.75" customHeight="1">
      <c r="A112" s="9"/>
      <c r="B112" s="9"/>
      <c r="C112" s="9"/>
      <c r="D112" s="10"/>
      <c r="E112" s="10"/>
      <c r="F112" s="11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</row>
    <row r="113" ht="12.75" customHeight="1">
      <c r="A113" s="9"/>
      <c r="B113" s="9"/>
      <c r="C113" s="9"/>
      <c r="D113" s="10"/>
      <c r="E113" s="10"/>
      <c r="F113" s="11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</row>
    <row r="114" ht="12.75" customHeight="1">
      <c r="A114" s="9"/>
      <c r="B114" s="9"/>
      <c r="C114" s="9"/>
      <c r="D114" s="10"/>
      <c r="E114" s="10"/>
      <c r="F114" s="11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</row>
    <row r="115" ht="12.75" customHeight="1">
      <c r="A115" s="9"/>
      <c r="B115" s="9"/>
      <c r="C115" s="9"/>
      <c r="D115" s="10"/>
      <c r="E115" s="10"/>
      <c r="F115" s="11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</row>
    <row r="116" ht="12.75" customHeight="1">
      <c r="A116" s="9"/>
      <c r="B116" s="9"/>
      <c r="C116" s="9"/>
      <c r="D116" s="10"/>
      <c r="E116" s="10"/>
      <c r="F116" s="11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</row>
    <row r="117" ht="12.75" customHeight="1">
      <c r="A117" s="9"/>
      <c r="B117" s="9"/>
      <c r="C117" s="9"/>
      <c r="D117" s="10"/>
      <c r="E117" s="10"/>
      <c r="F117" s="11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</row>
    <row r="118" ht="12.75" customHeight="1">
      <c r="A118" s="9"/>
      <c r="B118" s="9"/>
      <c r="C118" s="9"/>
      <c r="D118" s="10"/>
      <c r="E118" s="10"/>
      <c r="F118" s="11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</row>
    <row r="119" ht="12.75" customHeight="1">
      <c r="A119" s="9"/>
      <c r="B119" s="9"/>
      <c r="C119" s="9"/>
      <c r="D119" s="10"/>
      <c r="E119" s="10"/>
      <c r="F119" s="11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</row>
    <row r="120" ht="12.75" customHeight="1">
      <c r="A120" s="9"/>
      <c r="B120" s="9"/>
      <c r="C120" s="9"/>
      <c r="D120" s="10"/>
      <c r="E120" s="10"/>
      <c r="F120" s="11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</row>
    <row r="121" ht="12.75" customHeight="1">
      <c r="A121" s="9"/>
      <c r="B121" s="9"/>
      <c r="C121" s="9"/>
      <c r="D121" s="10"/>
      <c r="E121" s="10"/>
      <c r="F121" s="11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</row>
    <row r="122" ht="12.75" customHeight="1">
      <c r="A122" s="9"/>
      <c r="B122" s="9"/>
      <c r="C122" s="9"/>
      <c r="D122" s="10"/>
      <c r="E122" s="10"/>
      <c r="F122" s="11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</row>
    <row r="123" ht="12.75" customHeight="1">
      <c r="A123" s="9"/>
      <c r="B123" s="9"/>
      <c r="C123" s="9"/>
      <c r="D123" s="10"/>
      <c r="E123" s="10"/>
      <c r="F123" s="11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</row>
    <row r="124" ht="12.75" customHeight="1">
      <c r="A124" s="9"/>
      <c r="B124" s="9"/>
      <c r="C124" s="9"/>
      <c r="D124" s="10"/>
      <c r="E124" s="10"/>
      <c r="F124" s="11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</row>
    <row r="125" ht="12.75" customHeight="1">
      <c r="A125" s="9"/>
      <c r="B125" s="9"/>
      <c r="C125" s="9"/>
      <c r="D125" s="10"/>
      <c r="E125" s="10"/>
      <c r="F125" s="11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</row>
    <row r="126" ht="12.75" customHeight="1">
      <c r="A126" s="9"/>
      <c r="B126" s="9"/>
      <c r="C126" s="9"/>
      <c r="D126" s="10"/>
      <c r="E126" s="10"/>
      <c r="F126" s="11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</row>
    <row r="127" ht="12.75" customHeight="1">
      <c r="A127" s="9"/>
      <c r="B127" s="9"/>
      <c r="C127" s="9"/>
      <c r="D127" s="10"/>
      <c r="E127" s="10"/>
      <c r="F127" s="11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</row>
    <row r="128" ht="12.75" customHeight="1">
      <c r="A128" s="9"/>
      <c r="B128" s="9"/>
      <c r="C128" s="9"/>
      <c r="D128" s="10"/>
      <c r="E128" s="10"/>
      <c r="F128" s="11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</row>
    <row r="129" ht="12.75" customHeight="1">
      <c r="A129" s="9"/>
      <c r="B129" s="9"/>
      <c r="C129" s="9"/>
      <c r="D129" s="10"/>
      <c r="E129" s="10"/>
      <c r="F129" s="11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</row>
    <row r="130" ht="12.75" customHeight="1">
      <c r="A130" s="9"/>
      <c r="B130" s="9"/>
      <c r="C130" s="9"/>
      <c r="D130" s="10"/>
      <c r="E130" s="10"/>
      <c r="F130" s="11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</row>
    <row r="131" ht="12.75" customHeight="1">
      <c r="A131" s="9"/>
      <c r="B131" s="9"/>
      <c r="C131" s="9"/>
      <c r="D131" s="10"/>
      <c r="E131" s="10"/>
      <c r="F131" s="11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</row>
    <row r="132" ht="12.75" customHeight="1">
      <c r="A132" s="9"/>
      <c r="B132" s="9"/>
      <c r="C132" s="9"/>
      <c r="D132" s="10"/>
      <c r="E132" s="10"/>
      <c r="F132" s="11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</row>
    <row r="133" ht="12.75" customHeight="1">
      <c r="A133" s="9"/>
      <c r="B133" s="9"/>
      <c r="C133" s="9"/>
      <c r="D133" s="10"/>
      <c r="E133" s="10"/>
      <c r="F133" s="11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</row>
    <row r="134" ht="12.75" customHeight="1">
      <c r="A134" s="9"/>
      <c r="B134" s="9"/>
      <c r="C134" s="9"/>
      <c r="D134" s="10"/>
      <c r="E134" s="10"/>
      <c r="F134" s="11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</row>
    <row r="135" ht="12.75" customHeight="1">
      <c r="A135" s="9"/>
      <c r="B135" s="9"/>
      <c r="C135" s="9"/>
      <c r="D135" s="10"/>
      <c r="E135" s="10"/>
      <c r="F135" s="11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</row>
    <row r="136" ht="12.75" customHeight="1">
      <c r="A136" s="9"/>
      <c r="B136" s="9"/>
      <c r="C136" s="9"/>
      <c r="D136" s="10"/>
      <c r="E136" s="10"/>
      <c r="F136" s="11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</row>
    <row r="137" ht="12.75" customHeight="1">
      <c r="A137" s="9"/>
      <c r="B137" s="9"/>
      <c r="C137" s="9"/>
      <c r="D137" s="10"/>
      <c r="E137" s="10"/>
      <c r="F137" s="11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</row>
    <row r="138" ht="12.75" customHeight="1">
      <c r="A138" s="9"/>
      <c r="B138" s="9"/>
      <c r="C138" s="9"/>
      <c r="D138" s="10"/>
      <c r="E138" s="10"/>
      <c r="F138" s="11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</row>
    <row r="139" ht="12.75" customHeight="1">
      <c r="A139" s="9"/>
      <c r="B139" s="9"/>
      <c r="C139" s="9"/>
      <c r="D139" s="10"/>
      <c r="E139" s="10"/>
      <c r="F139" s="11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</row>
    <row r="140" ht="12.75" customHeight="1">
      <c r="A140" s="9"/>
      <c r="B140" s="9"/>
      <c r="C140" s="9"/>
      <c r="D140" s="10"/>
      <c r="E140" s="10"/>
      <c r="F140" s="11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</row>
    <row r="141" ht="12.75" customHeight="1">
      <c r="A141" s="9"/>
      <c r="B141" s="9"/>
      <c r="C141" s="9"/>
      <c r="D141" s="10"/>
      <c r="E141" s="10"/>
      <c r="F141" s="11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</row>
    <row r="142" ht="12.75" customHeight="1">
      <c r="A142" s="9"/>
      <c r="B142" s="9"/>
      <c r="C142" s="9"/>
      <c r="D142" s="10"/>
      <c r="E142" s="10"/>
      <c r="F142" s="11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</row>
    <row r="143" ht="12.75" customHeight="1">
      <c r="A143" s="9"/>
      <c r="B143" s="9"/>
      <c r="C143" s="9"/>
      <c r="D143" s="10"/>
      <c r="E143" s="10"/>
      <c r="F143" s="11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</row>
    <row r="144" ht="12.75" customHeight="1">
      <c r="A144" s="9"/>
      <c r="B144" s="9"/>
      <c r="C144" s="9"/>
      <c r="D144" s="10"/>
      <c r="E144" s="10"/>
      <c r="F144" s="11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</row>
    <row r="145" ht="12.75" customHeight="1">
      <c r="A145" s="9"/>
      <c r="B145" s="9"/>
      <c r="C145" s="9"/>
      <c r="D145" s="10"/>
      <c r="E145" s="10"/>
      <c r="F145" s="11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</row>
    <row r="146" ht="12.75" customHeight="1">
      <c r="A146" s="9"/>
      <c r="B146" s="9"/>
      <c r="C146" s="9"/>
      <c r="D146" s="10"/>
      <c r="E146" s="10"/>
      <c r="F146" s="11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</row>
    <row r="147" ht="12.75" customHeight="1">
      <c r="A147" s="9"/>
      <c r="B147" s="9"/>
      <c r="C147" s="9"/>
      <c r="D147" s="10"/>
      <c r="E147" s="10"/>
      <c r="F147" s="11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</row>
    <row r="148" ht="12.75" customHeight="1">
      <c r="A148" s="9"/>
      <c r="B148" s="9"/>
      <c r="C148" s="9"/>
      <c r="D148" s="10"/>
      <c r="E148" s="10"/>
      <c r="F148" s="11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</row>
    <row r="149" ht="12.75" customHeight="1">
      <c r="A149" s="9"/>
      <c r="B149" s="9"/>
      <c r="C149" s="9"/>
      <c r="D149" s="10"/>
      <c r="E149" s="10"/>
      <c r="F149" s="11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</row>
    <row r="150" ht="12.75" customHeight="1">
      <c r="A150" s="9"/>
      <c r="B150" s="9"/>
      <c r="C150" s="9"/>
      <c r="D150" s="10"/>
      <c r="E150" s="10"/>
      <c r="F150" s="11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</row>
    <row r="151" ht="12.75" customHeight="1">
      <c r="A151" s="9"/>
      <c r="B151" s="9"/>
      <c r="C151" s="9"/>
      <c r="D151" s="10"/>
      <c r="E151" s="10"/>
      <c r="F151" s="11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</row>
    <row r="152" ht="12.75" customHeight="1">
      <c r="A152" s="9"/>
      <c r="B152" s="9"/>
      <c r="C152" s="9"/>
      <c r="D152" s="10"/>
      <c r="E152" s="10"/>
      <c r="F152" s="11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</row>
    <row r="153" ht="12.75" customHeight="1">
      <c r="A153" s="9"/>
      <c r="B153" s="9"/>
      <c r="C153" s="9"/>
      <c r="D153" s="10"/>
      <c r="E153" s="10"/>
      <c r="F153" s="11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</row>
    <row r="154" ht="12.75" customHeight="1">
      <c r="A154" s="9"/>
      <c r="B154" s="9"/>
      <c r="C154" s="9"/>
      <c r="D154" s="10"/>
      <c r="E154" s="10"/>
      <c r="F154" s="11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</row>
    <row r="155" ht="12.75" customHeight="1">
      <c r="A155" s="9"/>
      <c r="B155" s="9"/>
      <c r="C155" s="9"/>
      <c r="D155" s="10"/>
      <c r="E155" s="10"/>
      <c r="F155" s="11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</row>
    <row r="156" ht="12.75" customHeight="1">
      <c r="A156" s="9"/>
      <c r="B156" s="9"/>
      <c r="C156" s="9"/>
      <c r="D156" s="10"/>
      <c r="E156" s="10"/>
      <c r="F156" s="11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</row>
    <row r="157" ht="12.75" customHeight="1">
      <c r="A157" s="9"/>
      <c r="B157" s="9"/>
      <c r="C157" s="9"/>
      <c r="D157" s="10"/>
      <c r="E157" s="10"/>
      <c r="F157" s="11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</row>
    <row r="158" ht="12.75" customHeight="1">
      <c r="A158" s="9"/>
      <c r="B158" s="9"/>
      <c r="C158" s="9"/>
      <c r="D158" s="10"/>
      <c r="E158" s="10"/>
      <c r="F158" s="11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</row>
    <row r="159" ht="12.75" customHeight="1">
      <c r="A159" s="9"/>
      <c r="B159" s="9"/>
      <c r="C159" s="9"/>
      <c r="D159" s="10"/>
      <c r="E159" s="10"/>
      <c r="F159" s="11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</row>
    <row r="160" ht="12.75" customHeight="1">
      <c r="A160" s="9"/>
      <c r="B160" s="9"/>
      <c r="C160" s="9"/>
      <c r="D160" s="10"/>
      <c r="E160" s="10"/>
      <c r="F160" s="11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</row>
    <row r="161" ht="12.75" customHeight="1">
      <c r="A161" s="9"/>
      <c r="B161" s="9"/>
      <c r="C161" s="9"/>
      <c r="D161" s="10"/>
      <c r="E161" s="10"/>
      <c r="F161" s="11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</row>
    <row r="162" ht="12.75" customHeight="1">
      <c r="A162" s="9"/>
      <c r="B162" s="9"/>
      <c r="C162" s="9"/>
      <c r="D162" s="10"/>
      <c r="E162" s="10"/>
      <c r="F162" s="11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</row>
    <row r="163" ht="12.75" customHeight="1">
      <c r="A163" s="9"/>
      <c r="B163" s="9"/>
      <c r="C163" s="9"/>
      <c r="D163" s="10"/>
      <c r="E163" s="10"/>
      <c r="F163" s="11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</row>
    <row r="164" ht="12.75" customHeight="1">
      <c r="A164" s="9"/>
      <c r="B164" s="9"/>
      <c r="C164" s="9"/>
      <c r="D164" s="10"/>
      <c r="E164" s="10"/>
      <c r="F164" s="11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</row>
    <row r="165" ht="12.75" customHeight="1">
      <c r="A165" s="9"/>
      <c r="B165" s="9"/>
      <c r="C165" s="9"/>
      <c r="D165" s="10"/>
      <c r="E165" s="10"/>
      <c r="F165" s="11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</row>
    <row r="166" ht="12.75" customHeight="1">
      <c r="A166" s="9"/>
      <c r="B166" s="9"/>
      <c r="C166" s="9"/>
      <c r="D166" s="10"/>
      <c r="E166" s="10"/>
      <c r="F166" s="11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</row>
    <row r="167" ht="12.75" customHeight="1">
      <c r="A167" s="9"/>
      <c r="B167" s="9"/>
      <c r="C167" s="9"/>
      <c r="D167" s="10"/>
      <c r="E167" s="10"/>
      <c r="F167" s="11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</row>
    <row r="168" ht="12.75" customHeight="1">
      <c r="A168" s="9"/>
      <c r="B168" s="9"/>
      <c r="C168" s="9"/>
      <c r="D168" s="10"/>
      <c r="E168" s="10"/>
      <c r="F168" s="11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</row>
    <row r="169" ht="12.75" customHeight="1">
      <c r="A169" s="9"/>
      <c r="B169" s="9"/>
      <c r="C169" s="9"/>
      <c r="D169" s="10"/>
      <c r="E169" s="10"/>
      <c r="F169" s="11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</row>
    <row r="170" ht="12.75" customHeight="1">
      <c r="A170" s="9"/>
      <c r="B170" s="9"/>
      <c r="C170" s="9"/>
      <c r="D170" s="10"/>
      <c r="E170" s="10"/>
      <c r="F170" s="11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</row>
    <row r="171" ht="12.75" customHeight="1">
      <c r="A171" s="9"/>
      <c r="B171" s="9"/>
      <c r="C171" s="9"/>
      <c r="D171" s="10"/>
      <c r="E171" s="10"/>
      <c r="F171" s="11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</row>
    <row r="172" ht="12.75" customHeight="1">
      <c r="A172" s="9"/>
      <c r="B172" s="9"/>
      <c r="C172" s="9"/>
      <c r="D172" s="10"/>
      <c r="E172" s="10"/>
      <c r="F172" s="11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</row>
    <row r="173" ht="12.75" customHeight="1">
      <c r="A173" s="9"/>
      <c r="B173" s="9"/>
      <c r="C173" s="9"/>
      <c r="D173" s="10"/>
      <c r="E173" s="10"/>
      <c r="F173" s="11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</row>
    <row r="174" ht="12.75" customHeight="1">
      <c r="A174" s="9"/>
      <c r="B174" s="9"/>
      <c r="C174" s="9"/>
      <c r="D174" s="10"/>
      <c r="E174" s="10"/>
      <c r="F174" s="11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</row>
    <row r="175" ht="12.75" customHeight="1">
      <c r="A175" s="9"/>
      <c r="B175" s="9"/>
      <c r="C175" s="9"/>
      <c r="D175" s="10"/>
      <c r="E175" s="10"/>
      <c r="F175" s="11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</row>
    <row r="176" ht="12.75" customHeight="1">
      <c r="A176" s="9"/>
      <c r="B176" s="9"/>
      <c r="C176" s="9"/>
      <c r="D176" s="10"/>
      <c r="E176" s="10"/>
      <c r="F176" s="11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</row>
    <row r="177" ht="12.75" customHeight="1">
      <c r="A177" s="9"/>
      <c r="B177" s="9"/>
      <c r="C177" s="9"/>
      <c r="D177" s="10"/>
      <c r="E177" s="10"/>
      <c r="F177" s="11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</row>
    <row r="178" ht="12.75" customHeight="1">
      <c r="A178" s="9"/>
      <c r="B178" s="9"/>
      <c r="C178" s="9"/>
      <c r="D178" s="10"/>
      <c r="E178" s="10"/>
      <c r="F178" s="11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</row>
    <row r="179" ht="12.75" customHeight="1">
      <c r="A179" s="9"/>
      <c r="B179" s="9"/>
      <c r="C179" s="9"/>
      <c r="D179" s="10"/>
      <c r="E179" s="10"/>
      <c r="F179" s="11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</row>
    <row r="180" ht="12.75" customHeight="1">
      <c r="A180" s="9"/>
      <c r="B180" s="9"/>
      <c r="C180" s="9"/>
      <c r="D180" s="10"/>
      <c r="E180" s="10"/>
      <c r="F180" s="11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</row>
    <row r="181" ht="12.75" customHeight="1">
      <c r="A181" s="9"/>
      <c r="B181" s="9"/>
      <c r="C181" s="9"/>
      <c r="D181" s="10"/>
      <c r="E181" s="10"/>
      <c r="F181" s="11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</row>
    <row r="182" ht="12.75" customHeight="1">
      <c r="A182" s="9"/>
      <c r="B182" s="9"/>
      <c r="C182" s="9"/>
      <c r="D182" s="10"/>
      <c r="E182" s="10"/>
      <c r="F182" s="11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</row>
    <row r="183" ht="12.75" customHeight="1">
      <c r="A183" s="9"/>
      <c r="B183" s="9"/>
      <c r="C183" s="9"/>
      <c r="D183" s="10"/>
      <c r="E183" s="10"/>
      <c r="F183" s="11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</row>
    <row r="184" ht="12.75" customHeight="1">
      <c r="A184" s="9"/>
      <c r="B184" s="9"/>
      <c r="C184" s="9"/>
      <c r="D184" s="10"/>
      <c r="E184" s="10"/>
      <c r="F184" s="11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</row>
    <row r="185" ht="12.75" customHeight="1">
      <c r="A185" s="9"/>
      <c r="B185" s="9"/>
      <c r="C185" s="9"/>
      <c r="D185" s="10"/>
      <c r="E185" s="10"/>
      <c r="F185" s="11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</row>
    <row r="186" ht="12.75" customHeight="1">
      <c r="A186" s="9"/>
      <c r="B186" s="9"/>
      <c r="C186" s="9"/>
      <c r="D186" s="10"/>
      <c r="E186" s="10"/>
      <c r="F186" s="11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</row>
    <row r="187" ht="12.75" customHeight="1">
      <c r="A187" s="9"/>
      <c r="B187" s="9"/>
      <c r="C187" s="9"/>
      <c r="D187" s="10"/>
      <c r="E187" s="10"/>
      <c r="F187" s="11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</row>
    <row r="188" ht="12.75" customHeight="1">
      <c r="A188" s="9"/>
      <c r="B188" s="9"/>
      <c r="C188" s="9"/>
      <c r="D188" s="10"/>
      <c r="E188" s="10"/>
      <c r="F188" s="11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</row>
    <row r="189" ht="12.75" customHeight="1">
      <c r="A189" s="9"/>
      <c r="B189" s="9"/>
      <c r="C189" s="9"/>
      <c r="D189" s="10"/>
      <c r="E189" s="10"/>
      <c r="F189" s="11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</row>
    <row r="190" ht="12.75" customHeight="1">
      <c r="A190" s="9"/>
      <c r="B190" s="9"/>
      <c r="C190" s="9"/>
      <c r="D190" s="10"/>
      <c r="E190" s="10"/>
      <c r="F190" s="11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</row>
    <row r="191" ht="12.75" customHeight="1">
      <c r="A191" s="9"/>
      <c r="B191" s="9"/>
      <c r="C191" s="9"/>
      <c r="D191" s="10"/>
      <c r="E191" s="10"/>
      <c r="F191" s="11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</row>
    <row r="192" ht="12.75" customHeight="1">
      <c r="A192" s="9"/>
      <c r="B192" s="9"/>
      <c r="C192" s="9"/>
      <c r="D192" s="10"/>
      <c r="E192" s="10"/>
      <c r="F192" s="11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</row>
    <row r="193" ht="12.75" customHeight="1">
      <c r="A193" s="9"/>
      <c r="B193" s="9"/>
      <c r="C193" s="9"/>
      <c r="D193" s="10"/>
      <c r="E193" s="10"/>
      <c r="F193" s="11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</row>
    <row r="194" ht="12.75" customHeight="1">
      <c r="A194" s="9"/>
      <c r="B194" s="9"/>
      <c r="C194" s="9"/>
      <c r="D194" s="10"/>
      <c r="E194" s="10"/>
      <c r="F194" s="11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</row>
    <row r="195" ht="12.75" customHeight="1">
      <c r="A195" s="9"/>
      <c r="B195" s="9"/>
      <c r="C195" s="9"/>
      <c r="D195" s="10"/>
      <c r="E195" s="10"/>
      <c r="F195" s="11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</row>
    <row r="196" ht="12.75" customHeight="1">
      <c r="A196" s="9"/>
      <c r="B196" s="9"/>
      <c r="C196" s="9"/>
      <c r="D196" s="10"/>
      <c r="E196" s="10"/>
      <c r="F196" s="11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</row>
    <row r="197" ht="12.75" customHeight="1">
      <c r="A197" s="9"/>
      <c r="B197" s="9"/>
      <c r="C197" s="9"/>
      <c r="D197" s="10"/>
      <c r="E197" s="10"/>
      <c r="F197" s="11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</row>
    <row r="198" ht="12.75" customHeight="1">
      <c r="A198" s="9"/>
      <c r="B198" s="9"/>
      <c r="C198" s="9"/>
      <c r="D198" s="10"/>
      <c r="E198" s="10"/>
      <c r="F198" s="11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</row>
    <row r="199" ht="12.75" customHeight="1">
      <c r="A199" s="9"/>
      <c r="B199" s="9"/>
      <c r="C199" s="9"/>
      <c r="D199" s="10"/>
      <c r="E199" s="10"/>
      <c r="F199" s="11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</row>
    <row r="200" ht="12.75" customHeight="1">
      <c r="A200" s="9"/>
      <c r="B200" s="9"/>
      <c r="C200" s="9"/>
      <c r="D200" s="10"/>
      <c r="E200" s="10"/>
      <c r="F200" s="11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</row>
    <row r="201" ht="12.75" customHeight="1">
      <c r="A201" s="9"/>
      <c r="B201" s="9"/>
      <c r="C201" s="9"/>
      <c r="D201" s="10"/>
      <c r="E201" s="10"/>
      <c r="F201" s="11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</row>
    <row r="202" ht="12.75" customHeight="1">
      <c r="A202" s="9"/>
      <c r="B202" s="9"/>
      <c r="C202" s="9"/>
      <c r="D202" s="10"/>
      <c r="E202" s="10"/>
      <c r="F202" s="11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</row>
    <row r="203" ht="12.75" customHeight="1">
      <c r="A203" s="9"/>
      <c r="B203" s="9"/>
      <c r="C203" s="9"/>
      <c r="D203" s="10"/>
      <c r="E203" s="10"/>
      <c r="F203" s="11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</row>
    <row r="204" ht="12.75" customHeight="1">
      <c r="A204" s="9"/>
      <c r="B204" s="9"/>
      <c r="C204" s="9"/>
      <c r="D204" s="10"/>
      <c r="E204" s="10"/>
      <c r="F204" s="11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</row>
    <row r="205" ht="12.75" customHeight="1">
      <c r="A205" s="9"/>
      <c r="B205" s="9"/>
      <c r="C205" s="9"/>
      <c r="D205" s="10"/>
      <c r="E205" s="10"/>
      <c r="F205" s="11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</row>
    <row r="206" ht="12.75" customHeight="1">
      <c r="A206" s="9"/>
      <c r="B206" s="9"/>
      <c r="C206" s="9"/>
      <c r="D206" s="10"/>
      <c r="E206" s="10"/>
      <c r="F206" s="11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</row>
    <row r="207" ht="12.75" customHeight="1">
      <c r="A207" s="9"/>
      <c r="B207" s="9"/>
      <c r="C207" s="9"/>
      <c r="D207" s="10"/>
      <c r="E207" s="10"/>
      <c r="F207" s="11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</row>
    <row r="208" ht="12.75" customHeight="1">
      <c r="A208" s="9"/>
      <c r="B208" s="9"/>
      <c r="C208" s="9"/>
      <c r="D208" s="10"/>
      <c r="E208" s="10"/>
      <c r="F208" s="11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</row>
    <row r="209" ht="12.75" customHeight="1">
      <c r="A209" s="9"/>
      <c r="B209" s="9"/>
      <c r="C209" s="9"/>
      <c r="D209" s="10"/>
      <c r="E209" s="10"/>
      <c r="F209" s="11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</row>
    <row r="210" ht="12.75" customHeight="1">
      <c r="A210" s="9"/>
      <c r="B210" s="9"/>
      <c r="C210" s="9"/>
      <c r="D210" s="10"/>
      <c r="E210" s="10"/>
      <c r="F210" s="11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</row>
    <row r="211" ht="12.75" customHeight="1">
      <c r="A211" s="9"/>
      <c r="B211" s="9"/>
      <c r="C211" s="9"/>
      <c r="D211" s="10"/>
      <c r="E211" s="10"/>
      <c r="F211" s="11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</row>
    <row r="212" ht="12.75" customHeight="1">
      <c r="A212" s="9"/>
      <c r="B212" s="9"/>
      <c r="C212" s="9"/>
      <c r="D212" s="10"/>
      <c r="E212" s="10"/>
      <c r="F212" s="11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</row>
    <row r="213" ht="12.75" customHeight="1">
      <c r="A213" s="9"/>
      <c r="B213" s="9"/>
      <c r="C213" s="9"/>
      <c r="D213" s="10"/>
      <c r="E213" s="10"/>
      <c r="F213" s="11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</row>
    <row r="214" ht="12.75" customHeight="1">
      <c r="A214" s="9"/>
      <c r="B214" s="9"/>
      <c r="C214" s="9"/>
      <c r="D214" s="10"/>
      <c r="E214" s="10"/>
      <c r="F214" s="11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</row>
    <row r="215" ht="12.75" customHeight="1">
      <c r="A215" s="9"/>
      <c r="B215" s="9"/>
      <c r="C215" s="9"/>
      <c r="D215" s="10"/>
      <c r="E215" s="10"/>
      <c r="F215" s="11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</row>
    <row r="216" ht="12.75" customHeight="1">
      <c r="A216" s="9"/>
      <c r="B216" s="9"/>
      <c r="C216" s="9"/>
      <c r="D216" s="10"/>
      <c r="E216" s="10"/>
      <c r="F216" s="11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</row>
    <row r="217" ht="12.75" customHeight="1">
      <c r="A217" s="9"/>
      <c r="B217" s="9"/>
      <c r="C217" s="9"/>
      <c r="D217" s="10"/>
      <c r="E217" s="10"/>
      <c r="F217" s="11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</row>
    <row r="218" ht="12.75" customHeight="1">
      <c r="A218" s="9"/>
      <c r="B218" s="9"/>
      <c r="C218" s="9"/>
      <c r="D218" s="10"/>
      <c r="E218" s="10"/>
      <c r="F218" s="11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</row>
    <row r="219" ht="12.75" customHeight="1">
      <c r="A219" s="9"/>
      <c r="B219" s="9"/>
      <c r="C219" s="9"/>
      <c r="D219" s="10"/>
      <c r="E219" s="10"/>
      <c r="F219" s="11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</row>
    <row r="220" ht="12.75" customHeight="1">
      <c r="A220" s="9"/>
      <c r="B220" s="9"/>
      <c r="C220" s="9"/>
      <c r="D220" s="10"/>
      <c r="E220" s="10"/>
      <c r="F220" s="11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</row>
    <row r="221" ht="12.75" customHeight="1">
      <c r="A221" s="9"/>
      <c r="B221" s="9"/>
      <c r="C221" s="9"/>
      <c r="D221" s="10"/>
      <c r="E221" s="10"/>
      <c r="F221" s="11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</row>
    <row r="222" ht="12.75" customHeight="1">
      <c r="A222" s="9"/>
      <c r="B222" s="9"/>
      <c r="C222" s="9"/>
      <c r="D222" s="10"/>
      <c r="E222" s="10"/>
      <c r="F222" s="11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</row>
    <row r="223" ht="12.75" customHeight="1">
      <c r="A223" s="9"/>
      <c r="B223" s="9"/>
      <c r="C223" s="9"/>
      <c r="D223" s="10"/>
      <c r="E223" s="10"/>
      <c r="F223" s="11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</row>
    <row r="224" ht="12.75" customHeight="1">
      <c r="A224" s="9"/>
      <c r="B224" s="9"/>
      <c r="C224" s="9"/>
      <c r="D224" s="10"/>
      <c r="E224" s="10"/>
      <c r="F224" s="11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</row>
    <row r="225" ht="12.75" customHeight="1">
      <c r="A225" s="9"/>
      <c r="B225" s="9"/>
      <c r="C225" s="9"/>
      <c r="D225" s="10"/>
      <c r="E225" s="10"/>
      <c r="F225" s="11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</row>
    <row r="226" ht="12.75" customHeight="1">
      <c r="A226" s="9"/>
      <c r="B226" s="9"/>
      <c r="C226" s="9"/>
      <c r="D226" s="10"/>
      <c r="E226" s="10"/>
      <c r="F226" s="11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</row>
    <row r="227" ht="12.75" customHeight="1">
      <c r="A227" s="9"/>
      <c r="B227" s="9"/>
      <c r="C227" s="9"/>
      <c r="D227" s="10"/>
      <c r="E227" s="10"/>
      <c r="F227" s="11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</row>
    <row r="228" ht="12.75" customHeight="1">
      <c r="A228" s="9"/>
      <c r="B228" s="9"/>
      <c r="C228" s="9"/>
      <c r="D228" s="10"/>
      <c r="E228" s="10"/>
      <c r="F228" s="11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</row>
    <row r="229" ht="12.75" customHeight="1">
      <c r="A229" s="9"/>
      <c r="B229" s="9"/>
      <c r="C229" s="9"/>
      <c r="D229" s="10"/>
      <c r="E229" s="10"/>
      <c r="F229" s="11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</row>
    <row r="230" ht="12.75" customHeight="1">
      <c r="A230" s="9"/>
      <c r="B230" s="9"/>
      <c r="C230" s="9"/>
      <c r="D230" s="10"/>
      <c r="E230" s="10"/>
      <c r="F230" s="11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</row>
    <row r="231" ht="12.75" customHeight="1">
      <c r="A231" s="9"/>
      <c r="B231" s="9"/>
      <c r="C231" s="9"/>
      <c r="D231" s="10"/>
      <c r="E231" s="10"/>
      <c r="F231" s="11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</row>
    <row r="232" ht="12.75" customHeight="1">
      <c r="A232" s="9"/>
      <c r="B232" s="9"/>
      <c r="C232" s="9"/>
      <c r="D232" s="10"/>
      <c r="E232" s="10"/>
      <c r="F232" s="11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</row>
    <row r="233" ht="12.75" customHeight="1">
      <c r="A233" s="9"/>
      <c r="B233" s="9"/>
      <c r="C233" s="9"/>
      <c r="D233" s="10"/>
      <c r="E233" s="10"/>
      <c r="F233" s="11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</row>
    <row r="234" ht="12.75" customHeight="1">
      <c r="A234" s="9"/>
      <c r="B234" s="9"/>
      <c r="C234" s="9"/>
      <c r="D234" s="10"/>
      <c r="E234" s="10"/>
      <c r="F234" s="11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</row>
    <row r="235" ht="12.75" customHeight="1">
      <c r="A235" s="9"/>
      <c r="B235" s="9"/>
      <c r="C235" s="9"/>
      <c r="D235" s="10"/>
      <c r="E235" s="10"/>
      <c r="F235" s="11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</row>
    <row r="236" ht="12.75" customHeight="1">
      <c r="A236" s="9"/>
      <c r="B236" s="9"/>
      <c r="C236" s="9"/>
      <c r="D236" s="10"/>
      <c r="E236" s="10"/>
      <c r="F236" s="11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</row>
    <row r="237" ht="12.75" customHeight="1">
      <c r="A237" s="9"/>
      <c r="B237" s="9"/>
      <c r="C237" s="9"/>
      <c r="D237" s="10"/>
      <c r="E237" s="10"/>
      <c r="F237" s="11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</row>
    <row r="238" ht="12.75" customHeight="1">
      <c r="A238" s="9"/>
      <c r="B238" s="9"/>
      <c r="C238" s="9"/>
      <c r="D238" s="10"/>
      <c r="E238" s="10"/>
      <c r="F238" s="11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</row>
    <row r="239" ht="12.75" customHeight="1">
      <c r="A239" s="9"/>
      <c r="B239" s="9"/>
      <c r="C239" s="9"/>
      <c r="D239" s="10"/>
      <c r="E239" s="10"/>
      <c r="F239" s="11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</row>
    <row r="240" ht="12.75" customHeight="1">
      <c r="A240" s="9"/>
      <c r="B240" s="9"/>
      <c r="C240" s="9"/>
      <c r="D240" s="10"/>
      <c r="E240" s="10"/>
      <c r="F240" s="11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</row>
    <row r="241" ht="12.75" customHeight="1">
      <c r="A241" s="9"/>
      <c r="B241" s="9"/>
      <c r="C241" s="9"/>
      <c r="D241" s="10"/>
      <c r="E241" s="10"/>
      <c r="F241" s="11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</row>
    <row r="242" ht="12.75" customHeight="1">
      <c r="A242" s="9"/>
      <c r="B242" s="9"/>
      <c r="C242" s="9"/>
      <c r="D242" s="10"/>
      <c r="E242" s="10"/>
      <c r="F242" s="11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</row>
    <row r="243" ht="12.75" customHeight="1">
      <c r="A243" s="9"/>
      <c r="B243" s="9"/>
      <c r="C243" s="9"/>
      <c r="D243" s="10"/>
      <c r="E243" s="10"/>
      <c r="F243" s="11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</row>
    <row r="244" ht="12.75" customHeight="1">
      <c r="A244" s="9"/>
      <c r="B244" s="9"/>
      <c r="C244" s="9"/>
      <c r="D244" s="10"/>
      <c r="E244" s="10"/>
      <c r="F244" s="11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</row>
    <row r="245" ht="12.75" customHeight="1">
      <c r="A245" s="9"/>
      <c r="B245" s="9"/>
      <c r="C245" s="9"/>
      <c r="D245" s="10"/>
      <c r="E245" s="10"/>
      <c r="F245" s="11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</row>
    <row r="246" ht="12.75" customHeight="1">
      <c r="A246" s="9"/>
      <c r="B246" s="9"/>
      <c r="C246" s="9"/>
      <c r="D246" s="10"/>
      <c r="E246" s="10"/>
      <c r="F246" s="11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</row>
    <row r="247" ht="12.75" customHeight="1">
      <c r="A247" s="9"/>
      <c r="B247" s="9"/>
      <c r="C247" s="9"/>
      <c r="D247" s="10"/>
      <c r="E247" s="10"/>
      <c r="F247" s="11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</row>
    <row r="248" ht="12.75" customHeight="1">
      <c r="A248" s="9"/>
      <c r="B248" s="9"/>
      <c r="C248" s="9"/>
      <c r="D248" s="10"/>
      <c r="E248" s="10"/>
      <c r="F248" s="11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</row>
    <row r="249" ht="12.75" customHeight="1">
      <c r="A249" s="9"/>
      <c r="B249" s="9"/>
      <c r="C249" s="9"/>
      <c r="D249" s="10"/>
      <c r="E249" s="10"/>
      <c r="F249" s="11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</row>
    <row r="250" ht="12.75" customHeight="1">
      <c r="A250" s="9"/>
      <c r="B250" s="9"/>
      <c r="C250" s="9"/>
      <c r="D250" s="10"/>
      <c r="E250" s="10"/>
      <c r="F250" s="11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</row>
    <row r="251" ht="12.75" customHeight="1">
      <c r="A251" s="9"/>
      <c r="B251" s="9"/>
      <c r="C251" s="9"/>
      <c r="D251" s="10"/>
      <c r="E251" s="10"/>
      <c r="F251" s="11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</row>
    <row r="252" ht="12.75" customHeight="1">
      <c r="A252" s="9"/>
      <c r="B252" s="9"/>
      <c r="C252" s="9"/>
      <c r="D252" s="10"/>
      <c r="E252" s="10"/>
      <c r="F252" s="11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</row>
    <row r="253" ht="12.75" customHeight="1">
      <c r="A253" s="9"/>
      <c r="B253" s="9"/>
      <c r="C253" s="9"/>
      <c r="D253" s="10"/>
      <c r="E253" s="10"/>
      <c r="F253" s="11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</row>
    <row r="254" ht="12.75" customHeight="1">
      <c r="A254" s="9"/>
      <c r="B254" s="9"/>
      <c r="C254" s="9"/>
      <c r="D254" s="10"/>
      <c r="E254" s="10"/>
      <c r="F254" s="11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</row>
    <row r="255" ht="12.75" customHeight="1">
      <c r="A255" s="9"/>
      <c r="B255" s="9"/>
      <c r="C255" s="9"/>
      <c r="D255" s="10"/>
      <c r="E255" s="10"/>
      <c r="F255" s="11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</row>
    <row r="256" ht="12.75" customHeight="1">
      <c r="A256" s="9"/>
      <c r="B256" s="9"/>
      <c r="C256" s="9"/>
      <c r="D256" s="10"/>
      <c r="E256" s="10"/>
      <c r="F256" s="11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</row>
    <row r="257" ht="12.75" customHeight="1">
      <c r="A257" s="9"/>
      <c r="B257" s="9"/>
      <c r="C257" s="9"/>
      <c r="D257" s="10"/>
      <c r="E257" s="10"/>
      <c r="F257" s="11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</row>
    <row r="258" ht="12.75" customHeight="1">
      <c r="A258" s="9"/>
      <c r="B258" s="9"/>
      <c r="C258" s="9"/>
      <c r="D258" s="10"/>
      <c r="E258" s="10"/>
      <c r="F258" s="11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</row>
    <row r="259" ht="12.75" customHeight="1">
      <c r="A259" s="9"/>
      <c r="B259" s="9"/>
      <c r="C259" s="9"/>
      <c r="D259" s="10"/>
      <c r="E259" s="10"/>
      <c r="F259" s="11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</row>
    <row r="260" ht="12.75" customHeight="1">
      <c r="A260" s="9"/>
      <c r="B260" s="9"/>
      <c r="C260" s="9"/>
      <c r="D260" s="10"/>
      <c r="E260" s="10"/>
      <c r="F260" s="11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</row>
    <row r="261" ht="12.75" customHeight="1">
      <c r="A261" s="9"/>
      <c r="B261" s="9"/>
      <c r="C261" s="9"/>
      <c r="D261" s="10"/>
      <c r="E261" s="10"/>
      <c r="F261" s="11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</row>
    <row r="262" ht="12.75" customHeight="1">
      <c r="A262" s="9"/>
      <c r="B262" s="9"/>
      <c r="C262" s="9"/>
      <c r="D262" s="10"/>
      <c r="E262" s="10"/>
      <c r="F262" s="11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</row>
    <row r="263" ht="12.75" customHeight="1">
      <c r="A263" s="9"/>
      <c r="B263" s="9"/>
      <c r="C263" s="9"/>
      <c r="D263" s="10"/>
      <c r="E263" s="10"/>
      <c r="F263" s="11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</row>
    <row r="264" ht="12.75" customHeight="1">
      <c r="A264" s="9"/>
      <c r="B264" s="9"/>
      <c r="C264" s="9"/>
      <c r="D264" s="10"/>
      <c r="E264" s="10"/>
      <c r="F264" s="11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</row>
    <row r="265" ht="12.75" customHeight="1">
      <c r="A265" s="9"/>
      <c r="B265" s="9"/>
      <c r="C265" s="9"/>
      <c r="D265" s="10"/>
      <c r="E265" s="10"/>
      <c r="F265" s="11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</row>
    <row r="266" ht="12.75" customHeight="1">
      <c r="A266" s="9"/>
      <c r="B266" s="9"/>
      <c r="C266" s="9"/>
      <c r="D266" s="10"/>
      <c r="E266" s="10"/>
      <c r="F266" s="11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</row>
    <row r="267" ht="12.75" customHeight="1">
      <c r="A267" s="9"/>
      <c r="B267" s="9"/>
      <c r="C267" s="9"/>
      <c r="D267" s="10"/>
      <c r="E267" s="10"/>
      <c r="F267" s="11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</row>
    <row r="268" ht="12.75" customHeight="1">
      <c r="A268" s="9"/>
      <c r="B268" s="9"/>
      <c r="C268" s="9"/>
      <c r="D268" s="10"/>
      <c r="E268" s="10"/>
      <c r="F268" s="11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</row>
    <row r="269" ht="12.75" customHeight="1">
      <c r="A269" s="9"/>
      <c r="B269" s="9"/>
      <c r="C269" s="9"/>
      <c r="D269" s="10"/>
      <c r="E269" s="10"/>
      <c r="F269" s="11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</row>
    <row r="270" ht="12.75" customHeight="1">
      <c r="A270" s="9"/>
      <c r="B270" s="9"/>
      <c r="C270" s="9"/>
      <c r="D270" s="10"/>
      <c r="E270" s="10"/>
      <c r="F270" s="11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</row>
    <row r="271" ht="12.75" customHeight="1">
      <c r="A271" s="9"/>
      <c r="B271" s="9"/>
      <c r="C271" s="9"/>
      <c r="D271" s="10"/>
      <c r="E271" s="10"/>
      <c r="F271" s="11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</row>
    <row r="272" ht="12.75" customHeight="1">
      <c r="A272" s="9"/>
      <c r="B272" s="9"/>
      <c r="C272" s="9"/>
      <c r="D272" s="10"/>
      <c r="E272" s="10"/>
      <c r="F272" s="11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</row>
    <row r="273" ht="12.75" customHeight="1">
      <c r="A273" s="9"/>
      <c r="B273" s="9"/>
      <c r="C273" s="9"/>
      <c r="D273" s="10"/>
      <c r="E273" s="10"/>
      <c r="F273" s="11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</row>
    <row r="274" ht="12.75" customHeight="1">
      <c r="A274" s="9"/>
      <c r="B274" s="9"/>
      <c r="C274" s="9"/>
      <c r="D274" s="10"/>
      <c r="E274" s="10"/>
      <c r="F274" s="11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</row>
    <row r="275" ht="12.75" customHeight="1">
      <c r="A275" s="9"/>
      <c r="B275" s="9"/>
      <c r="C275" s="9"/>
      <c r="D275" s="10"/>
      <c r="E275" s="10"/>
      <c r="F275" s="11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</row>
    <row r="276" ht="12.75" customHeight="1">
      <c r="A276" s="9"/>
      <c r="B276" s="9"/>
      <c r="C276" s="9"/>
      <c r="D276" s="10"/>
      <c r="E276" s="10"/>
      <c r="F276" s="11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</row>
    <row r="277" ht="12.75" customHeight="1">
      <c r="A277" s="9"/>
      <c r="B277" s="9"/>
      <c r="C277" s="9"/>
      <c r="D277" s="10"/>
      <c r="E277" s="10"/>
      <c r="F277" s="11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</row>
    <row r="278" ht="12.75" customHeight="1">
      <c r="A278" s="9"/>
      <c r="B278" s="9"/>
      <c r="C278" s="9"/>
      <c r="D278" s="10"/>
      <c r="E278" s="10"/>
      <c r="F278" s="11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</row>
    <row r="279" ht="12.75" customHeight="1">
      <c r="A279" s="9"/>
      <c r="B279" s="9"/>
      <c r="C279" s="9"/>
      <c r="D279" s="10"/>
      <c r="E279" s="10"/>
      <c r="F279" s="11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</row>
    <row r="280" ht="12.75" customHeight="1">
      <c r="A280" s="9"/>
      <c r="B280" s="9"/>
      <c r="C280" s="9"/>
      <c r="D280" s="10"/>
      <c r="E280" s="10"/>
      <c r="F280" s="11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</row>
    <row r="281" ht="12.75" customHeight="1">
      <c r="A281" s="9"/>
      <c r="B281" s="9"/>
      <c r="C281" s="9"/>
      <c r="D281" s="10"/>
      <c r="E281" s="10"/>
      <c r="F281" s="11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</row>
    <row r="282" ht="12.75" customHeight="1">
      <c r="A282" s="9"/>
      <c r="B282" s="9"/>
      <c r="C282" s="9"/>
      <c r="D282" s="10"/>
      <c r="E282" s="10"/>
      <c r="F282" s="11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45.88"/>
    <col customWidth="1" min="3" max="3" width="52.88"/>
    <col customWidth="1" min="4" max="4" width="40.13"/>
    <col customWidth="1" min="5" max="5" width="34.63"/>
    <col customWidth="1" min="6" max="6" width="35.0"/>
    <col customWidth="1" min="7" max="26" width="12.0"/>
  </cols>
  <sheetData>
    <row r="1" ht="12.75" customHeight="1">
      <c r="A1" s="44" t="s">
        <v>282</v>
      </c>
      <c r="B1" s="44" t="s">
        <v>1</v>
      </c>
      <c r="C1" s="44" t="s">
        <v>2</v>
      </c>
      <c r="D1" s="45" t="s">
        <v>3</v>
      </c>
      <c r="E1" s="44" t="s">
        <v>4</v>
      </c>
      <c r="F1" s="31" t="s">
        <v>5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2.75" customHeight="1">
      <c r="A2" s="46"/>
      <c r="B2" s="47"/>
      <c r="C2" s="46"/>
      <c r="D2" s="48"/>
      <c r="E2" s="46"/>
      <c r="F2" s="11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2.75" customHeight="1">
      <c r="A3" s="46" t="s">
        <v>283</v>
      </c>
      <c r="B3" s="47" t="s">
        <v>31</v>
      </c>
      <c r="C3" s="46" t="s">
        <v>284</v>
      </c>
      <c r="D3" s="49" t="s">
        <v>285</v>
      </c>
      <c r="E3" s="46" t="str">
        <f>IFERROR(__xludf.DUMMYFUNCTION("GOOGLETRANSLATE(D3, ""hi"", ""gu"")"),"હા")</f>
        <v>હા</v>
      </c>
      <c r="F3" s="11" t="s">
        <v>286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2.75" customHeight="1">
      <c r="A4" s="46" t="s">
        <v>283</v>
      </c>
      <c r="B4" s="47" t="s">
        <v>287</v>
      </c>
      <c r="C4" s="46" t="s">
        <v>288</v>
      </c>
      <c r="D4" s="49" t="s">
        <v>289</v>
      </c>
      <c r="E4" s="46" t="str">
        <f>IFERROR(__xludf.DUMMYFUNCTION("GOOGLETRANSLATE(D4, ""hi"", ""gu"")"),"ના")</f>
        <v>ના</v>
      </c>
      <c r="F4" s="11" t="s">
        <v>290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2.75" customHeight="1">
      <c r="A5" s="46"/>
      <c r="B5" s="47"/>
      <c r="C5" s="46"/>
      <c r="D5" s="48"/>
      <c r="E5" s="46"/>
      <c r="F5" s="11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2.75" customHeight="1">
      <c r="A6" s="50" t="s">
        <v>291</v>
      </c>
      <c r="B6" s="51" t="s">
        <v>292</v>
      </c>
      <c r="C6" s="51" t="s">
        <v>292</v>
      </c>
      <c r="D6" s="49" t="s">
        <v>293</v>
      </c>
      <c r="E6" s="46" t="str">
        <f>IFERROR(__xludf.DUMMYFUNCTION("GOOGLETRANSLATE(D6, ""hi"", ""gu"")"),"ચેક ડેમ")</f>
        <v>ચેક ડેમ</v>
      </c>
      <c r="F6" s="11" t="s">
        <v>294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2.75" customHeight="1">
      <c r="A7" s="50" t="s">
        <v>291</v>
      </c>
      <c r="B7" s="51" t="s">
        <v>295</v>
      </c>
      <c r="C7" s="51" t="s">
        <v>295</v>
      </c>
      <c r="D7" s="49" t="s">
        <v>296</v>
      </c>
      <c r="E7" s="46" t="str">
        <f>IFERROR(__xludf.DUMMYFUNCTION("GOOGLETRANSLATE(D7, ""hi"", ""gu"")"),"પરકોલેશન ટાંકી")</f>
        <v>પરકોલેશન ટાંકી</v>
      </c>
      <c r="F7" s="11" t="s">
        <v>297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2.75" customHeight="1">
      <c r="A8" s="50" t="s">
        <v>291</v>
      </c>
      <c r="B8" s="51" t="s">
        <v>298</v>
      </c>
      <c r="C8" s="51" t="s">
        <v>298</v>
      </c>
      <c r="D8" s="49" t="s">
        <v>299</v>
      </c>
      <c r="E8" s="46" t="str">
        <f>IFERROR(__xludf.DUMMYFUNCTION("GOOGLETRANSLATE(D8, ""hi"", ""gu"")"),"માટીના ગલી પ્લગ")</f>
        <v>માટીના ગલી પ્લગ</v>
      </c>
      <c r="F8" s="11" t="s">
        <v>300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2.75" customHeight="1">
      <c r="A9" s="50" t="s">
        <v>291</v>
      </c>
      <c r="B9" s="48" t="s">
        <v>301</v>
      </c>
      <c r="C9" s="48" t="s">
        <v>301</v>
      </c>
      <c r="D9" s="49" t="s">
        <v>302</v>
      </c>
      <c r="E9" s="46" t="str">
        <f>IFERROR(__xludf.DUMMYFUNCTION("GOOGLETRANSLATE(D9, ""hi"", ""gu"")"),"ડ્રેઇન/સોક ડ્રેઇન")</f>
        <v>ડ્રેઇન/સોક ડ્રેઇન</v>
      </c>
      <c r="F9" s="11" t="s">
        <v>303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2.75" customHeight="1">
      <c r="A10" s="50" t="s">
        <v>291</v>
      </c>
      <c r="B10" s="48" t="s">
        <v>304</v>
      </c>
      <c r="C10" s="48" t="s">
        <v>304</v>
      </c>
      <c r="D10" s="49" t="s">
        <v>305</v>
      </c>
      <c r="E10" s="46" t="str">
        <f>IFERROR(__xludf.DUMMYFUNCTION("GOOGLETRANSLATE(D10, ""hi"", ""gu"")"),"રિચાર્જ ખાડાઓ")</f>
        <v>રિચાર્જ ખાડાઓ</v>
      </c>
      <c r="F10" s="11" t="s">
        <v>306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2.75" customHeight="1">
      <c r="A11" s="50" t="s">
        <v>291</v>
      </c>
      <c r="B11" s="48" t="s">
        <v>307</v>
      </c>
      <c r="C11" s="48" t="s">
        <v>308</v>
      </c>
      <c r="D11" s="49" t="s">
        <v>309</v>
      </c>
      <c r="E11" s="46" t="str">
        <f>IFERROR(__xludf.DUMMYFUNCTION("GOOGLETRANSLATE(D11, ""hi"", ""gu"")"),"ખાડો")</f>
        <v>ખાડો</v>
      </c>
      <c r="F11" s="11" t="s">
        <v>310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2.75" customHeight="1">
      <c r="A12" s="50" t="s">
        <v>291</v>
      </c>
      <c r="B12" s="48" t="s">
        <v>311</v>
      </c>
      <c r="C12" s="48" t="s">
        <v>311</v>
      </c>
      <c r="D12" s="49" t="s">
        <v>312</v>
      </c>
      <c r="E12" s="46" t="str">
        <f>IFERROR(__xludf.DUMMYFUNCTION("GOOGLETRANSLATE(D12, ""hi"", ""gu"")"),"ખાઈ/બંધ")</f>
        <v>ખાઈ/બંધ</v>
      </c>
      <c r="F12" s="11" t="s">
        <v>313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2.75" customHeight="1">
      <c r="A13" s="50" t="s">
        <v>291</v>
      </c>
      <c r="B13" s="51" t="s">
        <v>314</v>
      </c>
      <c r="C13" s="51" t="s">
        <v>314</v>
      </c>
      <c r="D13" s="49" t="s">
        <v>315</v>
      </c>
      <c r="E13" s="46" t="str">
        <f>IFERROR(__xludf.DUMMYFUNCTION("GOOGLETRANSLATE(D13, ""hi"", ""gu"")"),"સતત કોન્ટૂર ટ્રેન્ચ (CCT)")</f>
        <v>સતત કોન્ટૂર ટ્રેન્ચ (CCT)</v>
      </c>
      <c r="F13" s="11" t="s">
        <v>316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2.75" customHeight="1">
      <c r="A14" s="50" t="s">
        <v>291</v>
      </c>
      <c r="B14" s="51" t="s">
        <v>317</v>
      </c>
      <c r="C14" s="51" t="s">
        <v>317</v>
      </c>
      <c r="D14" s="49" t="s">
        <v>318</v>
      </c>
      <c r="E14" s="46" t="str">
        <f>IFERROR(__xludf.DUMMYFUNCTION("GOOGLETRANSLATE(D14, ""hi"", ""gu"")"),"સ્ટેગર્ડ કોન્ટૂર ટ્રેન્ચ (SCT)")</f>
        <v>સ્ટેગર્ડ કોન્ટૂર ટ્રેન્ચ (SCT)</v>
      </c>
      <c r="F14" s="11" t="s">
        <v>319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2.75" customHeight="1">
      <c r="A15" s="50" t="s">
        <v>291</v>
      </c>
      <c r="B15" s="51" t="s">
        <v>320</v>
      </c>
      <c r="C15" s="51" t="s">
        <v>320</v>
      </c>
      <c r="D15" s="52" t="s">
        <v>321</v>
      </c>
      <c r="E15" s="46" t="str">
        <f>IFERROR(__xludf.DUMMYFUNCTION("GOOGLETRANSLATE(D15, ""hi"", ""gu"")"),"પાણી શોષણ ખાઈ (WAT)")</f>
        <v>પાણી શોષણ ખાઈ (WAT)</v>
      </c>
      <c r="F15" s="11" t="s">
        <v>322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2.75" customHeight="1">
      <c r="A16" s="50" t="s">
        <v>291</v>
      </c>
      <c r="B16" s="51" t="s">
        <v>323</v>
      </c>
      <c r="C16" s="48" t="s">
        <v>323</v>
      </c>
      <c r="D16" s="49" t="s">
        <v>324</v>
      </c>
      <c r="E16" s="46" t="str">
        <f>IFERROR(__xludf.DUMMYFUNCTION("GOOGLETRANSLATE(D16, ""hi"", ""gu"")"),"છૂટા પથ્થરના માળખાં")</f>
        <v>છૂટા પથ્થરના માળખાં</v>
      </c>
      <c r="F16" s="11" t="s">
        <v>325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2.75" customHeight="1">
      <c r="A17" s="50" t="s">
        <v>291</v>
      </c>
      <c r="B17" s="51" t="s">
        <v>326</v>
      </c>
      <c r="C17" s="51" t="s">
        <v>326</v>
      </c>
      <c r="D17" s="49" t="s">
        <v>327</v>
      </c>
      <c r="E17" s="46" t="str">
        <f>IFERROR(__xludf.DUMMYFUNCTION("GOOGLETRANSLATE(D17, ""hi"", ""gu"")"),"રોકફિલ ડેમ")</f>
        <v>રોકફિલ ડેમ</v>
      </c>
      <c r="F17" s="11" t="s">
        <v>328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2.75" customHeight="1">
      <c r="A18" s="50" t="s">
        <v>291</v>
      </c>
      <c r="B18" s="51" t="s">
        <v>329</v>
      </c>
      <c r="C18" s="51" t="s">
        <v>329</v>
      </c>
      <c r="D18" s="49" t="s">
        <v>330</v>
      </c>
      <c r="E18" s="46" t="str">
        <f>IFERROR(__xludf.DUMMYFUNCTION("GOOGLETRANSLATE(D18, ""hi"", ""gu"")"),"પથ્થર બંધ")</f>
        <v>પથ્થર બંધ</v>
      </c>
      <c r="F18" s="11" t="s">
        <v>331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2.75" customHeight="1">
      <c r="A19" s="50" t="s">
        <v>291</v>
      </c>
      <c r="B19" s="51" t="s">
        <v>332</v>
      </c>
      <c r="C19" s="51" t="s">
        <v>332</v>
      </c>
      <c r="D19" s="49" t="s">
        <v>333</v>
      </c>
      <c r="E19" s="46" t="str">
        <f>IFERROR(__xludf.DUMMYFUNCTION("GOOGLETRANSLATE(D19, ""hi"", ""gu"")"),"ડાયવર્ઝન ડ્રેઇન")</f>
        <v>ડાયવર્ઝન ડ્રેઇન</v>
      </c>
      <c r="F19" s="11" t="s">
        <v>334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2.75" customHeight="1">
      <c r="A20" s="50" t="s">
        <v>291</v>
      </c>
      <c r="B20" s="53" t="s">
        <v>335</v>
      </c>
      <c r="C20" s="53" t="s">
        <v>335</v>
      </c>
      <c r="D20" s="49" t="s">
        <v>336</v>
      </c>
      <c r="E20" s="46" t="str">
        <f>IFERROR(__xludf.DUMMYFUNCTION("GOOGLETRANSLATE(D20, ""hi"", ""gu"")"),"બંધન: કોન્ટૂર બંધ/ગ્રેડેડ બંધ")</f>
        <v>બંધન: કોન્ટૂર બંધ/ગ્રેડેડ બંધ</v>
      </c>
      <c r="F20" s="11" t="s">
        <v>337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2.75" customHeight="1">
      <c r="A21" s="50" t="s">
        <v>291</v>
      </c>
      <c r="B21" s="48" t="s">
        <v>338</v>
      </c>
      <c r="C21" s="48" t="s">
        <v>338</v>
      </c>
      <c r="D21" s="49" t="s">
        <v>339</v>
      </c>
      <c r="E21" s="46" t="str">
        <f>IFERROR(__xludf.DUMMYFUNCTION("GOOGLETRANSLATE(D21, ""hi"", ""gu"")"),"૫% મોડેલ સ્ટ્રક્ચર")</f>
        <v>૫% મોડેલ સ્ટ્રક્ચર</v>
      </c>
      <c r="F21" s="11" t="s">
        <v>340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2.75" customHeight="1">
      <c r="A22" s="50" t="s">
        <v>291</v>
      </c>
      <c r="B22" s="48" t="s">
        <v>341</v>
      </c>
      <c r="C22" s="48" t="s">
        <v>341</v>
      </c>
      <c r="D22" s="49" t="s">
        <v>342</v>
      </c>
      <c r="E22" s="46" t="str">
        <f>IFERROR(__xludf.DUMMYFUNCTION("GOOGLETRANSLATE(D22, ""hi"", ""gu"")"),"૩૦-૪૦ મોડેલ સ્ટ્રક્ચર્સ")</f>
        <v>૩૦-૪૦ મોડેલ સ્ટ્રક્ચર્સ</v>
      </c>
      <c r="F22" s="11" t="s">
        <v>343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2.75" customHeight="1">
      <c r="A23" s="46"/>
      <c r="B23" s="48"/>
      <c r="C23" s="48"/>
      <c r="D23" s="48"/>
      <c r="E23" s="46"/>
      <c r="F23" s="11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2.75" customHeight="1">
      <c r="A24" s="46"/>
      <c r="B24" s="47"/>
      <c r="C24" s="46"/>
      <c r="D24" s="48"/>
      <c r="E24" s="46"/>
      <c r="F24" s="11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2.75" customHeight="1">
      <c r="A25" s="50" t="s">
        <v>344</v>
      </c>
      <c r="B25" s="54" t="s">
        <v>345</v>
      </c>
      <c r="C25" s="50" t="s">
        <v>346</v>
      </c>
      <c r="D25" s="49" t="s">
        <v>347</v>
      </c>
      <c r="E25" s="46" t="str">
        <f>IFERROR(__xludf.DUMMYFUNCTION("GOOGLETRANSLATE(D25, ""hi"", ""gu"")"),"ચેક ડેમમાં ધોવાણ")</f>
        <v>ચેક ડેમમાં ધોવાણ</v>
      </c>
      <c r="F25" s="11" t="s">
        <v>348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2.75" customHeight="1">
      <c r="A26" s="50" t="s">
        <v>349</v>
      </c>
      <c r="B26" s="54" t="s">
        <v>350</v>
      </c>
      <c r="C26" s="50" t="s">
        <v>351</v>
      </c>
      <c r="D26" s="49" t="s">
        <v>352</v>
      </c>
      <c r="E26" s="46" t="str">
        <f>IFERROR(__xludf.DUMMYFUNCTION("GOOGLETRANSLATE(D26, ""hi"", ""gu"")"),"ડી સિટલિંગ")</f>
        <v>ડી સિટલિંગ</v>
      </c>
      <c r="F26" s="11" t="s">
        <v>353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2.75" customHeight="1">
      <c r="A27" s="50" t="s">
        <v>354</v>
      </c>
      <c r="B27" s="54" t="s">
        <v>355</v>
      </c>
      <c r="C27" s="50" t="s">
        <v>356</v>
      </c>
      <c r="D27" s="49" t="s">
        <v>357</v>
      </c>
      <c r="E27" s="46" t="str">
        <f>IFERROR(__xludf.DUMMYFUNCTION("GOOGLETRANSLATE(D27, ""hi"", ""gu"")"),"ચેક ડેમના માળખામાં ભંગાણ")</f>
        <v>ચેક ડેમના માળખામાં ભંગાણ</v>
      </c>
      <c r="F27" s="11" t="s">
        <v>358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2.75" customHeight="1">
      <c r="A28" s="50"/>
      <c r="B28" s="54"/>
      <c r="C28" s="50"/>
      <c r="D28" s="49"/>
      <c r="E28" s="46"/>
      <c r="F28" s="11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2.75" customHeight="1">
      <c r="A29" s="50" t="s">
        <v>359</v>
      </c>
      <c r="B29" s="54" t="s">
        <v>360</v>
      </c>
      <c r="C29" s="50" t="s">
        <v>361</v>
      </c>
      <c r="D29" s="49" t="s">
        <v>362</v>
      </c>
      <c r="E29" s="46" t="str">
        <f>IFERROR(__xludf.DUMMYFUNCTION("GOOGLETRANSLATE(D29, ""hi"", ""gu"")"),"ઉખડી ગયેલા પથ્થરો")</f>
        <v>ઉખડી ગયેલા પથ્થરો</v>
      </c>
      <c r="F29" s="11" t="s">
        <v>363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2.75" customHeight="1">
      <c r="A30" s="50" t="s">
        <v>364</v>
      </c>
      <c r="B30" s="54" t="s">
        <v>365</v>
      </c>
      <c r="C30" s="50" t="s">
        <v>366</v>
      </c>
      <c r="D30" s="49" t="s">
        <v>367</v>
      </c>
      <c r="E30" s="46" t="str">
        <f>IFERROR(__xludf.DUMMYFUNCTION("GOOGLETRANSLATE(D30, ""hi"", ""gu"")"),"તિરાડ ભરવી")</f>
        <v>તિરાડ ભરવી</v>
      </c>
      <c r="F30" s="11" t="s">
        <v>368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2.75" customHeight="1">
      <c r="A31" s="50" t="s">
        <v>369</v>
      </c>
      <c r="B31" s="54" t="s">
        <v>370</v>
      </c>
      <c r="C31" s="50" t="s">
        <v>371</v>
      </c>
      <c r="D31" s="49" t="s">
        <v>372</v>
      </c>
      <c r="E31" s="46" t="str">
        <f>IFERROR(__xludf.DUMMYFUNCTION("GOOGLETRANSLATE(D31, ""hi"", ""gu"")"),"પથ્થરની રચનાની આસપાસ ધોવાણ")</f>
        <v>પથ્થરની રચનાની આસપાસ ધોવાણ</v>
      </c>
      <c r="F31" s="11" t="s">
        <v>373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2.75" customHeight="1">
      <c r="A32" s="46"/>
      <c r="B32" s="47"/>
      <c r="C32" s="46"/>
      <c r="D32" s="48"/>
      <c r="E32" s="46"/>
      <c r="F32" s="11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2.75" customHeight="1">
      <c r="A33" s="50" t="s">
        <v>374</v>
      </c>
      <c r="B33" s="54" t="s">
        <v>375</v>
      </c>
      <c r="C33" s="50" t="s">
        <v>351</v>
      </c>
      <c r="D33" s="49" t="s">
        <v>352</v>
      </c>
      <c r="E33" s="46" t="str">
        <f>IFERROR(__xludf.DUMMYFUNCTION("GOOGLETRANSLATE(D33, ""hi"", ""gu"")"),"ડી સિટલિંગ")</f>
        <v>ડી સિટલિંગ</v>
      </c>
      <c r="F33" s="11" t="s">
        <v>353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2.75" customHeight="1">
      <c r="A34" s="50" t="s">
        <v>376</v>
      </c>
      <c r="B34" s="54" t="s">
        <v>377</v>
      </c>
      <c r="C34" s="50" t="s">
        <v>378</v>
      </c>
      <c r="D34" s="49" t="s">
        <v>379</v>
      </c>
      <c r="E34" s="46" t="str">
        <f>IFERROR(__xludf.DUMMYFUNCTION("GOOGLETRANSLATE(D34, ""hi"", ""gu"")"),"ક્ષતિગ્રસ્ત બંધને કારણે પાણીનું લીકેજ")</f>
        <v>ક્ષતિગ્રસ્ત બંધને કારણે પાણીનું લીકેજ</v>
      </c>
      <c r="F34" s="11" t="s">
        <v>380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2.75" customHeight="1">
      <c r="A35" s="50" t="s">
        <v>381</v>
      </c>
      <c r="B35" s="54" t="s">
        <v>382</v>
      </c>
      <c r="C35" s="50" t="s">
        <v>383</v>
      </c>
      <c r="D35" s="49" t="s">
        <v>384</v>
      </c>
      <c r="E35" s="46" t="str">
        <f>IFERROR(__xludf.DUMMYFUNCTION("GOOGLETRANSLATE(D35, ""hi"", ""gu"")"),"બંધ ધોવાણ")</f>
        <v>બંધ ધોવાણ</v>
      </c>
      <c r="F35" s="11" t="s">
        <v>385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2.75" customHeight="1">
      <c r="A36" s="46"/>
      <c r="B36" s="47"/>
      <c r="C36" s="46"/>
      <c r="D36" s="48"/>
      <c r="E36" s="46"/>
      <c r="F36" s="11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2.75" customHeight="1">
      <c r="A37" s="50" t="s">
        <v>386</v>
      </c>
      <c r="B37" s="54" t="s">
        <v>375</v>
      </c>
      <c r="C37" s="54" t="s">
        <v>351</v>
      </c>
      <c r="D37" s="49" t="s">
        <v>352</v>
      </c>
      <c r="E37" s="46" t="str">
        <f>IFERROR(__xludf.DUMMYFUNCTION("GOOGLETRANSLATE(D37, ""hi"", ""gu"")"),"ડી સિટલિંગ")</f>
        <v>ડી સિટલિંગ</v>
      </c>
      <c r="F37" s="11" t="s">
        <v>353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2.75" customHeight="1">
      <c r="A38" s="50" t="s">
        <v>387</v>
      </c>
      <c r="B38" s="54" t="s">
        <v>388</v>
      </c>
      <c r="C38" s="54" t="s">
        <v>389</v>
      </c>
      <c r="D38" s="49" t="s">
        <v>390</v>
      </c>
      <c r="E38" s="46" t="str">
        <f>IFERROR(__xludf.DUMMYFUNCTION("GOOGLETRANSLATE(D38, ""hi"", ""gu"")"),"બંધનો ભંગ")</f>
        <v>બંધનો ભંગ</v>
      </c>
      <c r="F38" s="11" t="s">
        <v>391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2.75" customHeight="1">
      <c r="A39" s="50" t="s">
        <v>392</v>
      </c>
      <c r="B39" s="54" t="s">
        <v>393</v>
      </c>
      <c r="C39" s="54" t="s">
        <v>394</v>
      </c>
      <c r="D39" s="49" t="s">
        <v>395</v>
      </c>
      <c r="E39" s="46" t="str">
        <f>IFERROR(__xludf.DUMMYFUNCTION("GOOGLETRANSLATE(D39, ""hi"", ""gu"")"),"ટાંકી ડેમ અથવા ઇનલેટ/આઉટલેટ પર ધોવાણ")</f>
        <v>ટાંકી ડેમ અથવા ઇનલેટ/આઉટલેટ પર ધોવાણ</v>
      </c>
      <c r="F39" s="11" t="s">
        <v>396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2.75" customHeight="1">
      <c r="A40" s="50" t="s">
        <v>397</v>
      </c>
      <c r="B40" s="54" t="s">
        <v>398</v>
      </c>
      <c r="C40" s="54" t="s">
        <v>399</v>
      </c>
      <c r="D40" s="49" t="s">
        <v>400</v>
      </c>
      <c r="E40" s="46" t="str">
        <f>IFERROR(__xludf.DUMMYFUNCTION("GOOGLETRANSLATE(D40, ""hi"", ""gu"")"),"છોડનો વિકાસ પાણીના પ્રવાહને અવરોધે છે")</f>
        <v>છોડનો વિકાસ પાણીના પ્રવાહને અવરોધે છે</v>
      </c>
      <c r="F40" s="11" t="s">
        <v>401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2.75" customHeight="1">
      <c r="A41" s="50" t="s">
        <v>402</v>
      </c>
      <c r="B41" s="54" t="s">
        <v>403</v>
      </c>
      <c r="C41" s="54" t="s">
        <v>404</v>
      </c>
      <c r="D41" s="49" t="s">
        <v>405</v>
      </c>
      <c r="E41" s="46" t="str">
        <f>IFERROR(__xludf.DUMMYFUNCTION("GOOGLETRANSLATE(D41, ""hi"", ""gu"")"),"સ્પીલવે અથવા આઉટલેટ સ્ટ્રક્ચરને નુકસાન")</f>
        <v>સ્પીલવે અથવા આઉટલેટ સ્ટ્રક્ચરને નુકસાન</v>
      </c>
      <c r="F41" s="11" t="s">
        <v>406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2.75" customHeight="1">
      <c r="A42" s="46"/>
      <c r="B42" s="47"/>
      <c r="C42" s="46"/>
      <c r="D42" s="48"/>
      <c r="E42" s="46"/>
      <c r="F42" s="11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2.75" customHeight="1">
      <c r="A43" s="50" t="s">
        <v>407</v>
      </c>
      <c r="B43" s="54" t="s">
        <v>408</v>
      </c>
      <c r="C43" s="54" t="s">
        <v>409</v>
      </c>
      <c r="D43" s="49" t="s">
        <v>410</v>
      </c>
      <c r="E43" s="46" t="str">
        <f>IFERROR(__xludf.DUMMYFUNCTION("GOOGLETRANSLATE(D43, ""hi"", ""gu"")"),"માટીના માળખામાં તિરાડો")</f>
        <v>માટીના માળખામાં તિરાડો</v>
      </c>
      <c r="F43" s="11" t="s">
        <v>411</v>
      </c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2.75" customHeight="1">
      <c r="A44" s="50" t="s">
        <v>412</v>
      </c>
      <c r="B44" s="54" t="s">
        <v>413</v>
      </c>
      <c r="C44" s="54" t="s">
        <v>414</v>
      </c>
      <c r="D44" s="49" t="s">
        <v>415</v>
      </c>
      <c r="E44" s="46" t="str">
        <f>IFERROR(__xludf.DUMMYFUNCTION("GOOGLETRANSLATE(D44, ""hi"", ""gu"")"),"પાયા અથવા ધાર પર ધોવાણ")</f>
        <v>પાયા અથવા ધાર પર ધોવાણ</v>
      </c>
      <c r="F44" s="11" t="s">
        <v>416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2.75" customHeight="1">
      <c r="A45" s="50" t="s">
        <v>417</v>
      </c>
      <c r="B45" s="54" t="s">
        <v>418</v>
      </c>
      <c r="C45" s="54" t="s">
        <v>419</v>
      </c>
      <c r="D45" s="49" t="s">
        <v>420</v>
      </c>
      <c r="E45" s="46" t="str">
        <f>IFERROR(__xludf.DUMMYFUNCTION("GOOGLETRANSLATE(D45, ""hi"", ""gu"")"),"જમીનની રચનામાં કોમ્પેક્ટનેસનો અભાવ")</f>
        <v>જમીનની રચનામાં કોમ્પેક્ટનેસનો અભાવ</v>
      </c>
      <c r="F45" s="11" t="s">
        <v>421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2.75" customHeight="1">
      <c r="A46" s="50" t="s">
        <v>422</v>
      </c>
      <c r="B46" s="54" t="s">
        <v>423</v>
      </c>
      <c r="C46" s="54" t="s">
        <v>424</v>
      </c>
      <c r="D46" s="49" t="s">
        <v>425</v>
      </c>
      <c r="E46" s="46" t="str">
        <f>IFERROR(__xludf.DUMMYFUNCTION("GOOGLETRANSLATE(D46, ""hi"", ""gu"")"),"પ્લગ પર છોડનો વિકાસ")</f>
        <v>પ્લગ પર છોડનો વિકાસ</v>
      </c>
      <c r="F46" s="11" t="s">
        <v>426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2.75" customHeight="1">
      <c r="A47" s="46"/>
      <c r="B47" s="47"/>
      <c r="C47" s="46"/>
      <c r="D47" s="48"/>
      <c r="E47" s="46"/>
      <c r="F47" s="11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2.75" customHeight="1">
      <c r="A48" s="50" t="s">
        <v>427</v>
      </c>
      <c r="B48" s="54" t="s">
        <v>428</v>
      </c>
      <c r="C48" s="54" t="s">
        <v>429</v>
      </c>
      <c r="D48" s="49" t="s">
        <v>430</v>
      </c>
      <c r="E48" s="46" t="str">
        <f>IFERROR(__xludf.DUMMYFUNCTION("GOOGLETRANSLATE(D48, ""hi"", ""gu"")"),"કાંપ અથવા કાટમાળને કારણે અવરોધો")</f>
        <v>કાંપ અથવા કાટમાળને કારણે અવરોધો</v>
      </c>
      <c r="F48" s="11" t="s">
        <v>431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2.75" customHeight="1">
      <c r="A49" s="50" t="s">
        <v>432</v>
      </c>
      <c r="B49" s="54" t="s">
        <v>433</v>
      </c>
      <c r="C49" s="54" t="s">
        <v>434</v>
      </c>
      <c r="D49" s="49" t="s">
        <v>435</v>
      </c>
      <c r="E49" s="46" t="str">
        <f>IFERROR(__xludf.DUMMYFUNCTION("GOOGLETRANSLATE(D49, ""hi"", ""gu"")"),"ચેનલના કિનારા પર ધોવાણ")</f>
        <v>ચેનલના કિનારા પર ધોવાણ</v>
      </c>
      <c r="F49" s="11" t="s">
        <v>436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2.75" customHeight="1">
      <c r="A50" s="50" t="s">
        <v>437</v>
      </c>
      <c r="B50" s="54" t="s">
        <v>438</v>
      </c>
      <c r="C50" s="54" t="s">
        <v>439</v>
      </c>
      <c r="D50" s="49" t="s">
        <v>440</v>
      </c>
      <c r="E50" s="46" t="str">
        <f>IFERROR(__xludf.DUMMYFUNCTION("GOOGLETRANSLATE(D50, ""hi"", ""gu"")"),"નહેરના ભાગોનું પતન")</f>
        <v>નહેરના ભાગોનું પતન</v>
      </c>
      <c r="F50" s="11" t="s">
        <v>441</v>
      </c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2.75" customHeight="1">
      <c r="A51" s="50" t="s">
        <v>442</v>
      </c>
      <c r="B51" s="54" t="s">
        <v>443</v>
      </c>
      <c r="C51" s="54" t="s">
        <v>444</v>
      </c>
      <c r="D51" s="49" t="s">
        <v>445</v>
      </c>
      <c r="E51" s="46" t="str">
        <f>IFERROR(__xludf.DUMMYFUNCTION("GOOGLETRANSLATE(D51, ""hi"", ""gu"")"),"છોડની વધુ પડતી વૃદ્ધિ પ્રવાહ ઘટાડી રહી છે")</f>
        <v>છોડની વધુ પડતી વૃદ્ધિ પ્રવાહ ઘટાડી રહી છે</v>
      </c>
      <c r="F51" s="11" t="s">
        <v>446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2.75" customHeight="1">
      <c r="A52" s="46"/>
      <c r="B52" s="47"/>
      <c r="C52" s="46"/>
      <c r="D52" s="48"/>
      <c r="E52" s="46"/>
      <c r="F52" s="11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2.75" customHeight="1">
      <c r="A53" s="50" t="s">
        <v>447</v>
      </c>
      <c r="B53" s="54" t="s">
        <v>350</v>
      </c>
      <c r="C53" s="54" t="s">
        <v>448</v>
      </c>
      <c r="D53" s="49" t="s">
        <v>352</v>
      </c>
      <c r="E53" s="46" t="str">
        <f>IFERROR(__xludf.DUMMYFUNCTION("GOOGLETRANSLATE(D53, ""hi"", ""gu"")"),"ડી સિટલિંગ")</f>
        <v>ડી સિટલિંગ</v>
      </c>
      <c r="F53" s="11" t="s">
        <v>353</v>
      </c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2.75" customHeight="1">
      <c r="A54" s="50" t="s">
        <v>449</v>
      </c>
      <c r="B54" s="54" t="s">
        <v>450</v>
      </c>
      <c r="C54" s="54" t="s">
        <v>451</v>
      </c>
      <c r="D54" s="49" t="s">
        <v>452</v>
      </c>
      <c r="E54" s="46" t="str">
        <f>IFERROR(__xludf.DUMMYFUNCTION("GOOGLETRANSLATE(D54, ""hi"", ""gu"")"),"કોટિંગમાં તિરાડો કે તૂટ")</f>
        <v>કોટિંગમાં તિરાડો કે તૂટ</v>
      </c>
      <c r="F54" s="11" t="s">
        <v>453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2.75" customHeight="1">
      <c r="A55" s="50" t="s">
        <v>454</v>
      </c>
      <c r="B55" s="54" t="s">
        <v>455</v>
      </c>
      <c r="C55" s="54" t="s">
        <v>456</v>
      </c>
      <c r="D55" s="49" t="s">
        <v>457</v>
      </c>
      <c r="E55" s="46" t="str">
        <f>IFERROR(__xludf.DUMMYFUNCTION("GOOGLETRANSLATE(D55, ""hi"", ""gu"")"),"ફિલ્ટર અથવા કાંકરીના સ્તરોમાં અવરોધો")</f>
        <v>ફિલ્ટર અથવા કાંકરીના સ્તરોમાં અવરોધો</v>
      </c>
      <c r="F55" s="11" t="s">
        <v>458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2.75" customHeight="1">
      <c r="A56" s="50" t="s">
        <v>459</v>
      </c>
      <c r="B56" s="54" t="s">
        <v>460</v>
      </c>
      <c r="C56" s="54" t="s">
        <v>461</v>
      </c>
      <c r="D56" s="49" t="s">
        <v>462</v>
      </c>
      <c r="E56" s="46" t="str">
        <f>IFERROR(__xludf.DUMMYFUNCTION("GOOGLETRANSLATE(D56, ""hi"", ""gu"")"),"ખાડામાં પાણી પ્રવેશતા અટકાવતા છોડ અથવા કાટમાળ")</f>
        <v>ખાડામાં પાણી પ્રવેશતા અટકાવતા છોડ અથવા કાટમાળ</v>
      </c>
      <c r="F56" s="11" t="s">
        <v>463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2.75" customHeight="1">
      <c r="A57" s="46"/>
      <c r="B57" s="47"/>
      <c r="C57" s="46"/>
      <c r="D57" s="48"/>
      <c r="E57" s="46"/>
      <c r="F57" s="11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2.75" customHeight="1">
      <c r="A58" s="50" t="s">
        <v>464</v>
      </c>
      <c r="B58" s="54" t="s">
        <v>375</v>
      </c>
      <c r="C58" s="54" t="s">
        <v>351</v>
      </c>
      <c r="D58" s="49" t="s">
        <v>352</v>
      </c>
      <c r="E58" s="46" t="str">
        <f>IFERROR(__xludf.DUMMYFUNCTION("GOOGLETRANSLATE(D58, ""hi"", ""gu"")"),"ડી સિટલિંગ")</f>
        <v>ડી સિટલિંગ</v>
      </c>
      <c r="F58" s="11" t="s">
        <v>353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2.75" customHeight="1">
      <c r="A59" s="50" t="s">
        <v>465</v>
      </c>
      <c r="B59" s="54" t="s">
        <v>466</v>
      </c>
      <c r="C59" s="54" t="s">
        <v>467</v>
      </c>
      <c r="D59" s="49" t="s">
        <v>468</v>
      </c>
      <c r="E59" s="46" t="str">
        <f>IFERROR(__xludf.DUMMYFUNCTION("GOOGLETRANSLATE(D59, ""hi"", ""gu"")"),"ખાડાની દિવાલો અથવા ફિલ્ટર્સને નુકસાન")</f>
        <v>ખાડાની દિવાલો અથવા ફિલ્ટર્સને નુકસાન</v>
      </c>
      <c r="F59" s="11" t="s">
        <v>469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2.75" customHeight="1">
      <c r="A60" s="50" t="s">
        <v>470</v>
      </c>
      <c r="B60" s="54" t="s">
        <v>471</v>
      </c>
      <c r="C60" s="54" t="s">
        <v>472</v>
      </c>
      <c r="D60" s="49" t="s">
        <v>473</v>
      </c>
      <c r="E60" s="46" t="str">
        <f>IFERROR(__xludf.DUMMYFUNCTION("GOOGLETRANSLATE(D60, ""hi"", ""gu"")"),"છોડ ખાડામાં પાણીના પ્રવાહને અવરોધી રહ્યા છે")</f>
        <v>છોડ ખાડામાં પાણીના પ્રવાહને અવરોધી રહ્યા છે</v>
      </c>
      <c r="F60" s="11" t="s">
        <v>474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2.75" customHeight="1">
      <c r="A61" s="50" t="s">
        <v>475</v>
      </c>
      <c r="B61" s="54" t="s">
        <v>476</v>
      </c>
      <c r="C61" s="54" t="s">
        <v>477</v>
      </c>
      <c r="D61" s="49" t="s">
        <v>478</v>
      </c>
      <c r="E61" s="46" t="str">
        <f>IFERROR(__xludf.DUMMYFUNCTION("GOOGLETRANSLATE(D61, ""hi"", ""gu"")"),"અયોગ્ય ડ્રેનેજને કારણે પાણી ભરાવા")</f>
        <v>અયોગ્ય ડ્રેનેજને કારણે પાણી ભરાવા</v>
      </c>
      <c r="F61" s="11" t="s">
        <v>479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2.75" customHeight="1">
      <c r="A62" s="46"/>
      <c r="B62" s="47"/>
      <c r="C62" s="46"/>
      <c r="D62" s="48"/>
      <c r="E62" s="46"/>
      <c r="F62" s="11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2.75" customHeight="1">
      <c r="A63" s="50" t="s">
        <v>480</v>
      </c>
      <c r="B63" s="54" t="s">
        <v>375</v>
      </c>
      <c r="C63" s="54" t="s">
        <v>351</v>
      </c>
      <c r="D63" s="49" t="s">
        <v>352</v>
      </c>
      <c r="E63" s="46" t="str">
        <f>IFERROR(__xludf.DUMMYFUNCTION("GOOGLETRANSLATE(D63, ""hi"", ""gu"")"),"ડી સિટલિંગ")</f>
        <v>ડી સિટલિંગ</v>
      </c>
      <c r="F63" s="11" t="s">
        <v>353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2.75" customHeight="1">
      <c r="A64" s="50" t="s">
        <v>481</v>
      </c>
      <c r="B64" s="54" t="s">
        <v>482</v>
      </c>
      <c r="C64" s="54" t="s">
        <v>483</v>
      </c>
      <c r="D64" s="49" t="s">
        <v>484</v>
      </c>
      <c r="E64" s="46" t="str">
        <f>IFERROR(__xludf.DUMMYFUNCTION("GOOGLETRANSLATE(D64, ""hi"", ""gu"")"),"ખાઈની કિનારીઓનું ધોવાણ")</f>
        <v>ખાઈની કિનારીઓનું ધોવાણ</v>
      </c>
      <c r="F64" s="11" t="s">
        <v>485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2.75" customHeight="1">
      <c r="A65" s="50" t="s">
        <v>486</v>
      </c>
      <c r="B65" s="54" t="s">
        <v>487</v>
      </c>
      <c r="C65" s="54" t="s">
        <v>488</v>
      </c>
      <c r="D65" s="49" t="s">
        <v>489</v>
      </c>
      <c r="E65" s="46" t="str">
        <f>IFERROR(__xludf.DUMMYFUNCTION("GOOGLETRANSLATE(D65, ""hi"", ""gu"")"),"છોડનો વિકાસ પાણીને પ્રવેશતા અટકાવે છે")</f>
        <v>છોડનો વિકાસ પાણીને પ્રવેશતા અટકાવે છે</v>
      </c>
      <c r="F65" s="11" t="s">
        <v>490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2.75" customHeight="1">
      <c r="A66" s="46"/>
      <c r="B66" s="47"/>
      <c r="C66" s="46"/>
      <c r="D66" s="48"/>
      <c r="E66" s="46"/>
      <c r="F66" s="11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2.75" customHeight="1">
      <c r="A67" s="50" t="s">
        <v>491</v>
      </c>
      <c r="B67" s="54" t="s">
        <v>375</v>
      </c>
      <c r="C67" s="54" t="s">
        <v>351</v>
      </c>
      <c r="D67" s="49" t="s">
        <v>352</v>
      </c>
      <c r="E67" s="46" t="str">
        <f>IFERROR(__xludf.DUMMYFUNCTION("GOOGLETRANSLATE(D67, ""hi"", ""gu"")"),"ડી સિટલિંગ")</f>
        <v>ડી સિટલિંગ</v>
      </c>
      <c r="F67" s="11" t="s">
        <v>353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2.75" customHeight="1">
      <c r="A68" s="50" t="s">
        <v>492</v>
      </c>
      <c r="B68" s="54" t="s">
        <v>493</v>
      </c>
      <c r="C68" s="54" t="s">
        <v>494</v>
      </c>
      <c r="D68" s="49" t="s">
        <v>495</v>
      </c>
      <c r="E68" s="46" t="str">
        <f>IFERROR(__xludf.DUMMYFUNCTION("GOOGLETRANSLATE(D68, ""hi"", ""gu"")"),"ખાઈની ટોચ અથવા અન્ય ધારનો ઘસારો")</f>
        <v>ખાઈની ટોચ અથવા અન્ય ધારનો ઘસારો</v>
      </c>
      <c r="F68" s="11" t="s">
        <v>496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2.75" customHeight="1">
      <c r="A69" s="50" t="s">
        <v>497</v>
      </c>
      <c r="B69" s="54" t="s">
        <v>498</v>
      </c>
      <c r="C69" s="54" t="s">
        <v>499</v>
      </c>
      <c r="D69" s="49" t="s">
        <v>500</v>
      </c>
      <c r="E69" s="46" t="str">
        <f>IFERROR(__xludf.DUMMYFUNCTION("GOOGLETRANSLATE(D69, ""hi"", ""gu"")"),"નબળી ગોઠવણી અસરકારકતા ઘટાડી રહી છે")</f>
        <v>નબળી ગોઠવણી અસરકારકતા ઘટાડી રહી છે</v>
      </c>
      <c r="F69" s="11" t="s">
        <v>501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2.75" customHeight="1">
      <c r="A70" s="46"/>
      <c r="B70" s="47"/>
      <c r="C70" s="46"/>
      <c r="D70" s="48"/>
      <c r="E70" s="46"/>
      <c r="F70" s="11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2.75" customHeight="1">
      <c r="A71" s="50" t="s">
        <v>502</v>
      </c>
      <c r="B71" s="54" t="s">
        <v>375</v>
      </c>
      <c r="C71" s="54" t="s">
        <v>351</v>
      </c>
      <c r="D71" s="49" t="s">
        <v>352</v>
      </c>
      <c r="E71" s="46" t="str">
        <f>IFERROR(__xludf.DUMMYFUNCTION("GOOGLETRANSLATE(D71, ""hi"", ""gu"")"),"ડી સિટલિંગ")</f>
        <v>ડી સિટલિંગ</v>
      </c>
      <c r="F71" s="11" t="s">
        <v>353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2.75" customHeight="1">
      <c r="A72" s="50" t="s">
        <v>503</v>
      </c>
      <c r="B72" s="54" t="s">
        <v>504</v>
      </c>
      <c r="C72" s="54" t="s">
        <v>505</v>
      </c>
      <c r="D72" s="49" t="s">
        <v>506</v>
      </c>
      <c r="E72" s="46" t="str">
        <f>IFERROR(__xludf.DUMMYFUNCTION("GOOGLETRANSLATE(D72, ""hi"", ""gu"")"),"ખાડાની બધી બાજુ ધોવાણ")</f>
        <v>ખાડાની બધી બાજુ ધોવાણ</v>
      </c>
      <c r="F72" s="11" t="s">
        <v>507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2.75" customHeight="1">
      <c r="A73" s="50" t="s">
        <v>508</v>
      </c>
      <c r="B73" s="54" t="s">
        <v>509</v>
      </c>
      <c r="C73" s="54" t="s">
        <v>510</v>
      </c>
      <c r="D73" s="49" t="s">
        <v>511</v>
      </c>
      <c r="E73" s="46" t="str">
        <f>IFERROR(__xludf.DUMMYFUNCTION("GOOGLETRANSLATE(D73, ""hi"", ""gu"")"),"છોડ ખાડામાં પાણીના પ્રવાહને અવરોધી રહ્યા છે")</f>
        <v>છોડ ખાડામાં પાણીના પ્રવાહને અવરોધી રહ્યા છે</v>
      </c>
      <c r="F73" s="11" t="s">
        <v>512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2.75" customHeight="1">
      <c r="A74" s="46"/>
      <c r="B74" s="47"/>
      <c r="C74" s="46"/>
      <c r="D74" s="48"/>
      <c r="E74" s="46"/>
      <c r="F74" s="11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2.75" customHeight="1">
      <c r="A75" s="50" t="s">
        <v>513</v>
      </c>
      <c r="B75" s="54" t="s">
        <v>375</v>
      </c>
      <c r="C75" s="54" t="s">
        <v>351</v>
      </c>
      <c r="D75" s="52" t="s">
        <v>352</v>
      </c>
      <c r="E75" s="46" t="str">
        <f>IFERROR(__xludf.DUMMYFUNCTION("GOOGLETRANSLATE(D75, ""hi"", ""gu"")"),"ડી સિટલિંગ")</f>
        <v>ડી સિટલિંગ</v>
      </c>
      <c r="F75" s="11" t="s">
        <v>514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2.75" customHeight="1">
      <c r="A76" s="50" t="s">
        <v>515</v>
      </c>
      <c r="B76" s="54" t="s">
        <v>516</v>
      </c>
      <c r="C76" s="54" t="s">
        <v>517</v>
      </c>
      <c r="D76" s="49" t="s">
        <v>518</v>
      </c>
      <c r="E76" s="46" t="str">
        <f>IFERROR(__xludf.DUMMYFUNCTION("GOOGLETRANSLATE(D76, ""hi"", ""gu"")"),"છૂટા અથવા છૂટા ખડકો")</f>
        <v>છૂટા અથવા છૂટા ખડકો</v>
      </c>
      <c r="F76" s="11" t="s">
        <v>519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2.75" customHeight="1">
      <c r="A77" s="50" t="s">
        <v>520</v>
      </c>
      <c r="B77" s="54" t="s">
        <v>521</v>
      </c>
      <c r="C77" s="54" t="s">
        <v>522</v>
      </c>
      <c r="D77" s="49" t="s">
        <v>523</v>
      </c>
      <c r="E77" s="46" t="str">
        <f>IFERROR(__xludf.DUMMYFUNCTION("GOOGLETRANSLATE(D77, ""hi"", ""gu"")"),"બંધના માળખાની આસપાસ અથવા નીચે ધોવાણ")</f>
        <v>બંધના માળખાની આસપાસ અથવા નીચે ધોવાણ</v>
      </c>
      <c r="F77" s="11" t="s">
        <v>524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2.75" customHeight="1">
      <c r="A78" s="46"/>
      <c r="B78" s="47"/>
      <c r="C78" s="46"/>
      <c r="D78" s="48"/>
      <c r="E78" s="46"/>
      <c r="F78" s="11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2.75" customHeight="1">
      <c r="A79" s="50" t="s">
        <v>525</v>
      </c>
      <c r="B79" s="54" t="s">
        <v>526</v>
      </c>
      <c r="C79" s="54" t="s">
        <v>527</v>
      </c>
      <c r="D79" s="49" t="s">
        <v>528</v>
      </c>
      <c r="E79" s="46" t="str">
        <f>IFERROR(__xludf.DUMMYFUNCTION("GOOGLETRANSLATE(D79, ""hi"", ""gu"")"),"છૂટા પડી ગયેલા પથ્થરો માળખાની મજબૂતાઈ ઘટાડી રહ્યા છે.")</f>
        <v>છૂટા પડી ગયેલા પથ્થરો માળખાની મજબૂતાઈ ઘટાડી રહ્યા છે.</v>
      </c>
      <c r="F79" s="11" t="s">
        <v>529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2.75" customHeight="1">
      <c r="A80" s="50" t="s">
        <v>530</v>
      </c>
      <c r="B80" s="54" t="s">
        <v>375</v>
      </c>
      <c r="C80" s="54" t="s">
        <v>351</v>
      </c>
      <c r="D80" s="49" t="s">
        <v>352</v>
      </c>
      <c r="E80" s="46" t="str">
        <f>IFERROR(__xludf.DUMMYFUNCTION("GOOGLETRANSLATE(D80, ""hi"", ""gu"")"),"ડી સિટલિંગ")</f>
        <v>ડી સિટલિંગ</v>
      </c>
      <c r="F80" s="11" t="s">
        <v>353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2.75" customHeight="1">
      <c r="A81" s="50" t="s">
        <v>531</v>
      </c>
      <c r="B81" s="54" t="s">
        <v>532</v>
      </c>
      <c r="C81" s="54" t="s">
        <v>533</v>
      </c>
      <c r="D81" s="49" t="s">
        <v>534</v>
      </c>
      <c r="E81" s="46" t="str">
        <f>IFERROR(__xludf.DUMMYFUNCTION("GOOGLETRANSLATE(D81, ""hi"", ""gu"")"),"બંધની બધી બાજુ ધોવાણ")</f>
        <v>બંધની બધી બાજુ ધોવાણ</v>
      </c>
      <c r="F81" s="11" t="s">
        <v>535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2.75" customHeight="1">
      <c r="A82" s="46"/>
      <c r="B82" s="47"/>
      <c r="C82" s="46"/>
      <c r="D82" s="48"/>
      <c r="E82" s="46"/>
      <c r="F82" s="11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2.75" customHeight="1">
      <c r="A83" s="50" t="s">
        <v>536</v>
      </c>
      <c r="B83" s="54" t="s">
        <v>375</v>
      </c>
      <c r="C83" s="54" t="s">
        <v>351</v>
      </c>
      <c r="D83" s="49" t="s">
        <v>352</v>
      </c>
      <c r="E83" s="46" t="str">
        <f>IFERROR(__xludf.DUMMYFUNCTION("GOOGLETRANSLATE(D83, ""hi"", ""gu"")"),"ડી સિટલિંગ")</f>
        <v>ડી સિટલિંગ</v>
      </c>
      <c r="F83" s="11" t="s">
        <v>353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2.75" customHeight="1">
      <c r="A84" s="50" t="s">
        <v>537</v>
      </c>
      <c r="B84" s="54" t="s">
        <v>538</v>
      </c>
      <c r="C84" s="54" t="s">
        <v>539</v>
      </c>
      <c r="D84" s="49" t="s">
        <v>540</v>
      </c>
      <c r="E84" s="46" t="str">
        <f>IFERROR(__xludf.DUMMYFUNCTION("GOOGLETRANSLATE(D84, ""hi"", ""gu"")"),"નદી કિનારે ધોવાણ")</f>
        <v>નદી કિનારે ધોવાણ</v>
      </c>
      <c r="F84" s="11" t="s">
        <v>541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2.75" customHeight="1">
      <c r="A85" s="50" t="s">
        <v>542</v>
      </c>
      <c r="B85" s="54" t="s">
        <v>543</v>
      </c>
      <c r="C85" s="54" t="s">
        <v>544</v>
      </c>
      <c r="D85" s="49" t="s">
        <v>545</v>
      </c>
      <c r="E85" s="46" t="str">
        <f>IFERROR(__xludf.DUMMYFUNCTION("GOOGLETRANSLATE(D85, ""hi"", ""gu"")"),"ગટરના ભંગાણવાળા અથવા તૂટેલા ભાગો")</f>
        <v>ગટરના ભંગાણવાળા અથવા તૂટેલા ભાગો</v>
      </c>
      <c r="F85" s="11" t="s">
        <v>546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2.75" customHeight="1">
      <c r="A86" s="46"/>
      <c r="B86" s="47"/>
      <c r="C86" s="46"/>
      <c r="D86" s="48"/>
      <c r="E86" s="46"/>
      <c r="F86" s="11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2.75" customHeight="1">
      <c r="A87" s="50" t="s">
        <v>547</v>
      </c>
      <c r="B87" s="54" t="s">
        <v>375</v>
      </c>
      <c r="C87" s="54" t="s">
        <v>351</v>
      </c>
      <c r="D87" s="49" t="s">
        <v>352</v>
      </c>
      <c r="E87" s="46" t="str">
        <f>IFERROR(__xludf.DUMMYFUNCTION("GOOGLETRANSLATE(D87, ""hi"", ""gu"")"),"ડી સિટલિંગ")</f>
        <v>ડી સિટલિંગ</v>
      </c>
      <c r="F87" s="11" t="s">
        <v>353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2.75" customHeight="1">
      <c r="A88" s="50" t="s">
        <v>548</v>
      </c>
      <c r="B88" s="54" t="s">
        <v>549</v>
      </c>
      <c r="C88" s="54" t="s">
        <v>550</v>
      </c>
      <c r="D88" s="49" t="s">
        <v>551</v>
      </c>
      <c r="E88" s="46" t="str">
        <f>IFERROR(__xludf.DUMMYFUNCTION("GOOGLETRANSLATE(D88, ""hi"", ""gu"")"),"બંધના માળખામાં તિરાડો, તૂટ અથવા અન્ય ખામીઓ")</f>
        <v>બંધના માળખામાં તિરાડો, તૂટ અથવા અન્ય ખામીઓ</v>
      </c>
      <c r="F88" s="11" t="s">
        <v>552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2.75" customHeight="1">
      <c r="A89" s="50" t="s">
        <v>553</v>
      </c>
      <c r="B89" s="54" t="s">
        <v>554</v>
      </c>
      <c r="C89" s="54" t="s">
        <v>555</v>
      </c>
      <c r="D89" s="49" t="s">
        <v>556</v>
      </c>
      <c r="E89" s="46" t="str">
        <f>IFERROR(__xludf.DUMMYFUNCTION("GOOGLETRANSLATE(D89, ""hi"", ""gu"")"),"બંધના કાંઠા, ઢોળાવ અથવા પાયા પર ધોવાણ")</f>
        <v>બંધના કાંઠા, ઢોળાવ અથવા પાયા પર ધોવાણ</v>
      </c>
      <c r="F89" s="11" t="s">
        <v>557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2.75" customHeight="1">
      <c r="A90" s="50" t="s">
        <v>558</v>
      </c>
      <c r="B90" s="54" t="s">
        <v>559</v>
      </c>
      <c r="C90" s="54" t="s">
        <v>560</v>
      </c>
      <c r="D90" s="49" t="s">
        <v>561</v>
      </c>
      <c r="E90" s="46" t="str">
        <f>IFERROR(__xludf.DUMMYFUNCTION("GOOGLETRANSLATE(D90, ""hi"", ""gu"")"),"અયોગ્ય ગોઠવણી અથવા ગ્રેડિંગ પાણી વિતરણમાં અવરોધ પેદા કરી શકે છે.")</f>
        <v>અયોગ્ય ગોઠવણી અથવા ગ્રેડિંગ પાણી વિતરણમાં અવરોધ પેદા કરી શકે છે.</v>
      </c>
      <c r="F90" s="11" t="s">
        <v>562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2.75" customHeight="1">
      <c r="A91" s="50" t="s">
        <v>563</v>
      </c>
      <c r="B91" s="54" t="s">
        <v>564</v>
      </c>
      <c r="C91" s="54" t="s">
        <v>565</v>
      </c>
      <c r="D91" s="49" t="s">
        <v>566</v>
      </c>
      <c r="E91" s="46" t="str">
        <f>IFERROR(__xludf.DUMMYFUNCTION("GOOGLETRANSLATE(D91, ""hi"", ""gu"")"),"છોડનો વિકાસ બંધની મજબૂતાઈને નબળી બનાવી રહ્યો છે")</f>
        <v>છોડનો વિકાસ બંધની મજબૂતાઈને નબળી બનાવી રહ્યો છે</v>
      </c>
      <c r="F91" s="11" t="s">
        <v>567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50" t="s">
        <v>568</v>
      </c>
      <c r="B92" s="54" t="s">
        <v>569</v>
      </c>
      <c r="C92" s="54" t="s">
        <v>570</v>
      </c>
      <c r="D92" s="49" t="s">
        <v>571</v>
      </c>
      <c r="E92" s="46" t="str">
        <f>IFERROR(__xludf.DUMMYFUNCTION("GOOGLETRANSLATE(D92, ""hi"", ""gu"")"),"લીકેજ અથવા ભારે વરસાદને કારણે માળખાનું નબળું પડવું")</f>
        <v>લીકેજ અથવા ભારે વરસાદને કારણે માળખાનું નબળું પડવું</v>
      </c>
      <c r="F92" s="11" t="s">
        <v>572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2.75" customHeight="1">
      <c r="A93" s="46"/>
      <c r="B93" s="47"/>
      <c r="C93" s="46"/>
      <c r="D93" s="48"/>
      <c r="E93" s="46"/>
      <c r="F93" s="11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2.75" customHeight="1">
      <c r="A94" s="48" t="s">
        <v>573</v>
      </c>
      <c r="B94" s="54" t="s">
        <v>375</v>
      </c>
      <c r="C94" s="54" t="s">
        <v>351</v>
      </c>
      <c r="D94" s="49" t="s">
        <v>352</v>
      </c>
      <c r="E94" s="46" t="str">
        <f>IFERROR(__xludf.DUMMYFUNCTION("GOOGLETRANSLATE(D94, ""hi"", ""gu"")"),"ડી સિટલિંગ")</f>
        <v>ડી સિટલિંગ</v>
      </c>
      <c r="F94" s="11" t="s">
        <v>353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2.75" customHeight="1">
      <c r="A95" s="48" t="s">
        <v>573</v>
      </c>
      <c r="B95" s="54" t="s">
        <v>574</v>
      </c>
      <c r="C95" s="54" t="s">
        <v>575</v>
      </c>
      <c r="D95" s="49" t="s">
        <v>576</v>
      </c>
      <c r="E95" s="46" t="str">
        <f>IFERROR(__xludf.DUMMYFUNCTION("GOOGLETRANSLATE(D95, ""hi"", ""gu"")"),"પાળામાં તિરાડો અથવા લીકેજ")</f>
        <v>પાળામાં તિરાડો અથવા લીકેજ</v>
      </c>
      <c r="F95" s="11" t="s">
        <v>577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2.75" customHeight="1">
      <c r="A96" s="48" t="s">
        <v>573</v>
      </c>
      <c r="B96" s="54" t="s">
        <v>578</v>
      </c>
      <c r="C96" s="54" t="s">
        <v>579</v>
      </c>
      <c r="D96" s="49" t="s">
        <v>580</v>
      </c>
      <c r="E96" s="46" t="str">
        <f>IFERROR(__xludf.DUMMYFUNCTION("GOOGLETRANSLATE(D96, ""hi"", ""gu"")"),"ધાર અથવા પાયા પર ધોવાણ")</f>
        <v>ધાર અથવા પાયા પર ધોવાણ</v>
      </c>
      <c r="F96" s="11" t="s">
        <v>581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2.75" customHeight="1">
      <c r="A97" s="46"/>
      <c r="B97" s="47"/>
      <c r="C97" s="46"/>
      <c r="D97" s="48"/>
      <c r="E97" s="46"/>
      <c r="F97" s="11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2.75" customHeight="1">
      <c r="A98" s="48" t="s">
        <v>582</v>
      </c>
      <c r="B98" s="54" t="s">
        <v>375</v>
      </c>
      <c r="C98" s="54" t="s">
        <v>351</v>
      </c>
      <c r="D98" s="49" t="s">
        <v>352</v>
      </c>
      <c r="E98" s="46" t="str">
        <f>IFERROR(__xludf.DUMMYFUNCTION("GOOGLETRANSLATE(D98, ""hi"", ""gu"")"),"ડી સિટલિંગ")</f>
        <v>ડી સિટલિંગ</v>
      </c>
      <c r="F98" s="11" t="s">
        <v>353</v>
      </c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8" t="s">
        <v>582</v>
      </c>
      <c r="B99" s="54" t="s">
        <v>583</v>
      </c>
      <c r="C99" s="54" t="s">
        <v>584</v>
      </c>
      <c r="D99" s="49" t="s">
        <v>585</v>
      </c>
      <c r="E99" s="46" t="str">
        <f>IFERROR(__xludf.DUMMYFUNCTION("GOOGLETRANSLATE(D99, ""hi"", ""gu"")"),"ડેમ અથવા માળખાની દિવાલોમાં તિરાડો")</f>
        <v>ડેમ અથવા માળખાની દિવાલોમાં તિરાડો</v>
      </c>
      <c r="F99" s="11" t="s">
        <v>586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2.75" customHeight="1">
      <c r="A100" s="48" t="s">
        <v>582</v>
      </c>
      <c r="B100" s="54" t="s">
        <v>587</v>
      </c>
      <c r="C100" s="54" t="s">
        <v>588</v>
      </c>
      <c r="D100" s="49" t="s">
        <v>589</v>
      </c>
      <c r="E100" s="46" t="str">
        <f>IFERROR(__xludf.DUMMYFUNCTION("GOOGLETRANSLATE(D100, ""hi"", ""gu"")"),"ખાડા કે બંધના કિનારે ધોવાણ")</f>
        <v>ખાડા કે બંધના કિનારે ધોવાણ</v>
      </c>
      <c r="F100" s="11" t="s">
        <v>590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2.75" customHeight="1">
      <c r="A101" s="46"/>
      <c r="B101" s="47"/>
      <c r="C101" s="46"/>
      <c r="D101" s="48"/>
      <c r="E101" s="46"/>
      <c r="F101" s="11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17" t="s">
        <v>591</v>
      </c>
      <c r="B102" s="17" t="s">
        <v>592</v>
      </c>
      <c r="C102" s="17" t="s">
        <v>593</v>
      </c>
      <c r="D102" s="35" t="str">
        <f>IFERROR(__xludf.DUMMYFUNCTION("GOOGLETRANSLATE(C102, ""en"", ""hi"")"),"सामुदायिक मांग")</f>
        <v>सामुदायिक मांग</v>
      </c>
      <c r="E102" s="35" t="str">
        <f>IFERROR(__xludf.DUMMYFUNCTION("GOOGLETRANSLATE(C102, ""en"", ""gu"")"),"સમુદાય માંગ")</f>
        <v>સમુદાય માંગ</v>
      </c>
      <c r="F102" s="11" t="s">
        <v>594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2.75" customHeight="1">
      <c r="A103" s="17" t="s">
        <v>591</v>
      </c>
      <c r="B103" s="17" t="s">
        <v>595</v>
      </c>
      <c r="C103" s="17" t="s">
        <v>596</v>
      </c>
      <c r="D103" s="35" t="str">
        <f>IFERROR(__xludf.DUMMYFUNCTION("GOOGLETRANSLATE(C103, ""en"", ""hi"")"),"व्यक्तिगत मांग")</f>
        <v>व्यक्तिगत मांग</v>
      </c>
      <c r="E103" s="35" t="str">
        <f>IFERROR(__xludf.DUMMYFUNCTION("GOOGLETRANSLATE(C103, ""en"", ""gu"")"),"વ્યક્તિગત માંગ")</f>
        <v>વ્યક્તિગત માંગ</v>
      </c>
      <c r="F103" s="11" t="s">
        <v>597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2.75" customHeight="1">
      <c r="A104" s="17"/>
      <c r="B104" s="17"/>
      <c r="C104" s="17"/>
      <c r="D104" s="35"/>
      <c r="E104" s="35"/>
      <c r="F104" s="11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2.75" customHeight="1">
      <c r="A105" s="17" t="s">
        <v>598</v>
      </c>
      <c r="B105" s="17" t="s">
        <v>599</v>
      </c>
      <c r="C105" s="17" t="s">
        <v>599</v>
      </c>
      <c r="D105" s="35" t="str">
        <f>IFERROR(__xludf.DUMMYFUNCTION("GOOGLETRANSLATE(C105, ""en"", ""hi"")"),"पुरुष ")</f>
        <v>पुरुष </v>
      </c>
      <c r="E105" s="35" t="str">
        <f>IFERROR(__xludf.DUMMYFUNCTION("GOOGLETRANSLATE(C105, ""en"", ""gu"")"),"પુરુષ")</f>
        <v>પુરુષ</v>
      </c>
      <c r="F105" s="11" t="s">
        <v>600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2.75" customHeight="1">
      <c r="A106" s="17" t="s">
        <v>598</v>
      </c>
      <c r="B106" s="17" t="s">
        <v>601</v>
      </c>
      <c r="C106" s="17" t="s">
        <v>601</v>
      </c>
      <c r="D106" s="35" t="str">
        <f>IFERROR(__xludf.DUMMYFUNCTION("GOOGLETRANSLATE(C106, ""en"", ""hi"")"),"महिला")</f>
        <v>महिला</v>
      </c>
      <c r="E106" s="35" t="str">
        <f>IFERROR(__xludf.DUMMYFUNCTION("GOOGLETRANSLATE(C106, ""en"", ""gu"")"),"સ્ત્રી")</f>
        <v>સ્ત્રી</v>
      </c>
      <c r="F106" s="11" t="s">
        <v>602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2.75" customHeight="1">
      <c r="A107" s="17"/>
      <c r="B107" s="17"/>
      <c r="C107" s="17"/>
      <c r="D107" s="35"/>
      <c r="E107" s="35"/>
      <c r="F107" s="11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2.75" customHeight="1">
      <c r="A108" s="17" t="s">
        <v>603</v>
      </c>
      <c r="B108" s="17" t="s">
        <v>284</v>
      </c>
      <c r="C108" s="17" t="s">
        <v>284</v>
      </c>
      <c r="D108" s="35" t="str">
        <f>IFERROR(__xludf.DUMMYFUNCTION("GOOGLETRANSLATE(C108, ""en"", ""hi"")"),"हाँ")</f>
        <v>हाँ</v>
      </c>
      <c r="E108" s="35" t="str">
        <f>IFERROR(__xludf.DUMMYFUNCTION("GOOGLETRANSLATE(C108, ""en"", ""gu"")"),"હા")</f>
        <v>હા</v>
      </c>
      <c r="F108" s="11" t="s">
        <v>286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2.75" customHeight="1">
      <c r="A109" s="17" t="s">
        <v>603</v>
      </c>
      <c r="B109" s="17" t="s">
        <v>288</v>
      </c>
      <c r="C109" s="17" t="s">
        <v>288</v>
      </c>
      <c r="D109" s="35" t="str">
        <f>IFERROR(__xludf.DUMMYFUNCTION("GOOGLETRANSLATE(C109, ""en"", ""hi"")"),"नहीं")</f>
        <v>नहीं</v>
      </c>
      <c r="E109" s="35" t="str">
        <f>IFERROR(__xludf.DUMMYFUNCTION("GOOGLETRANSLATE(C109, ""en"", ""gu"")"),"ના")</f>
        <v>ના</v>
      </c>
      <c r="F109" s="11" t="s">
        <v>290</v>
      </c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2.75" customHeight="1">
      <c r="A110" s="46"/>
      <c r="B110" s="47"/>
      <c r="C110" s="46"/>
      <c r="D110" s="48"/>
      <c r="E110" s="46"/>
      <c r="F110" s="11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2.75" customHeight="1">
      <c r="A111" s="34" t="s">
        <v>604</v>
      </c>
      <c r="B111" s="35" t="s">
        <v>605</v>
      </c>
      <c r="C111" s="35" t="s">
        <v>605</v>
      </c>
      <c r="D111" s="11" t="s">
        <v>606</v>
      </c>
      <c r="E111" s="11" t="s">
        <v>607</v>
      </c>
      <c r="F111" s="11" t="s">
        <v>608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34" t="s">
        <v>604</v>
      </c>
      <c r="B112" s="35" t="s">
        <v>609</v>
      </c>
      <c r="C112" s="35" t="s">
        <v>609</v>
      </c>
      <c r="D112" s="11" t="s">
        <v>610</v>
      </c>
      <c r="E112" s="11" t="s">
        <v>611</v>
      </c>
      <c r="F112" s="11" t="s">
        <v>612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34" t="s">
        <v>604</v>
      </c>
      <c r="B113" s="35" t="s">
        <v>613</v>
      </c>
      <c r="C113" s="35" t="s">
        <v>613</v>
      </c>
      <c r="D113" s="11" t="s">
        <v>614</v>
      </c>
      <c r="E113" s="11" t="s">
        <v>615</v>
      </c>
      <c r="F113" s="11" t="s">
        <v>616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34" t="s">
        <v>604</v>
      </c>
      <c r="B114" s="35" t="s">
        <v>617</v>
      </c>
      <c r="C114" s="35" t="s">
        <v>617</v>
      </c>
      <c r="D114" s="11" t="s">
        <v>618</v>
      </c>
      <c r="E114" s="11" t="s">
        <v>619</v>
      </c>
      <c r="F114" s="11" t="s">
        <v>620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34" t="s">
        <v>604</v>
      </c>
      <c r="B115" s="35" t="s">
        <v>621</v>
      </c>
      <c r="C115" s="35" t="s">
        <v>621</v>
      </c>
      <c r="D115" s="11" t="s">
        <v>622</v>
      </c>
      <c r="E115" s="11" t="s">
        <v>623</v>
      </c>
      <c r="F115" s="11" t="s">
        <v>624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34" t="s">
        <v>604</v>
      </c>
      <c r="B116" s="35" t="s">
        <v>625</v>
      </c>
      <c r="C116" s="35" t="s">
        <v>625</v>
      </c>
      <c r="D116" s="11" t="s">
        <v>626</v>
      </c>
      <c r="E116" s="11" t="s">
        <v>627</v>
      </c>
      <c r="F116" s="11" t="s">
        <v>628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34" t="s">
        <v>604</v>
      </c>
      <c r="B117" s="35" t="s">
        <v>629</v>
      </c>
      <c r="C117" s="35" t="s">
        <v>629</v>
      </c>
      <c r="D117" s="11" t="s">
        <v>630</v>
      </c>
      <c r="E117" s="11" t="s">
        <v>631</v>
      </c>
      <c r="F117" s="11" t="s">
        <v>632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34" t="s">
        <v>633</v>
      </c>
      <c r="B119" s="35" t="s">
        <v>634</v>
      </c>
      <c r="C119" s="35" t="s">
        <v>634</v>
      </c>
      <c r="D119" s="11" t="s">
        <v>635</v>
      </c>
      <c r="E119" s="11" t="s">
        <v>636</v>
      </c>
      <c r="F119" s="11" t="s">
        <v>637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34" t="s">
        <v>633</v>
      </c>
      <c r="B120" s="35" t="s">
        <v>638</v>
      </c>
      <c r="C120" s="35" t="s">
        <v>638</v>
      </c>
      <c r="D120" s="11" t="s">
        <v>639</v>
      </c>
      <c r="E120" s="11" t="s">
        <v>640</v>
      </c>
      <c r="F120" s="11" t="s">
        <v>641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34" t="s">
        <v>633</v>
      </c>
      <c r="B121" s="35" t="s">
        <v>642</v>
      </c>
      <c r="C121" s="35" t="s">
        <v>642</v>
      </c>
      <c r="D121" s="11" t="s">
        <v>643</v>
      </c>
      <c r="E121" s="11" t="s">
        <v>644</v>
      </c>
      <c r="F121" s="11" t="s">
        <v>645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46"/>
      <c r="B122" s="47"/>
      <c r="C122" s="46"/>
      <c r="D122" s="48"/>
      <c r="E122" s="46"/>
      <c r="F122" s="11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2.75" customHeight="1">
      <c r="A123" s="46"/>
      <c r="B123" s="47"/>
      <c r="C123" s="46"/>
      <c r="D123" s="48"/>
      <c r="E123" s="46"/>
      <c r="F123" s="11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2.75" customHeight="1">
      <c r="A124" s="46"/>
      <c r="B124" s="47"/>
      <c r="C124" s="46"/>
      <c r="D124" s="48"/>
      <c r="E124" s="46"/>
      <c r="F124" s="11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2.75" customHeight="1">
      <c r="A125" s="46"/>
      <c r="B125" s="47"/>
      <c r="C125" s="46"/>
      <c r="D125" s="48"/>
      <c r="E125" s="46"/>
      <c r="F125" s="11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2.75" customHeight="1">
      <c r="A126" s="46"/>
      <c r="B126" s="47"/>
      <c r="C126" s="46"/>
      <c r="D126" s="48"/>
      <c r="E126" s="46"/>
      <c r="F126" s="11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2.75" customHeight="1">
      <c r="A127" s="46"/>
      <c r="B127" s="47"/>
      <c r="C127" s="46"/>
      <c r="D127" s="48"/>
      <c r="E127" s="46"/>
      <c r="F127" s="11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2.75" customHeight="1">
      <c r="A128" s="46"/>
      <c r="B128" s="47"/>
      <c r="C128" s="46"/>
      <c r="D128" s="48"/>
      <c r="E128" s="46"/>
      <c r="F128" s="11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2.75" customHeight="1">
      <c r="A129" s="46"/>
      <c r="B129" s="47"/>
      <c r="C129" s="46"/>
      <c r="D129" s="48"/>
      <c r="E129" s="46"/>
      <c r="F129" s="11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2.75" customHeight="1">
      <c r="A130" s="46"/>
      <c r="B130" s="47"/>
      <c r="C130" s="46"/>
      <c r="D130" s="48"/>
      <c r="E130" s="46"/>
      <c r="F130" s="11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6"/>
      <c r="B131" s="47"/>
      <c r="C131" s="46"/>
      <c r="D131" s="48"/>
      <c r="E131" s="46"/>
      <c r="F131" s="11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2.75" customHeight="1">
      <c r="A132" s="46"/>
      <c r="B132" s="47"/>
      <c r="C132" s="46"/>
      <c r="D132" s="48"/>
      <c r="E132" s="46"/>
      <c r="F132" s="11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2.75" customHeight="1">
      <c r="A133" s="46"/>
      <c r="B133" s="47"/>
      <c r="C133" s="46"/>
      <c r="D133" s="48"/>
      <c r="E133" s="46"/>
      <c r="F133" s="11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2.75" customHeight="1">
      <c r="A134" s="46"/>
      <c r="B134" s="47"/>
      <c r="C134" s="46"/>
      <c r="D134" s="48"/>
      <c r="E134" s="46"/>
      <c r="F134" s="11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6"/>
      <c r="B135" s="47"/>
      <c r="C135" s="46"/>
      <c r="D135" s="48"/>
      <c r="E135" s="46"/>
      <c r="F135" s="11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2.75" customHeight="1">
      <c r="A136" s="46"/>
      <c r="B136" s="47"/>
      <c r="C136" s="46"/>
      <c r="D136" s="48"/>
      <c r="E136" s="46"/>
      <c r="F136" s="11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2.75" customHeight="1">
      <c r="A137" s="46"/>
      <c r="B137" s="47"/>
      <c r="C137" s="46"/>
      <c r="D137" s="48"/>
      <c r="E137" s="46"/>
      <c r="F137" s="11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2.75" customHeight="1">
      <c r="A138" s="46"/>
      <c r="B138" s="47"/>
      <c r="C138" s="46"/>
      <c r="D138" s="48"/>
      <c r="E138" s="46"/>
      <c r="F138" s="11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2.75" customHeight="1">
      <c r="A139" s="46"/>
      <c r="B139" s="47"/>
      <c r="C139" s="46"/>
      <c r="D139" s="48"/>
      <c r="E139" s="46"/>
      <c r="F139" s="11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2.75" customHeight="1">
      <c r="A140" s="46"/>
      <c r="B140" s="47"/>
      <c r="C140" s="46"/>
      <c r="D140" s="48"/>
      <c r="E140" s="46"/>
      <c r="F140" s="11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2.75" customHeight="1">
      <c r="A141" s="46"/>
      <c r="B141" s="47"/>
      <c r="C141" s="46"/>
      <c r="D141" s="48"/>
      <c r="E141" s="46"/>
      <c r="F141" s="11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2.75" customHeight="1">
      <c r="A142" s="46"/>
      <c r="B142" s="47"/>
      <c r="C142" s="46"/>
      <c r="D142" s="48"/>
      <c r="E142" s="46"/>
      <c r="F142" s="11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2.75" customHeight="1">
      <c r="A143" s="46"/>
      <c r="B143" s="47"/>
      <c r="C143" s="46"/>
      <c r="D143" s="48"/>
      <c r="E143" s="46"/>
      <c r="F143" s="11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2.75" customHeight="1">
      <c r="A144" s="46"/>
      <c r="B144" s="47"/>
      <c r="C144" s="46"/>
      <c r="D144" s="48"/>
      <c r="E144" s="46"/>
      <c r="F144" s="11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2.75" customHeight="1">
      <c r="A145" s="46"/>
      <c r="B145" s="47"/>
      <c r="C145" s="46"/>
      <c r="D145" s="48"/>
      <c r="E145" s="46"/>
      <c r="F145" s="11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2.75" customHeight="1">
      <c r="A146" s="46"/>
      <c r="B146" s="47"/>
      <c r="C146" s="46"/>
      <c r="D146" s="48"/>
      <c r="E146" s="46"/>
      <c r="F146" s="11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2.75" customHeight="1">
      <c r="A147" s="46"/>
      <c r="B147" s="47"/>
      <c r="C147" s="46"/>
      <c r="D147" s="48"/>
      <c r="E147" s="46"/>
      <c r="F147" s="11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2.75" customHeight="1">
      <c r="A148" s="46"/>
      <c r="B148" s="47"/>
      <c r="C148" s="46"/>
      <c r="D148" s="48"/>
      <c r="E148" s="46"/>
      <c r="F148" s="11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2.75" customHeight="1">
      <c r="A149" s="46"/>
      <c r="B149" s="47"/>
      <c r="C149" s="46"/>
      <c r="D149" s="48"/>
      <c r="E149" s="46"/>
      <c r="F149" s="11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2.75" customHeight="1">
      <c r="A150" s="46"/>
      <c r="B150" s="47"/>
      <c r="C150" s="46"/>
      <c r="D150" s="48"/>
      <c r="E150" s="46"/>
      <c r="F150" s="11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2.75" customHeight="1">
      <c r="A151" s="46"/>
      <c r="B151" s="47"/>
      <c r="C151" s="46"/>
      <c r="D151" s="48"/>
      <c r="E151" s="46"/>
      <c r="F151" s="11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2.75" customHeight="1">
      <c r="A152" s="46"/>
      <c r="B152" s="47"/>
      <c r="C152" s="46"/>
      <c r="D152" s="48"/>
      <c r="E152" s="46"/>
      <c r="F152" s="11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2.75" customHeight="1">
      <c r="A153" s="46"/>
      <c r="B153" s="47"/>
      <c r="C153" s="46"/>
      <c r="D153" s="48"/>
      <c r="E153" s="46"/>
      <c r="F153" s="11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2.75" customHeight="1">
      <c r="A154" s="46"/>
      <c r="B154" s="47"/>
      <c r="C154" s="46"/>
      <c r="D154" s="48"/>
      <c r="E154" s="46"/>
      <c r="F154" s="11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2.75" customHeight="1">
      <c r="A155" s="46"/>
      <c r="B155" s="47"/>
      <c r="C155" s="46"/>
      <c r="D155" s="48"/>
      <c r="E155" s="46"/>
      <c r="F155" s="11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2.75" customHeight="1">
      <c r="A156" s="46"/>
      <c r="B156" s="47"/>
      <c r="C156" s="46"/>
      <c r="D156" s="48"/>
      <c r="E156" s="46"/>
      <c r="F156" s="11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2.75" customHeight="1">
      <c r="A157" s="46"/>
      <c r="B157" s="47"/>
      <c r="C157" s="46"/>
      <c r="D157" s="48"/>
      <c r="E157" s="46"/>
      <c r="F157" s="11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2.75" customHeight="1">
      <c r="A158" s="46"/>
      <c r="B158" s="47"/>
      <c r="C158" s="46"/>
      <c r="D158" s="48"/>
      <c r="E158" s="46"/>
      <c r="F158" s="11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2.75" customHeight="1">
      <c r="A159" s="46"/>
      <c r="B159" s="47"/>
      <c r="C159" s="46"/>
      <c r="D159" s="48"/>
      <c r="E159" s="46"/>
      <c r="F159" s="11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2.75" customHeight="1">
      <c r="A160" s="46"/>
      <c r="B160" s="47"/>
      <c r="C160" s="46"/>
      <c r="D160" s="48"/>
      <c r="E160" s="46"/>
      <c r="F160" s="11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2.75" customHeight="1">
      <c r="A161" s="46"/>
      <c r="B161" s="47"/>
      <c r="C161" s="46"/>
      <c r="D161" s="48"/>
      <c r="E161" s="46"/>
      <c r="F161" s="11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2.75" customHeight="1">
      <c r="A162" s="46"/>
      <c r="B162" s="47"/>
      <c r="C162" s="46"/>
      <c r="D162" s="48"/>
      <c r="E162" s="46"/>
      <c r="F162" s="11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2.75" customHeight="1">
      <c r="A163" s="46"/>
      <c r="B163" s="47"/>
      <c r="C163" s="46"/>
      <c r="D163" s="48"/>
      <c r="E163" s="46"/>
      <c r="F163" s="11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2.75" customHeight="1">
      <c r="A164" s="46"/>
      <c r="B164" s="47"/>
      <c r="C164" s="46"/>
      <c r="D164" s="48"/>
      <c r="E164" s="46"/>
      <c r="F164" s="11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2.75" customHeight="1">
      <c r="A165" s="46"/>
      <c r="B165" s="47"/>
      <c r="C165" s="46"/>
      <c r="D165" s="48"/>
      <c r="E165" s="46"/>
      <c r="F165" s="11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2.75" customHeight="1">
      <c r="A166" s="46"/>
      <c r="B166" s="47"/>
      <c r="C166" s="46"/>
      <c r="D166" s="48"/>
      <c r="E166" s="46"/>
      <c r="F166" s="11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2.75" customHeight="1">
      <c r="A167" s="46"/>
      <c r="B167" s="47"/>
      <c r="C167" s="46"/>
      <c r="D167" s="48"/>
      <c r="E167" s="46"/>
      <c r="F167" s="11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2.75" customHeight="1">
      <c r="A168" s="46"/>
      <c r="B168" s="47"/>
      <c r="C168" s="46"/>
      <c r="D168" s="48"/>
      <c r="E168" s="46"/>
      <c r="F168" s="11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2.75" customHeight="1">
      <c r="A169" s="46"/>
      <c r="B169" s="47"/>
      <c r="C169" s="46"/>
      <c r="D169" s="48"/>
      <c r="E169" s="46"/>
      <c r="F169" s="11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2.75" customHeight="1">
      <c r="A170" s="46"/>
      <c r="B170" s="47"/>
      <c r="C170" s="46"/>
      <c r="D170" s="48"/>
      <c r="E170" s="46"/>
      <c r="F170" s="11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2.75" customHeight="1">
      <c r="A171" s="46"/>
      <c r="B171" s="47"/>
      <c r="C171" s="46"/>
      <c r="D171" s="48"/>
      <c r="E171" s="46"/>
      <c r="F171" s="11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2.75" customHeight="1">
      <c r="A172" s="46"/>
      <c r="B172" s="47"/>
      <c r="C172" s="46"/>
      <c r="D172" s="48"/>
      <c r="E172" s="46"/>
      <c r="F172" s="11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2.75" customHeight="1">
      <c r="A173" s="46"/>
      <c r="B173" s="47"/>
      <c r="C173" s="46"/>
      <c r="D173" s="48"/>
      <c r="E173" s="46"/>
      <c r="F173" s="11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2.75" customHeight="1">
      <c r="A174" s="46"/>
      <c r="B174" s="47"/>
      <c r="C174" s="46"/>
      <c r="D174" s="48"/>
      <c r="E174" s="46"/>
      <c r="F174" s="11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2.75" customHeight="1">
      <c r="A175" s="46"/>
      <c r="B175" s="47"/>
      <c r="C175" s="46"/>
      <c r="D175" s="48"/>
      <c r="E175" s="46"/>
      <c r="F175" s="11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2.75" customHeight="1">
      <c r="A176" s="46"/>
      <c r="B176" s="47"/>
      <c r="C176" s="46"/>
      <c r="D176" s="48"/>
      <c r="E176" s="46"/>
      <c r="F176" s="11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2.75" customHeight="1">
      <c r="A177" s="46"/>
      <c r="B177" s="47"/>
      <c r="C177" s="46"/>
      <c r="D177" s="48"/>
      <c r="E177" s="46"/>
      <c r="F177" s="11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2.75" customHeight="1">
      <c r="A178" s="46"/>
      <c r="B178" s="47"/>
      <c r="C178" s="46"/>
      <c r="D178" s="48"/>
      <c r="E178" s="46"/>
      <c r="F178" s="11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2.75" customHeight="1">
      <c r="A179" s="46"/>
      <c r="B179" s="47"/>
      <c r="C179" s="46"/>
      <c r="D179" s="48"/>
      <c r="E179" s="46"/>
      <c r="F179" s="11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2.75" customHeight="1">
      <c r="A180" s="46"/>
      <c r="B180" s="47"/>
      <c r="C180" s="46"/>
      <c r="D180" s="48"/>
      <c r="E180" s="46"/>
      <c r="F180" s="11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2.75" customHeight="1">
      <c r="A181" s="46"/>
      <c r="B181" s="47"/>
      <c r="C181" s="46"/>
      <c r="D181" s="48"/>
      <c r="E181" s="46"/>
      <c r="F181" s="11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2.75" customHeight="1">
      <c r="A182" s="46"/>
      <c r="B182" s="47"/>
      <c r="C182" s="46"/>
      <c r="D182" s="48"/>
      <c r="E182" s="46"/>
      <c r="F182" s="11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2.75" customHeight="1">
      <c r="A183" s="46"/>
      <c r="B183" s="47"/>
      <c r="C183" s="46"/>
      <c r="D183" s="48"/>
      <c r="E183" s="46"/>
      <c r="F183" s="11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2.75" customHeight="1">
      <c r="A184" s="46"/>
      <c r="B184" s="47"/>
      <c r="C184" s="46"/>
      <c r="D184" s="48"/>
      <c r="E184" s="46"/>
      <c r="F184" s="11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2.75" customHeight="1">
      <c r="A185" s="46"/>
      <c r="B185" s="47"/>
      <c r="C185" s="46"/>
      <c r="D185" s="48"/>
      <c r="E185" s="46"/>
      <c r="F185" s="11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2.75" customHeight="1">
      <c r="A186" s="46"/>
      <c r="B186" s="47"/>
      <c r="C186" s="46"/>
      <c r="D186" s="48"/>
      <c r="E186" s="46"/>
      <c r="F186" s="11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2.75" customHeight="1">
      <c r="A187" s="46"/>
      <c r="B187" s="47"/>
      <c r="C187" s="46"/>
      <c r="D187" s="48"/>
      <c r="E187" s="46"/>
      <c r="F187" s="11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2.75" customHeight="1">
      <c r="A188" s="46"/>
      <c r="B188" s="47"/>
      <c r="C188" s="46"/>
      <c r="D188" s="48"/>
      <c r="E188" s="46"/>
      <c r="F188" s="11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2.75" customHeight="1">
      <c r="A189" s="46"/>
      <c r="B189" s="47"/>
      <c r="C189" s="46"/>
      <c r="D189" s="48"/>
      <c r="E189" s="46"/>
      <c r="F189" s="11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2.75" customHeight="1">
      <c r="A190" s="46"/>
      <c r="B190" s="47"/>
      <c r="C190" s="46"/>
      <c r="D190" s="48"/>
      <c r="E190" s="46"/>
      <c r="F190" s="11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2.75" customHeight="1">
      <c r="A191" s="46"/>
      <c r="B191" s="47"/>
      <c r="C191" s="46"/>
      <c r="D191" s="48"/>
      <c r="E191" s="46"/>
      <c r="F191" s="11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2.75" customHeight="1">
      <c r="A192" s="46"/>
      <c r="B192" s="47"/>
      <c r="C192" s="46"/>
      <c r="D192" s="48"/>
      <c r="E192" s="46"/>
      <c r="F192" s="11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2.75" customHeight="1">
      <c r="A193" s="46"/>
      <c r="B193" s="47"/>
      <c r="C193" s="46"/>
      <c r="D193" s="48"/>
      <c r="E193" s="46"/>
      <c r="F193" s="11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2.75" customHeight="1">
      <c r="A194" s="46"/>
      <c r="B194" s="47"/>
      <c r="C194" s="46"/>
      <c r="D194" s="48"/>
      <c r="E194" s="46"/>
      <c r="F194" s="11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2.75" customHeight="1">
      <c r="A195" s="46"/>
      <c r="B195" s="47"/>
      <c r="C195" s="46"/>
      <c r="D195" s="48"/>
      <c r="E195" s="46"/>
      <c r="F195" s="11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2.75" customHeight="1">
      <c r="A196" s="46"/>
      <c r="B196" s="47"/>
      <c r="C196" s="46"/>
      <c r="D196" s="48"/>
      <c r="E196" s="46"/>
      <c r="F196" s="11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2.75" customHeight="1">
      <c r="A197" s="46"/>
      <c r="B197" s="47"/>
      <c r="C197" s="46"/>
      <c r="D197" s="48"/>
      <c r="E197" s="46"/>
      <c r="F197" s="11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2.75" customHeight="1">
      <c r="A198" s="46"/>
      <c r="B198" s="47"/>
      <c r="C198" s="46"/>
      <c r="D198" s="48"/>
      <c r="E198" s="46"/>
      <c r="F198" s="11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2.75" customHeight="1">
      <c r="A199" s="46"/>
      <c r="B199" s="47"/>
      <c r="C199" s="46"/>
      <c r="D199" s="48"/>
      <c r="E199" s="46"/>
      <c r="F199" s="11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2.75" customHeight="1">
      <c r="A200" s="46"/>
      <c r="B200" s="47"/>
      <c r="C200" s="46"/>
      <c r="D200" s="48"/>
      <c r="E200" s="46"/>
      <c r="F200" s="11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2.75" customHeight="1">
      <c r="A201" s="46"/>
      <c r="B201" s="47"/>
      <c r="C201" s="46"/>
      <c r="D201" s="48"/>
      <c r="E201" s="46"/>
      <c r="F201" s="11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2.75" customHeight="1">
      <c r="A202" s="46"/>
      <c r="B202" s="47"/>
      <c r="C202" s="46"/>
      <c r="D202" s="48"/>
      <c r="E202" s="46"/>
      <c r="F202" s="11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2.75" customHeight="1">
      <c r="A203" s="46"/>
      <c r="B203" s="47"/>
      <c r="C203" s="46"/>
      <c r="D203" s="48"/>
      <c r="E203" s="46"/>
      <c r="F203" s="11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2.75" customHeight="1">
      <c r="A204" s="46"/>
      <c r="B204" s="47"/>
      <c r="C204" s="46"/>
      <c r="D204" s="48"/>
      <c r="E204" s="46"/>
      <c r="F204" s="11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2.75" customHeight="1">
      <c r="A205" s="46"/>
      <c r="B205" s="47"/>
      <c r="C205" s="46"/>
      <c r="D205" s="48"/>
      <c r="E205" s="46"/>
      <c r="F205" s="11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2.75" customHeight="1">
      <c r="A206" s="46"/>
      <c r="B206" s="47"/>
      <c r="C206" s="46"/>
      <c r="D206" s="48"/>
      <c r="E206" s="46"/>
      <c r="F206" s="11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2.75" customHeight="1">
      <c r="A207" s="46"/>
      <c r="B207" s="47"/>
      <c r="C207" s="46"/>
      <c r="D207" s="48"/>
      <c r="E207" s="46"/>
      <c r="F207" s="11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2.75" customHeight="1">
      <c r="A208" s="46"/>
      <c r="B208" s="47"/>
      <c r="C208" s="46"/>
      <c r="D208" s="48"/>
      <c r="E208" s="46"/>
      <c r="F208" s="11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2.75" customHeight="1">
      <c r="A209" s="46"/>
      <c r="B209" s="47"/>
      <c r="C209" s="46"/>
      <c r="D209" s="48"/>
      <c r="E209" s="46"/>
      <c r="F209" s="11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2.75" customHeight="1">
      <c r="A210" s="46"/>
      <c r="B210" s="47"/>
      <c r="C210" s="46"/>
      <c r="D210" s="48"/>
      <c r="E210" s="46"/>
      <c r="F210" s="11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2.75" customHeight="1">
      <c r="A211" s="46"/>
      <c r="B211" s="47"/>
      <c r="C211" s="46"/>
      <c r="D211" s="48"/>
      <c r="E211" s="46"/>
      <c r="F211" s="11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2.75" customHeight="1">
      <c r="A212" s="46"/>
      <c r="B212" s="47"/>
      <c r="C212" s="46"/>
      <c r="D212" s="48"/>
      <c r="E212" s="46"/>
      <c r="F212" s="11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2.75" customHeight="1">
      <c r="A213" s="46"/>
      <c r="B213" s="47"/>
      <c r="C213" s="46"/>
      <c r="D213" s="48"/>
      <c r="E213" s="46"/>
      <c r="F213" s="11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2.75" customHeight="1">
      <c r="A214" s="46"/>
      <c r="B214" s="47"/>
      <c r="C214" s="46"/>
      <c r="D214" s="48"/>
      <c r="E214" s="46"/>
      <c r="F214" s="11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2.75" customHeight="1">
      <c r="A215" s="46"/>
      <c r="B215" s="47"/>
      <c r="C215" s="46"/>
      <c r="D215" s="48"/>
      <c r="E215" s="46"/>
      <c r="F215" s="11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2.75" customHeight="1">
      <c r="A216" s="46"/>
      <c r="B216" s="47"/>
      <c r="C216" s="46"/>
      <c r="D216" s="48"/>
      <c r="E216" s="46"/>
      <c r="F216" s="11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2.75" customHeight="1">
      <c r="A217" s="46"/>
      <c r="B217" s="47"/>
      <c r="C217" s="46"/>
      <c r="D217" s="48"/>
      <c r="E217" s="46"/>
      <c r="F217" s="11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2.75" customHeight="1">
      <c r="A218" s="46"/>
      <c r="B218" s="47"/>
      <c r="C218" s="46"/>
      <c r="D218" s="48"/>
      <c r="E218" s="46"/>
      <c r="F218" s="11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2.75" customHeight="1">
      <c r="A219" s="46"/>
      <c r="B219" s="47"/>
      <c r="C219" s="46"/>
      <c r="D219" s="48"/>
      <c r="E219" s="46"/>
      <c r="F219" s="11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2.75" customHeight="1">
      <c r="A220" s="46"/>
      <c r="B220" s="47"/>
      <c r="C220" s="46"/>
      <c r="D220" s="48"/>
      <c r="E220" s="46"/>
      <c r="F220" s="11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2.75" customHeight="1">
      <c r="A221" s="46"/>
      <c r="B221" s="47"/>
      <c r="C221" s="46"/>
      <c r="D221" s="48"/>
      <c r="E221" s="46"/>
      <c r="F221" s="11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2.75" customHeight="1">
      <c r="A222" s="46"/>
      <c r="B222" s="47"/>
      <c r="C222" s="46"/>
      <c r="D222" s="48"/>
      <c r="E222" s="46"/>
      <c r="F222" s="11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2.75" customHeight="1">
      <c r="A223" s="46"/>
      <c r="B223" s="47"/>
      <c r="C223" s="46"/>
      <c r="D223" s="48"/>
      <c r="E223" s="46"/>
      <c r="F223" s="11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2.75" customHeight="1">
      <c r="A224" s="46"/>
      <c r="B224" s="47"/>
      <c r="C224" s="46"/>
      <c r="D224" s="48"/>
      <c r="E224" s="46"/>
      <c r="F224" s="11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2.75" customHeight="1">
      <c r="A225" s="46"/>
      <c r="B225" s="47"/>
      <c r="C225" s="46"/>
      <c r="D225" s="48"/>
      <c r="E225" s="46"/>
      <c r="F225" s="11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2.75" customHeight="1">
      <c r="A226" s="46"/>
      <c r="B226" s="47"/>
      <c r="C226" s="46"/>
      <c r="D226" s="48"/>
      <c r="E226" s="46"/>
      <c r="F226" s="11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2.75" customHeight="1">
      <c r="A227" s="46"/>
      <c r="B227" s="47"/>
      <c r="C227" s="46"/>
      <c r="D227" s="48"/>
      <c r="E227" s="46"/>
      <c r="F227" s="11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2.75" customHeight="1">
      <c r="A228" s="46"/>
      <c r="B228" s="47"/>
      <c r="C228" s="46"/>
      <c r="D228" s="48"/>
      <c r="E228" s="46"/>
      <c r="F228" s="11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2.75" customHeight="1">
      <c r="A229" s="46"/>
      <c r="B229" s="47"/>
      <c r="C229" s="46"/>
      <c r="D229" s="48"/>
      <c r="E229" s="46"/>
      <c r="F229" s="11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2.75" customHeight="1">
      <c r="A230" s="46"/>
      <c r="B230" s="47"/>
      <c r="C230" s="46"/>
      <c r="D230" s="48"/>
      <c r="E230" s="46"/>
      <c r="F230" s="11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2.75" customHeight="1">
      <c r="A231" s="46"/>
      <c r="B231" s="47"/>
      <c r="C231" s="46"/>
      <c r="D231" s="48"/>
      <c r="E231" s="46"/>
      <c r="F231" s="11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2.75" customHeight="1">
      <c r="A232" s="46"/>
      <c r="B232" s="47"/>
      <c r="C232" s="46"/>
      <c r="D232" s="48"/>
      <c r="E232" s="46"/>
      <c r="F232" s="11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2.75" customHeight="1">
      <c r="A233" s="46"/>
      <c r="B233" s="47"/>
      <c r="C233" s="46"/>
      <c r="D233" s="48"/>
      <c r="E233" s="46"/>
      <c r="F233" s="11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2.75" customHeight="1">
      <c r="A234" s="46"/>
      <c r="B234" s="47"/>
      <c r="C234" s="46"/>
      <c r="D234" s="48"/>
      <c r="E234" s="46"/>
      <c r="F234" s="11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2.75" customHeight="1">
      <c r="A235" s="46"/>
      <c r="B235" s="47"/>
      <c r="C235" s="46"/>
      <c r="D235" s="48"/>
      <c r="E235" s="46"/>
      <c r="F235" s="11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2.75" customHeight="1">
      <c r="A236" s="46"/>
      <c r="B236" s="47"/>
      <c r="C236" s="46"/>
      <c r="D236" s="48"/>
      <c r="E236" s="46"/>
      <c r="F236" s="11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2.75" customHeight="1">
      <c r="A237" s="46"/>
      <c r="B237" s="47"/>
      <c r="C237" s="46"/>
      <c r="D237" s="48"/>
      <c r="E237" s="46"/>
      <c r="F237" s="11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2.75" customHeight="1">
      <c r="A238" s="46"/>
      <c r="B238" s="47"/>
      <c r="C238" s="46"/>
      <c r="D238" s="48"/>
      <c r="E238" s="46"/>
      <c r="F238" s="11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2.75" customHeight="1">
      <c r="A239" s="46"/>
      <c r="B239" s="47"/>
      <c r="C239" s="46"/>
      <c r="D239" s="48"/>
      <c r="E239" s="46"/>
      <c r="F239" s="11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2.75" customHeight="1">
      <c r="A240" s="46"/>
      <c r="B240" s="47"/>
      <c r="C240" s="46"/>
      <c r="D240" s="48"/>
      <c r="E240" s="46"/>
      <c r="F240" s="11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2.75" customHeight="1">
      <c r="A241" s="46"/>
      <c r="B241" s="47"/>
      <c r="C241" s="46"/>
      <c r="D241" s="48"/>
      <c r="E241" s="46"/>
      <c r="F241" s="11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2.75" customHeight="1">
      <c r="A242" s="46"/>
      <c r="B242" s="47"/>
      <c r="C242" s="46"/>
      <c r="D242" s="48"/>
      <c r="E242" s="46"/>
      <c r="F242" s="11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2.75" customHeight="1">
      <c r="A243" s="46"/>
      <c r="B243" s="47"/>
      <c r="C243" s="46"/>
      <c r="D243" s="48"/>
      <c r="E243" s="46"/>
      <c r="F243" s="11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2.75" customHeight="1">
      <c r="A244" s="46"/>
      <c r="B244" s="47"/>
      <c r="C244" s="46"/>
      <c r="D244" s="48"/>
      <c r="E244" s="46"/>
      <c r="F244" s="11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2.75" customHeight="1">
      <c r="A245" s="46"/>
      <c r="B245" s="47"/>
      <c r="C245" s="46"/>
      <c r="D245" s="48"/>
      <c r="E245" s="46"/>
      <c r="F245" s="11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2.75" customHeight="1">
      <c r="A246" s="46"/>
      <c r="B246" s="47"/>
      <c r="C246" s="46"/>
      <c r="D246" s="48"/>
      <c r="E246" s="46"/>
      <c r="F246" s="11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2.75" customHeight="1">
      <c r="A247" s="46"/>
      <c r="B247" s="47"/>
      <c r="C247" s="46"/>
      <c r="D247" s="48"/>
      <c r="E247" s="46"/>
      <c r="F247" s="11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2.75" customHeight="1">
      <c r="A248" s="46"/>
      <c r="B248" s="47"/>
      <c r="C248" s="46"/>
      <c r="D248" s="48"/>
      <c r="E248" s="46"/>
      <c r="F248" s="11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2.75" customHeight="1">
      <c r="A249" s="46"/>
      <c r="B249" s="47"/>
      <c r="C249" s="46"/>
      <c r="D249" s="48"/>
      <c r="E249" s="46"/>
      <c r="F249" s="11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2.75" customHeight="1">
      <c r="A250" s="46"/>
      <c r="B250" s="47"/>
      <c r="C250" s="46"/>
      <c r="D250" s="48"/>
      <c r="E250" s="46"/>
      <c r="F250" s="11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2.75" customHeight="1">
      <c r="A251" s="46"/>
      <c r="B251" s="47"/>
      <c r="C251" s="46"/>
      <c r="D251" s="48"/>
      <c r="E251" s="46"/>
      <c r="F251" s="11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2.75" customHeight="1">
      <c r="A252" s="46"/>
      <c r="B252" s="47"/>
      <c r="C252" s="46"/>
      <c r="D252" s="48"/>
      <c r="E252" s="46"/>
      <c r="F252" s="11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2.75" customHeight="1">
      <c r="A253" s="46"/>
      <c r="B253" s="47"/>
      <c r="C253" s="46"/>
      <c r="D253" s="48"/>
      <c r="E253" s="46"/>
      <c r="F253" s="11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2.75" customHeight="1">
      <c r="A254" s="46"/>
      <c r="B254" s="47"/>
      <c r="C254" s="46"/>
      <c r="D254" s="48"/>
      <c r="E254" s="46"/>
      <c r="F254" s="11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2.75" customHeight="1">
      <c r="A255" s="46"/>
      <c r="B255" s="47"/>
      <c r="C255" s="46"/>
      <c r="D255" s="48"/>
      <c r="E255" s="46"/>
      <c r="F255" s="11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2.75" customHeight="1">
      <c r="A256" s="46"/>
      <c r="B256" s="47"/>
      <c r="C256" s="46"/>
      <c r="D256" s="48"/>
      <c r="E256" s="46"/>
      <c r="F256" s="11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2.75" customHeight="1">
      <c r="A257" s="46"/>
      <c r="B257" s="47"/>
      <c r="C257" s="46"/>
      <c r="D257" s="48"/>
      <c r="E257" s="46"/>
      <c r="F257" s="11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2.75" customHeight="1">
      <c r="A258" s="46"/>
      <c r="B258" s="47"/>
      <c r="C258" s="46"/>
      <c r="D258" s="48"/>
      <c r="E258" s="46"/>
      <c r="F258" s="11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2.75" customHeight="1">
      <c r="A259" s="46"/>
      <c r="B259" s="47"/>
      <c r="C259" s="46"/>
      <c r="D259" s="48"/>
      <c r="E259" s="46"/>
      <c r="F259" s="11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2.75" customHeight="1">
      <c r="A260" s="46"/>
      <c r="B260" s="47"/>
      <c r="C260" s="46"/>
      <c r="D260" s="48"/>
      <c r="E260" s="46"/>
      <c r="F260" s="11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2.75" customHeight="1">
      <c r="A261" s="46"/>
      <c r="B261" s="47"/>
      <c r="C261" s="46"/>
      <c r="D261" s="48"/>
      <c r="E261" s="46"/>
      <c r="F261" s="11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2.75" customHeight="1">
      <c r="A262" s="46"/>
      <c r="B262" s="47"/>
      <c r="C262" s="46"/>
      <c r="D262" s="48"/>
      <c r="E262" s="46"/>
      <c r="F262" s="11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2.75" customHeight="1">
      <c r="A263" s="46"/>
      <c r="B263" s="47"/>
      <c r="C263" s="46"/>
      <c r="D263" s="48"/>
      <c r="E263" s="46"/>
      <c r="F263" s="11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2.75" customHeight="1">
      <c r="A264" s="46"/>
      <c r="B264" s="47"/>
      <c r="C264" s="46"/>
      <c r="D264" s="48"/>
      <c r="E264" s="46"/>
      <c r="F264" s="11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2.75" customHeight="1">
      <c r="A265" s="46"/>
      <c r="B265" s="47"/>
      <c r="C265" s="46"/>
      <c r="D265" s="48"/>
      <c r="E265" s="46"/>
      <c r="F265" s="11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2.75" customHeight="1">
      <c r="A266" s="46"/>
      <c r="B266" s="47"/>
      <c r="C266" s="46"/>
      <c r="D266" s="48"/>
      <c r="E266" s="46"/>
      <c r="F266" s="11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2.75" customHeight="1">
      <c r="A267" s="46"/>
      <c r="B267" s="47"/>
      <c r="C267" s="46"/>
      <c r="D267" s="48"/>
      <c r="E267" s="46"/>
      <c r="F267" s="11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2.75" customHeight="1">
      <c r="A268" s="46"/>
      <c r="B268" s="47"/>
      <c r="C268" s="46"/>
      <c r="D268" s="48"/>
      <c r="E268" s="46"/>
      <c r="F268" s="11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2.75" customHeight="1">
      <c r="A269" s="46"/>
      <c r="B269" s="47"/>
      <c r="C269" s="46"/>
      <c r="D269" s="48"/>
      <c r="E269" s="46"/>
      <c r="F269" s="11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2.75" customHeight="1">
      <c r="A270" s="46"/>
      <c r="B270" s="47"/>
      <c r="C270" s="46"/>
      <c r="D270" s="48"/>
      <c r="E270" s="46"/>
      <c r="F270" s="11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2.75" customHeight="1">
      <c r="A271" s="46"/>
      <c r="B271" s="47"/>
      <c r="C271" s="46"/>
      <c r="D271" s="48"/>
      <c r="E271" s="46"/>
      <c r="F271" s="11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2.75" customHeight="1">
      <c r="A272" s="46"/>
      <c r="B272" s="47"/>
      <c r="C272" s="46"/>
      <c r="D272" s="48"/>
      <c r="E272" s="46"/>
      <c r="F272" s="11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2.75" customHeight="1">
      <c r="A273" s="46"/>
      <c r="B273" s="47"/>
      <c r="C273" s="46"/>
      <c r="D273" s="48"/>
      <c r="E273" s="46"/>
      <c r="F273" s="11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2.75" customHeight="1">
      <c r="A274" s="46"/>
      <c r="B274" s="47"/>
      <c r="C274" s="46"/>
      <c r="D274" s="48"/>
      <c r="E274" s="46"/>
      <c r="F274" s="11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2.75" customHeight="1">
      <c r="A275" s="46"/>
      <c r="B275" s="47"/>
      <c r="C275" s="46"/>
      <c r="D275" s="48"/>
      <c r="E275" s="46"/>
      <c r="F275" s="11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2.75" customHeight="1">
      <c r="A276" s="46"/>
      <c r="B276" s="47"/>
      <c r="C276" s="46"/>
      <c r="D276" s="48"/>
      <c r="E276" s="46"/>
      <c r="F276" s="11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2.75" customHeight="1">
      <c r="A277" s="46"/>
      <c r="B277" s="47"/>
      <c r="C277" s="46"/>
      <c r="D277" s="48"/>
      <c r="E277" s="46"/>
      <c r="F277" s="11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2.75" customHeight="1">
      <c r="A278" s="46"/>
      <c r="B278" s="47"/>
      <c r="C278" s="46"/>
      <c r="D278" s="48"/>
      <c r="E278" s="46"/>
      <c r="F278" s="11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2.75" customHeight="1">
      <c r="A279" s="46"/>
      <c r="B279" s="47"/>
      <c r="C279" s="46"/>
      <c r="D279" s="48"/>
      <c r="E279" s="46"/>
      <c r="F279" s="11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2.75" customHeight="1">
      <c r="A280" s="46"/>
      <c r="B280" s="47"/>
      <c r="C280" s="46"/>
      <c r="D280" s="48"/>
      <c r="E280" s="46"/>
      <c r="F280" s="11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2.75" customHeight="1">
      <c r="A281" s="46"/>
      <c r="B281" s="47"/>
      <c r="C281" s="46"/>
      <c r="D281" s="48"/>
      <c r="E281" s="46"/>
      <c r="F281" s="11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2.75" customHeight="1">
      <c r="A282" s="46"/>
      <c r="B282" s="47"/>
      <c r="C282" s="46"/>
      <c r="D282" s="48"/>
      <c r="E282" s="46"/>
      <c r="F282" s="11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2.75" customHeight="1">
      <c r="A283" s="46"/>
      <c r="B283" s="47"/>
      <c r="C283" s="46"/>
      <c r="D283" s="48"/>
      <c r="E283" s="46"/>
      <c r="F283" s="11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2.75" customHeight="1">
      <c r="A284" s="46"/>
      <c r="B284" s="47"/>
      <c r="C284" s="46"/>
      <c r="D284" s="48"/>
      <c r="E284" s="46"/>
      <c r="F284" s="11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2.75" customHeight="1">
      <c r="A285" s="46"/>
      <c r="B285" s="47"/>
      <c r="C285" s="46"/>
      <c r="D285" s="48"/>
      <c r="E285" s="46"/>
      <c r="F285" s="11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2.75" customHeight="1">
      <c r="A286" s="46"/>
      <c r="B286" s="47"/>
      <c r="C286" s="46"/>
      <c r="D286" s="48"/>
      <c r="E286" s="46"/>
      <c r="F286" s="11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2.75" customHeight="1">
      <c r="A287" s="46"/>
      <c r="B287" s="47"/>
      <c r="C287" s="46"/>
      <c r="D287" s="48"/>
      <c r="E287" s="46"/>
      <c r="F287" s="11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2.75" customHeight="1">
      <c r="A288" s="46"/>
      <c r="B288" s="47"/>
      <c r="C288" s="46"/>
      <c r="D288" s="48"/>
      <c r="E288" s="46"/>
      <c r="F288" s="11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2.75" customHeight="1">
      <c r="A289" s="46"/>
      <c r="B289" s="47"/>
      <c r="C289" s="46"/>
      <c r="D289" s="48"/>
      <c r="E289" s="46"/>
      <c r="F289" s="11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2.75" customHeight="1">
      <c r="A290" s="46"/>
      <c r="B290" s="47"/>
      <c r="C290" s="46"/>
      <c r="D290" s="48"/>
      <c r="E290" s="46"/>
      <c r="F290" s="11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2.75" customHeight="1">
      <c r="A291" s="46"/>
      <c r="B291" s="47"/>
      <c r="C291" s="46"/>
      <c r="D291" s="48"/>
      <c r="E291" s="46"/>
      <c r="F291" s="11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2.75" customHeight="1">
      <c r="A292" s="46"/>
      <c r="B292" s="47"/>
      <c r="C292" s="46"/>
      <c r="D292" s="48"/>
      <c r="E292" s="46"/>
      <c r="F292" s="11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2.75" customHeight="1">
      <c r="A293" s="46"/>
      <c r="B293" s="47"/>
      <c r="C293" s="46"/>
      <c r="D293" s="48"/>
      <c r="E293" s="46"/>
      <c r="F293" s="11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2.75" customHeight="1">
      <c r="A294" s="46"/>
      <c r="B294" s="47"/>
      <c r="C294" s="46"/>
      <c r="D294" s="48"/>
      <c r="E294" s="46"/>
      <c r="F294" s="11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2.75" customHeight="1">
      <c r="A295" s="46"/>
      <c r="B295" s="47"/>
      <c r="C295" s="46"/>
      <c r="D295" s="48"/>
      <c r="E295" s="46"/>
      <c r="F295" s="11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2.75" customHeight="1">
      <c r="A296" s="46"/>
      <c r="B296" s="47"/>
      <c r="C296" s="46"/>
      <c r="D296" s="48"/>
      <c r="E296" s="46"/>
      <c r="F296" s="11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2.75" customHeight="1">
      <c r="A297" s="46"/>
      <c r="B297" s="47"/>
      <c r="C297" s="46"/>
      <c r="D297" s="48"/>
      <c r="E297" s="46"/>
      <c r="F297" s="11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2.75" customHeight="1">
      <c r="A298" s="46"/>
      <c r="B298" s="47"/>
      <c r="C298" s="46"/>
      <c r="D298" s="48"/>
      <c r="E298" s="46"/>
      <c r="F298" s="11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2.75" customHeight="1">
      <c r="A299" s="46"/>
      <c r="B299" s="47"/>
      <c r="C299" s="46"/>
      <c r="D299" s="48"/>
      <c r="E299" s="46"/>
      <c r="F299" s="11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2.75" customHeight="1">
      <c r="A300" s="46"/>
      <c r="B300" s="47"/>
      <c r="C300" s="46"/>
      <c r="D300" s="48"/>
      <c r="E300" s="46"/>
      <c r="F300" s="11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2.75" customHeight="1">
      <c r="A301" s="46"/>
      <c r="B301" s="47"/>
      <c r="C301" s="46"/>
      <c r="D301" s="46"/>
      <c r="E301" s="46"/>
      <c r="F301" s="11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2.75" customHeight="1">
      <c r="A302" s="46"/>
      <c r="B302" s="47"/>
      <c r="C302" s="46"/>
      <c r="D302" s="46"/>
      <c r="E302" s="46"/>
      <c r="F302" s="11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2.75" customHeight="1">
      <c r="A303" s="46"/>
      <c r="B303" s="47"/>
      <c r="C303" s="46"/>
      <c r="D303" s="46"/>
      <c r="E303" s="46"/>
      <c r="F303" s="11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2.75" customHeight="1">
      <c r="A304" s="46"/>
      <c r="B304" s="47"/>
      <c r="C304" s="46"/>
      <c r="D304" s="46"/>
      <c r="E304" s="46"/>
      <c r="F304" s="11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2.75" customHeight="1">
      <c r="A305" s="46"/>
      <c r="B305" s="47"/>
      <c r="C305" s="46"/>
      <c r="D305" s="46"/>
      <c r="E305" s="46"/>
      <c r="F305" s="11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2.75" customHeight="1">
      <c r="A306" s="46"/>
      <c r="B306" s="47"/>
      <c r="C306" s="46"/>
      <c r="D306" s="46"/>
      <c r="E306" s="46"/>
      <c r="F306" s="11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2.75" customHeight="1">
      <c r="A307" s="46"/>
      <c r="B307" s="47"/>
      <c r="C307" s="46"/>
      <c r="D307" s="46"/>
      <c r="E307" s="46"/>
      <c r="F307" s="11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2.75" customHeight="1">
      <c r="A308" s="46"/>
      <c r="B308" s="47"/>
      <c r="C308" s="46"/>
      <c r="D308" s="46"/>
      <c r="E308" s="46"/>
      <c r="F308" s="11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2.75" customHeight="1">
      <c r="A309" s="46"/>
      <c r="B309" s="47"/>
      <c r="C309" s="46"/>
      <c r="D309" s="46"/>
      <c r="E309" s="46"/>
      <c r="F309" s="11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2.75" customHeight="1">
      <c r="A310" s="46"/>
      <c r="B310" s="47"/>
      <c r="C310" s="46"/>
      <c r="D310" s="46"/>
      <c r="E310" s="46"/>
      <c r="F310" s="11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2.75" customHeight="1">
      <c r="A311" s="46"/>
      <c r="B311" s="47"/>
      <c r="C311" s="46"/>
      <c r="D311" s="46"/>
      <c r="E311" s="46"/>
      <c r="F311" s="11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2.75" customHeight="1">
      <c r="A312" s="46"/>
      <c r="B312" s="47"/>
      <c r="C312" s="46"/>
      <c r="D312" s="46"/>
      <c r="E312" s="46"/>
      <c r="F312" s="11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2.75" customHeight="1">
      <c r="A313" s="46"/>
      <c r="B313" s="47"/>
      <c r="C313" s="46"/>
      <c r="D313" s="46"/>
      <c r="E313" s="46"/>
      <c r="F313" s="11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2.75" customHeight="1">
      <c r="A314" s="46"/>
      <c r="B314" s="47"/>
      <c r="C314" s="46"/>
      <c r="D314" s="46"/>
      <c r="E314" s="46"/>
      <c r="F314" s="11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2.75" customHeight="1">
      <c r="A315" s="46"/>
      <c r="B315" s="47"/>
      <c r="C315" s="46"/>
      <c r="D315" s="46"/>
      <c r="E315" s="46"/>
      <c r="F315" s="11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2.75" customHeight="1">
      <c r="A316" s="46"/>
      <c r="B316" s="47"/>
      <c r="C316" s="46"/>
      <c r="D316" s="46"/>
      <c r="E316" s="46"/>
      <c r="F316" s="11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2.75" customHeight="1">
      <c r="A317" s="46"/>
      <c r="B317" s="47"/>
      <c r="C317" s="46"/>
      <c r="D317" s="46"/>
      <c r="E317" s="46"/>
      <c r="F317" s="11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2.75" customHeight="1">
      <c r="A318" s="46"/>
      <c r="B318" s="47"/>
      <c r="C318" s="46"/>
      <c r="D318" s="46"/>
      <c r="E318" s="46"/>
      <c r="F318" s="11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2.75" customHeight="1">
      <c r="A319" s="46"/>
      <c r="B319" s="47"/>
      <c r="C319" s="46"/>
      <c r="D319" s="46"/>
      <c r="E319" s="46"/>
      <c r="F319" s="11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2.75" customHeight="1">
      <c r="A320" s="46"/>
      <c r="B320" s="47"/>
      <c r="C320" s="46"/>
      <c r="D320" s="46"/>
      <c r="E320" s="46"/>
      <c r="F320" s="11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2.75" customHeight="1">
      <c r="A321" s="46"/>
      <c r="B321" s="47"/>
      <c r="C321" s="46"/>
      <c r="D321" s="46"/>
      <c r="E321" s="46"/>
      <c r="F321" s="11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63"/>
    <col customWidth="1" min="2" max="2" width="67.38"/>
    <col customWidth="1" min="3" max="3" width="21.5"/>
    <col customWidth="1" min="4" max="4" width="21.38"/>
    <col customWidth="1" min="5" max="26" width="12.0"/>
  </cols>
  <sheetData>
    <row r="1" ht="12.75" customHeight="1">
      <c r="A1" s="1" t="s">
        <v>646</v>
      </c>
      <c r="B1" s="1" t="s">
        <v>647</v>
      </c>
      <c r="C1" s="1" t="s">
        <v>648</v>
      </c>
      <c r="D1" s="1" t="s">
        <v>649</v>
      </c>
      <c r="E1" s="1" t="s">
        <v>650</v>
      </c>
      <c r="F1" s="1" t="s">
        <v>651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9" t="s">
        <v>652</v>
      </c>
      <c r="B2" s="9" t="s">
        <v>653</v>
      </c>
      <c r="C2" s="9" t="s">
        <v>654</v>
      </c>
      <c r="D2" s="9" t="s">
        <v>655</v>
      </c>
      <c r="E2" s="9" t="s">
        <v>656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