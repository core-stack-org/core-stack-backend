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<sst xmlns="http://schemas.openxmlformats.org/spreadsheetml/2006/main" count="711" uniqueCount="456">
  <si>
    <t xml:space="preserve">type</t>
  </si>
  <si>
    <t xml:space="preserve">name</t>
  </si>
  <si>
    <t xml:space="preserve">label::English(en)</t>
  </si>
  <si>
    <t xml:space="preserve">label::Hindi(hi)</t>
  </si>
  <si>
    <t xml:space="preserve">label::Gujarati(gu)</t>
  </si>
  <si>
    <t xml:space="preserve">label::Kannada(kn)</t>
  </si>
  <si>
    <t xml:space="preserve">label::Odia(or)</t>
  </si>
  <si>
    <t xml:space="preserve">relevant</t>
  </si>
  <si>
    <t xml:space="preserve">calculation</t>
  </si>
  <si>
    <t xml:space="preserve">read_only</t>
  </si>
  <si>
    <t xml:space="preserve">hint::English(en)</t>
  </si>
  <si>
    <t xml:space="preserve">hint::Hindi(hi)</t>
  </si>
  <si>
    <t xml:space="preserve">hint::Gujarati(gu)</t>
  </si>
  <si>
    <t xml:space="preserve">hint::Kannada(kn)</t>
  </si>
  <si>
    <t xml:space="preserve">hint::Odia(or)</t>
  </si>
  <si>
    <t xml:space="preserve">appearance</t>
  </si>
  <si>
    <t xml:space="preserve">parameters</t>
  </si>
  <si>
    <t xml:space="preserve">required</t>
  </si>
  <si>
    <t xml:space="preserve">constraint</t>
  </si>
  <si>
    <t xml:space="preserve">constraint_message::English(en)</t>
  </si>
  <si>
    <t xml:space="preserve">constraint_message::Hindi(hi)</t>
  </si>
  <si>
    <t xml:space="preserve">constraint_message::Gujarati(gu)</t>
  </si>
  <si>
    <t xml:space="preserve">constraint_message::Kannada(kn)</t>
  </si>
  <si>
    <t xml:space="preserve">constraint_message::Odia(or)</t>
  </si>
  <si>
    <t xml:space="preserve">start</t>
  </si>
  <si>
    <t xml:space="preserve">end</t>
  </si>
  <si>
    <t xml:space="preserve">today</t>
  </si>
  <si>
    <t xml:space="preserve">deviceid</t>
  </si>
  <si>
    <t xml:space="preserve">text</t>
  </si>
  <si>
    <t xml:space="preserve">beneficiary_settlement</t>
  </si>
  <si>
    <t xml:space="preserve">Name of Beneficiary's Settlement</t>
  </si>
  <si>
    <t xml:space="preserve">लाभ मिलने वाला टोला का नाम </t>
  </si>
  <si>
    <t xml:space="preserve">ಫಲಾನುಭವಿಯ ಹೆಸರು </t>
  </si>
  <si>
    <t xml:space="preserve">yes</t>
  </si>
  <si>
    <t xml:space="preserve">select_one demand</t>
  </si>
  <si>
    <t xml:space="preserve">demand_type</t>
  </si>
  <si>
    <t xml:space="preserve">Type of demand</t>
  </si>
  <si>
    <t xml:space="preserve">ಬೇಡಿಕೆಯ ಪ್ರಕಾರ</t>
  </si>
  <si>
    <t xml:space="preserve">Beneficiary_Name</t>
  </si>
  <si>
    <t xml:space="preserve">Beneficiary's Name</t>
  </si>
  <si>
    <t xml:space="preserve">ಫಲಾನುಭವಿಯ ಹೆಸರು</t>
  </si>
  <si>
    <t xml:space="preserve">${demand_type}='Individual_demand'</t>
  </si>
  <si>
    <t xml:space="preserve">select_one gender</t>
  </si>
  <si>
    <t xml:space="preserve">select_gender</t>
  </si>
  <si>
    <t xml:space="preserve">Gender</t>
  </si>
  <si>
    <t xml:space="preserve">ಲಿಂಗ</t>
  </si>
  <si>
    <t xml:space="preserve">ben_father</t>
  </si>
  <si>
    <t xml:space="preserve">Beneficiary's Father/Husband name</t>
  </si>
  <si>
    <t xml:space="preserve">लाभार्थी के पिता का नाम</t>
  </si>
  <si>
    <t xml:space="preserve">ಫಲಾನುಭವಿಯ ತಂದೆಯ ಹೆಸರು</t>
  </si>
  <si>
    <t xml:space="preserve">integer</t>
  </si>
  <si>
    <t xml:space="preserve">Beneficiary_Contact_Number</t>
  </si>
  <si>
    <t xml:space="preserve">Beneficiary's Contact Number</t>
  </si>
  <si>
    <t xml:space="preserve">लाभार्थी का फोन नंबर</t>
  </si>
  <si>
    <t xml:space="preserve">ಫಲಾನುಭವಿಯ ಸಂಪರ್ಕ ಸಂಖ್ಯೆ</t>
  </si>
  <si>
    <t xml:space="preserve">regex(., '^(\\+?91[ -]?)?0?[6-9][0-9]{2}[ -]?[0-9]{3}[ -]?[0-9]{4}$')</t>
  </si>
  <si>
    <t xml:space="preserve">Enter a phone number (format: 9876543210)</t>
  </si>
  <si>
    <t xml:space="preserve">ಫೋನ್ ಸಂಖ್ಯೆಯನ್ನು ನಮೂದಿಸಿ (ಸ್ವರೂಪ: 9876543210)</t>
  </si>
  <si>
    <t xml:space="preserve">ଏକ ଫୋନ୍ ନମ୍ବର ଲେଖନ୍ତୁ (ଫର୍ମାଟ୍: 9876543210)</t>
  </si>
  <si>
    <t xml:space="preserve">select_one TYPE_OF_WORK</t>
  </si>
  <si>
    <t xml:space="preserve">TYPE_OF_WORK</t>
  </si>
  <si>
    <t xml:space="preserve">Select the type of surface water structure for repair work</t>
  </si>
  <si>
    <t xml:space="preserve">कार्य का प्रकार चुनें</t>
  </si>
  <si>
    <t xml:space="preserve">ದುರಸ್ತಿ ಕೆಲಸಕ್ಕಾಗಿ ಮೇಲ್ಮೈ ನೀರಿನ ರಚನೆಯ ಪ್ರಕಾರವನ್ನು ಆಯ್ಕೆಮಾಡಿ.</t>
  </si>
  <si>
    <t xml:space="preserve">${demand_type}='Individual_demand' or ${demand_type}='Community_demand'</t>
  </si>
  <si>
    <t xml:space="preserve">select_multiple farm_pond or_other</t>
  </si>
  <si>
    <t xml:space="preserve">select_one_farm_pond</t>
  </si>
  <si>
    <t xml:space="preserve">Repair of farm pond</t>
  </si>
  <si>
    <t xml:space="preserve">खेत में बनाये गए तालाबों/डोभा की मरम्मत</t>
  </si>
  <si>
    <t xml:space="preserve">ಕೃಷಿ ಹೊಂಡ ದುರಸ್ತಿ</t>
  </si>
  <si>
    <t xml:space="preserve">${TYPE_OF_WORK}=’Farm pond’</t>
  </si>
  <si>
    <t xml:space="preserve">select_one Soil</t>
  </si>
  <si>
    <t xml:space="preserve">select_one_soil_fp</t>
  </si>
  <si>
    <t xml:space="preserve">Type of Soil</t>
  </si>
  <si>
    <t xml:space="preserve">मिट्टी का प्रकार</t>
  </si>
  <si>
    <t xml:space="preserve">માટીનો પ્રકાર</t>
  </si>
  <si>
    <t xml:space="preserve">ಮಣ್ಣಿನ ವಿಧ</t>
  </si>
  <si>
    <t xml:space="preserve">selected(${select_one_farm_pond}, ’De_sitling’)</t>
  </si>
  <si>
    <t xml:space="preserve">select_one silt</t>
  </si>
  <si>
    <t xml:space="preserve">Select_one_silt_fp</t>
  </si>
  <si>
    <t xml:space="preserve">Amount of Silt</t>
  </si>
  <si>
    <t xml:space="preserve">गाद का ढेर</t>
  </si>
  <si>
    <t xml:space="preserve">કાંપનો પર્વત</t>
  </si>
  <si>
    <t xml:space="preserve">ಸಿಲ್ಟ್ ಪರ್ವತ</t>
  </si>
  <si>
    <t xml:space="preserve">select_multiple community_pond or_other</t>
  </si>
  <si>
    <t xml:space="preserve">select_one_community_pond</t>
  </si>
  <si>
    <t xml:space="preserve">Repair of community Pond</t>
  </si>
  <si>
    <t xml:space="preserve">सामुदायिक तालाब की मरम्मत</t>
  </si>
  <si>
    <t xml:space="preserve">ಸಮುದಾಯ ಕೆರೆ ದುರಸ್ತಿ</t>
  </si>
  <si>
    <t xml:space="preserve">${TYPE_OF_WORK}=’Community Pond’</t>
  </si>
  <si>
    <t xml:space="preserve">select_one_soil_cp</t>
  </si>
  <si>
    <t xml:space="preserve">selected(${select_one_community_pond}, ’De_sitling’)</t>
  </si>
  <si>
    <t xml:space="preserve">Select_one_silt_cp</t>
  </si>
  <si>
    <t xml:space="preserve">select_multiple large_water_body or_other</t>
  </si>
  <si>
    <t xml:space="preserve">select_one_repair_large_water_body</t>
  </si>
  <si>
    <t xml:space="preserve">Repair of large water body</t>
  </si>
  <si>
    <t xml:space="preserve">बड़े जल स्रोत की मरम्मत </t>
  </si>
  <si>
    <t xml:space="preserve">ದೊಡ್ಡ ನೀರಿನ ಜಲಾಶಯದ ದುರಸ್ತಿ</t>
  </si>
  <si>
    <t xml:space="preserve">${TYPE_OF_WORK}=’Large water body’</t>
  </si>
  <si>
    <t xml:space="preserve">select_one_soil_lwb</t>
  </si>
  <si>
    <t xml:space="preserve">selected(${select_one_repair_large_water_body}, ’De_sitling’)</t>
  </si>
  <si>
    <t xml:space="preserve">Select_one_silt_lwb</t>
  </si>
  <si>
    <t xml:space="preserve">select_multiple canal or_other</t>
  </si>
  <si>
    <t xml:space="preserve">select_one_repair_canal</t>
  </si>
  <si>
    <t xml:space="preserve">Repair of canal
</t>
  </si>
  <si>
    <t xml:space="preserve">नहर की मरम्मत</t>
  </si>
  <si>
    <t xml:space="preserve">ಕಾಲುವೆ ದುರಸ್ತಿ
</t>
  </si>
  <si>
    <t xml:space="preserve">${TYPE_OF_WORK}=’Canal’</t>
  </si>
  <si>
    <t xml:space="preserve">select_one_soil_canal</t>
  </si>
  <si>
    <t xml:space="preserve">selected(${select_one_repair_canal}, ’Desilting’)</t>
  </si>
  <si>
    <t xml:space="preserve">Select_one_silt_canal</t>
  </si>
  <si>
    <t xml:space="preserve">select_multiple check_dam or_other</t>
  </si>
  <si>
    <t xml:space="preserve">select_one_check_dam</t>
  </si>
  <si>
    <t xml:space="preserve">Repair of check dam</t>
  </si>
  <si>
    <t xml:space="preserve">चेक डैम की मरम्मत</t>
  </si>
  <si>
    <t xml:space="preserve">ಚೆಕ್ ಡ್ಯಾಂ ದುರಸ್ತಿ</t>
  </si>
  <si>
    <t xml:space="preserve">${TYPE_OF_WORK}=’Check dam’</t>
  </si>
  <si>
    <t xml:space="preserve">select_one_soil_cd</t>
  </si>
  <si>
    <t xml:space="preserve">selected(${select_one_check_dam}, 'De_sitling')</t>
  </si>
  <si>
    <t xml:space="preserve">Select_one_silt_cd</t>
  </si>
  <si>
    <t xml:space="preserve">select_multiple percolation_tank or_other</t>
  </si>
  <si>
    <t xml:space="preserve">select_one_percolation_tank</t>
  </si>
  <si>
    <t xml:space="preserve">Repair of Percolation tank</t>
  </si>
  <si>
    <t xml:space="preserve">परकोलेशन टैंक की मरम्मत</t>
  </si>
  <si>
    <t xml:space="preserve">ಪರ್ಕೊಲೇಷನ್ ಟ್ಯಾಂಕ್ ದುರಸ್ತಿ</t>
  </si>
  <si>
    <t xml:space="preserve">${TYPE_OF_WORK}=’Percolation tank’</t>
  </si>
  <si>
    <t xml:space="preserve">select_one_soil_pt</t>
  </si>
  <si>
    <t xml:space="preserve">selected(${select_one_percolation_tank}, 'De_sitling')</t>
  </si>
  <si>
    <t xml:space="preserve">Select_one_silt_pt</t>
  </si>
  <si>
    <t xml:space="preserve">select_multiple rock_fill_dam or_other</t>
  </si>
  <si>
    <t xml:space="preserve">select_one_rock_fill_dam</t>
  </si>
  <si>
    <t xml:space="preserve">Repair of rock fill dam</t>
  </si>
  <si>
    <t xml:space="preserve">रॉक फिल बांध की मरम्मत</t>
  </si>
  <si>
    <t xml:space="preserve">ಕಲ್ಲು ತುಂಬಿದ ಅಣೆಕಟ್ಟು ದುರಸ್ತಿ</t>
  </si>
  <si>
    <t xml:space="preserve">${TYPE_OF_WORK}=’Rock fill dam’</t>
  </si>
  <si>
    <t xml:space="preserve">select_one_soil_rfd</t>
  </si>
  <si>
    <t xml:space="preserve">selected(${select_one_rock_fill_dam}, 'De_sitling')</t>
  </si>
  <si>
    <t xml:space="preserve">Select_one_silt_rfd</t>
  </si>
  <si>
    <t xml:space="preserve">select_multiple loose_boulder_structure or_other</t>
  </si>
  <si>
    <t xml:space="preserve">select_one_loose_boulder_structure</t>
  </si>
  <si>
    <t xml:space="preserve">Repair of loose boulder structure</t>
  </si>
  <si>
    <t xml:space="preserve">लूज बोल्डर स्ट्रक्चर की मरम्मत </t>
  </si>
  <si>
    <t xml:space="preserve">ಸಡಿಲವಾದ ಬಂಡೆಯ ರಚನೆಯ ದುರಸ್ತಿ</t>
  </si>
  <si>
    <t xml:space="preserve">${TYPE_OF_WORK}=’Loose boulder structure’</t>
  </si>
  <si>
    <t xml:space="preserve">select_multiple Model5_structure or_other</t>
  </si>
  <si>
    <t xml:space="preserve">select_one_model5_structure</t>
  </si>
  <si>
    <t xml:space="preserve">Repair of 5% Model structure</t>
  </si>
  <si>
    <t xml:space="preserve">5% मॉडल स्ट्रक्चर की मरम्मत</t>
  </si>
  <si>
    <t xml:space="preserve">5% ಮಾದರಿ ರಚನೆಯ ದುರಸ್ತಿ</t>
  </si>
  <si>
    <t xml:space="preserve">${TYPE_OF_WORK}=’5% Model structure’</t>
  </si>
  <si>
    <t xml:space="preserve">select_one_soil_model5</t>
  </si>
  <si>
    <t xml:space="preserve">selected(${select_one_model5_structure}, 'De_sitling')</t>
  </si>
  <si>
    <t xml:space="preserve">Select_one_silt_model5</t>
  </si>
  <si>
    <t xml:space="preserve">select_multiple Model30_40_structure or_other</t>
  </si>
  <si>
    <t xml:space="preserve">select_one_model30_40_structure</t>
  </si>
  <si>
    <t xml:space="preserve">Repair of 30-40 Model structure</t>
  </si>
  <si>
    <t xml:space="preserve">30-40 मॉडल स्ट्रक्चर की मरम्मत</t>
  </si>
  <si>
    <t xml:space="preserve">30-40 ಮಾದರಿ ರಚನೆಯ ದುರಸ್ತಿ</t>
  </si>
  <si>
    <t xml:space="preserve">${TYPE_OF_WORK}=’30-40 Model structure’</t>
  </si>
  <si>
    <t xml:space="preserve">select_one_soil_model30</t>
  </si>
  <si>
    <t xml:space="preserve">selected(${select_one_model30_40_structure}, 'De_sitling')</t>
  </si>
  <si>
    <t xml:space="preserve">Select_one_silt_model30</t>
  </si>
  <si>
    <t xml:space="preserve">image</t>
  </si>
  <si>
    <t xml:space="preserve">image_widget</t>
  </si>
  <si>
    <t xml:space="preserve">Photo of the area</t>
  </si>
  <si>
    <t xml:space="preserve">क्षेत्र का फोटो</t>
  </si>
  <si>
    <t xml:space="preserve">ಪ್ರದೇಶದ ಫೋಟೋ</t>
  </si>
  <si>
    <t xml:space="preserve">max-pixels=3000</t>
  </si>
  <si>
    <t xml:space="preserve">audio</t>
  </si>
  <si>
    <t xml:space="preserve">audio_record</t>
  </si>
  <si>
    <t xml:space="preserve">Record a message justifying the need for the maintenance of surface water structure  at this location
</t>
  </si>
  <si>
    <t xml:space="preserve">ಈ ಸ್ಥಳದಲ್ಲಿ ಮೇಲ್ಮೈ ನೀರಿನ ರಚನೆಯ ನಿರ್ವಹಣೆಯ ಅಗತ್ಯವನ್ನು ಸಮರ್ಥಿಸುವ ಸಂದೇಶವನ್ನು ರೆಕಾರ್ಡ್ ಮಾಡಿ
</t>
  </si>
  <si>
    <t xml:space="preserve">text_record</t>
  </si>
  <si>
    <t xml:space="preserve">If you cannot record, write down the justification for the need of maintenance of water structure at this location</t>
  </si>
  <si>
    <t xml:space="preserve">false()</t>
  </si>
  <si>
    <t xml:space="preserve">note</t>
  </si>
  <si>
    <t xml:space="preserve">pm_swb_note_1</t>
  </si>
  <si>
    <t xml:space="preserve">&lt;span style="font-size: large; font-weight: bold; color:red;"&gt; DO NOT MODIFY ANYTHING BEYOND THIS POINT AND SUBMIT YOUR FORM DATA&lt;/span&gt;</t>
  </si>
  <si>
    <t xml:space="preserve">&lt;span style="color:red"&gt;इससे परे कुछ भी संशोधित न करें और अपना फॉर्म डेटा सबमिट करें&lt;/span&gt;</t>
  </si>
  <si>
    <t xml:space="preserve">&lt;span style="font-size: large; font-weight: bold; color:red;"&gt; ಈ ಅಂಶವನ್ನು ಮೀರಿ ಏನನ್ನೂ ಮಾರ್ಪಡಿಸಬೇಡಿ ಮತ್ತು ನಿಮ್ಮ ಫಾರ್ಮ್ ಡೇಟಾವನ್ನು ಸಲ್ಲಿಸಿ&lt;/span&gt;</t>
  </si>
  <si>
    <t xml:space="preserve">begin_group</t>
  </si>
  <si>
    <t xml:space="preserve">GPS_point</t>
  </si>
  <si>
    <t xml:space="preserve">Lat/Lon</t>
  </si>
  <si>
    <t xml:space="preserve">अक्षांश/देशांतर</t>
  </si>
  <si>
    <t xml:space="preserve">ಅಕ್ಷಾಂಶ/ಲೋನ್</t>
  </si>
  <si>
    <t xml:space="preserve">compact</t>
  </si>
  <si>
    <t xml:space="preserve">geopoint</t>
  </si>
  <si>
    <t xml:space="preserve">point_mapsappearance</t>
  </si>
  <si>
    <t xml:space="preserve">जियोपॉइंट</t>
  </si>
  <si>
    <t xml:space="preserve">ଜିଓପଏଣ୍ଟ |</t>
  </si>
  <si>
    <t xml:space="preserve">maps</t>
  </si>
  <si>
    <t xml:space="preserve">end_group</t>
  </si>
  <si>
    <t xml:space="preserve">block_name</t>
  </si>
  <si>
    <t xml:space="preserve">Block name</t>
  </si>
  <si>
    <t xml:space="preserve">ब्लॉक का नाम</t>
  </si>
  <si>
    <t xml:space="preserve">ಬ್ಲಾಕ್ ಹೆಸರು</t>
  </si>
  <si>
    <t xml:space="preserve">plan_id</t>
  </si>
  <si>
    <t xml:space="preserve">Plan ID</t>
  </si>
  <si>
    <t xml:space="preserve">योजना का आईडी</t>
  </si>
  <si>
    <t xml:space="preserve">ಯೋಜನೆ ಐಡಿ</t>
  </si>
  <si>
    <t xml:space="preserve">plan_name</t>
  </si>
  <si>
    <t xml:space="preserve">Plan name</t>
  </si>
  <si>
    <t xml:space="preserve">योजना का नाम</t>
  </si>
  <si>
    <t xml:space="preserve">ಯೋಜನೆಯ ಹೆಸರು</t>
  </si>
  <si>
    <t xml:space="preserve">corresponding_work_id</t>
  </si>
  <si>
    <t xml:space="preserve">Corresponding Work ID</t>
  </si>
  <si>
    <t xml:space="preserve">सम्बंधित कार्य का आईडी </t>
  </si>
  <si>
    <t xml:space="preserve">ಸಂಬಂಧಿತ ಕೆಲಸದ ಐಡಿ</t>
  </si>
  <si>
    <t xml:space="preserve">user_latlon</t>
  </si>
  <si>
    <t xml:space="preserve">Current location of the user</t>
  </si>
  <si>
    <t xml:space="preserve">उपयोगकर्ता का वर्तमान स्थान</t>
  </si>
  <si>
    <t xml:space="preserve">ಬಳಕೆದಾರರ ಪ್ರಸ್ತುತ ಸ್ಥಳ</t>
  </si>
  <si>
    <t xml:space="preserve">work_id</t>
  </si>
  <si>
    <t xml:space="preserve">Work ID</t>
  </si>
  <si>
    <t xml:space="preserve">कार्य आईडी</t>
  </si>
  <si>
    <t xml:space="preserve">ನಿಮ್ಮ ಕೆಲಸದ ಗುರುತಿನ ಸಂಖ್ಯೆ</t>
  </si>
  <si>
    <t xml:space="preserve">once(uuid(10))</t>
  </si>
  <si>
    <t xml:space="preserve">list_name</t>
  </si>
  <si>
    <t xml:space="preserve">Farm pond</t>
  </si>
  <si>
    <t xml:space="preserve">खेत का तालाब</t>
  </si>
  <si>
    <t xml:space="preserve">ಕೃಷಿ ಹೊಂಡ</t>
  </si>
  <si>
    <t xml:space="preserve">Community Pond</t>
  </si>
  <si>
    <t xml:space="preserve">सामुदायिक तालाब </t>
  </si>
  <si>
    <t xml:space="preserve">ಸಮುದಾಯ ಕೊಳ</t>
  </si>
  <si>
    <t xml:space="preserve">Large water body</t>
  </si>
  <si>
    <t xml:space="preserve">बड़े जल स्रोत </t>
  </si>
  <si>
    <t xml:space="preserve">ದೊಡ್ಡ ನೀರಿನ ದೇಹ</t>
  </si>
  <si>
    <t xml:space="preserve">Canal</t>
  </si>
  <si>
    <t xml:space="preserve">नहर</t>
  </si>
  <si>
    <t xml:space="preserve">ಕಾಲುವೆ</t>
  </si>
  <si>
    <t xml:space="preserve">Check dam</t>
  </si>
  <si>
    <t xml:space="preserve">चेक डैम</t>
  </si>
  <si>
    <t xml:space="preserve">ಚೆಕ್ ಡ್ಯಾಮ್</t>
  </si>
  <si>
    <t xml:space="preserve">Percolation tank</t>
  </si>
  <si>
    <t xml:space="preserve">परकोलेशन टैंक </t>
  </si>
  <si>
    <t xml:space="preserve">ಪರ್ಕೋಲೇಷನ್ ಟ್ಯಾಂಕ್</t>
  </si>
  <si>
    <t xml:space="preserve">Rock fill dam</t>
  </si>
  <si>
    <t xml:space="preserve">रॉक फिल डैम </t>
  </si>
  <si>
    <t xml:space="preserve">ಕಲ್ಲು ತುಂಬಿದ ಅಣೆಕಟ್ಟು</t>
  </si>
  <si>
    <t xml:space="preserve">Loose boulder structure</t>
  </si>
  <si>
    <t xml:space="preserve">लूज बोल्डर स्ट्रक्चर </t>
  </si>
  <si>
    <t xml:space="preserve">ಸಡಿಲವಾದ ಬಂಡೆಯ ರಚನೆ</t>
  </si>
  <si>
    <t xml:space="preserve">5% Model structure</t>
  </si>
  <si>
    <t xml:space="preserve">5% मॉडल स्ट्रक्चर </t>
  </si>
  <si>
    <t xml:space="preserve">5% ಮಾದರಿ ರಚನೆ</t>
  </si>
  <si>
    <t xml:space="preserve">30-40 Model structure</t>
  </si>
  <si>
    <t xml:space="preserve">30-40 मॉडल स्ट्रक्चर </t>
  </si>
  <si>
    <t xml:space="preserve">30-40 ಮಾದರಿ ರಚನೆ</t>
  </si>
  <si>
    <t xml:space="preserve">check_dam_to_repair</t>
  </si>
  <si>
    <t xml:space="preserve">Yes</t>
  </si>
  <si>
    <t xml:space="preserve">हाँ</t>
  </si>
  <si>
    <t xml:space="preserve">ಹೌದು</t>
  </si>
  <si>
    <t xml:space="preserve">No</t>
  </si>
  <si>
    <t xml:space="preserve">नहीं</t>
  </si>
  <si>
    <t xml:space="preserve">ಸಂಖ್ಯೆ</t>
  </si>
  <si>
    <t xml:space="preserve">large_water_body</t>
  </si>
  <si>
    <t xml:space="preserve">De_sitling
</t>
  </si>
  <si>
    <t xml:space="preserve">De sitling
</t>
  </si>
  <si>
    <t xml:space="preserve">डी सिटलिंग</t>
  </si>
  <si>
    <t xml:space="preserve">ಡಿ ಸಿಟ್ಲಿಂಗ್</t>
  </si>
  <si>
    <t xml:space="preserve">Shoreline_erosion_control</t>
  </si>
  <si>
    <t xml:space="preserve">Shoreline erosion control</t>
  </si>
  <si>
    <t xml:space="preserve">किनारे का कटाव रोकना </t>
  </si>
  <si>
    <t xml:space="preserve">ತೀರದ ಸವೆತ ನಿಯಂತ್ರಣ</t>
  </si>
  <si>
    <t xml:space="preserve">Dam_Repairs</t>
  </si>
  <si>
    <t xml:space="preserve">Dam Repairs</t>
  </si>
  <si>
    <t xml:space="preserve">बांध की मरम्मत</t>
  </si>
  <si>
    <t xml:space="preserve">ಅಣೆಕಟ್ಟು ದುರಸ್ತಿ</t>
  </si>
  <si>
    <t xml:space="preserve">Controlling_excessive_growth_of_aquatic_vegetation</t>
  </si>
  <si>
    <t xml:space="preserve">Controlling excessive growth of aquatic vegetation</t>
  </si>
  <si>
    <t xml:space="preserve">जलीय पौधों की वृद्धि को नियंत्रित करना</t>
  </si>
  <si>
    <t xml:space="preserve">ಜಲಸಸ್ಯಗಳ ಅತಿಯಾದ ಬೆಳವಣಿಗೆಯನ್ನು ನಿಯಂತ್ರಿಸುವುದು</t>
  </si>
  <si>
    <t xml:space="preserve">irrigation_channel</t>
  </si>
  <si>
    <t xml:space="preserve">Bed_leveling</t>
  </si>
  <si>
    <t xml:space="preserve">Bed leveling</t>
  </si>
  <si>
    <t xml:space="preserve">सिंचाई नालों की समतलीकरण </t>
  </si>
  <si>
    <t xml:space="preserve">ಹಾಸಿಗೆಯನ್ನು ನೆಲಸಮ ಮಾಡುವುದು</t>
  </si>
  <si>
    <t xml:space="preserve">Lining_repairs</t>
  </si>
  <si>
    <t xml:space="preserve">Lining Repairs</t>
  </si>
  <si>
    <t xml:space="preserve">परत की मरम्मत</t>
  </si>
  <si>
    <t xml:space="preserve">ಲೈನಿಂಗ್ ದುರಸ್ತಿಗಳು</t>
  </si>
  <si>
    <t xml:space="preserve">Clearing_debris,_vegetation,_or_other_obstructions_that_impede_water_flow</t>
  </si>
  <si>
    <t xml:space="preserve">Clearing debris, vegetation, or other obstructions that impede water flow</t>
  </si>
  <si>
    <t xml:space="preserve">जल प्रवाह में रूकावट डालने वाले मलबे, वनस्पति या अन्य अवरोधों को साफ़ करना</t>
  </si>
  <si>
    <t xml:space="preserve">ನೀರಿನ ಹರಿವಿಗೆ ಅಡ್ಡಿಯಾಗುವ ಶಿಲಾಖಂಡರಾಶಿಗಳು, ಸಸ್ಯವರ್ಗ ಅಥವಾ ಇತರ ಅಡೆತಡೆಗಳನ್ನು ತೆರವುಗೊಳಿಸುವುದು.</t>
  </si>
  <si>
    <t xml:space="preserve">Gates_and_valves_maintenance</t>
  </si>
  <si>
    <t xml:space="preserve">Gates and valves maintenance</t>
  </si>
  <si>
    <t xml:space="preserve">गेट और वाल्व का रखरखाव</t>
  </si>
  <si>
    <t xml:space="preserve">ನೀೀರಿನ ಗೇಟ ಹಾಗೂ ಅದರ ಚಾವಿ ಯಾವ ರೀತಿಯಾಗಿ ಬಳಕೆಯನ್ನು ಮಾಡಿತ್ತಿರಿ?</t>
  </si>
  <si>
    <t xml:space="preserve">canal</t>
  </si>
  <si>
    <t xml:space="preserve">Stabilizing_canal_banks_to_prevent_erosion</t>
  </si>
  <si>
    <t xml:space="preserve">Stabilizing canal banks to prevent erosion
</t>
  </si>
  <si>
    <t xml:space="preserve">कटाव को रोकने के लिए नहर के किनारों को मजबूत करना</t>
  </si>
  <si>
    <t xml:space="preserve">ಸವೆತವನ್ನು ತಡೆಗಟ್ಟಲು ಕಾಲುವೆ ದಂಡೆಗಳನ್ನು ಸ್ಥಿರಗೊಳಿಸುವುದು 
</t>
  </si>
  <si>
    <t xml:space="preserve">Desilting</t>
  </si>
  <si>
    <t xml:space="preserve">गाद निकालना </t>
  </si>
  <si>
    <t xml:space="preserve">ಹೂಳು ತೆಗೆಯುವಿಕೆ</t>
  </si>
  <si>
    <t xml:space="preserve">Structural_repairs</t>
  </si>
  <si>
    <t xml:space="preserve">Structural repairs</t>
  </si>
  <si>
    <t xml:space="preserve">स्ट्रक्चर की मरम्मत</t>
  </si>
  <si>
    <t xml:space="preserve">ರಚನಾತ್ಮಕ ದುರಸ್ತಿಗಳು</t>
  </si>
  <si>
    <t xml:space="preserve">farm_pond</t>
  </si>
  <si>
    <t xml:space="preserve">Repairing_cracks_or_damage_in_embankments</t>
  </si>
  <si>
    <t xml:space="preserve">Repairing cracks or damage in embankments</t>
  </si>
  <si>
    <t xml:space="preserve">तटबंधों में दरारों या नुक़सान की मरम्मत</t>
  </si>
  <si>
    <t xml:space="preserve">ಒಡ್ಡುಗಳಲ್ಲಿನ ಬಿರುಕುಗಳು ಅಥವಾ ಹಾನಿಯನ್ನು ಸರಿಪಡಿಸುವುದು</t>
  </si>
  <si>
    <t xml:space="preserve">Controlling_seepage_or_leaks_in_the_pond_bed</t>
  </si>
  <si>
    <t xml:space="preserve">Controlling seepage or leaks in the pond bed</t>
  </si>
  <si>
    <t xml:space="preserve">तालाब तल में रिसाव या लीक को नियंत्रित करना</t>
  </si>
  <si>
    <t xml:space="preserve">ಕೊಳದ ತಳದಲ್ಲಿ ನೀರು ಸೋರುವಿಕೆ ಅಥವಾ ಸೋರಿಕೆಯನ್ನು ನಿಯಂತ್ರಿಸುವುದು.</t>
  </si>
  <si>
    <t xml:space="preserve">Erosion_control_on_embankments</t>
  </si>
  <si>
    <t xml:space="preserve">Erosion control on embankments</t>
  </si>
  <si>
    <t xml:space="preserve">तटबंधों पर कटाव नियंत्रण</t>
  </si>
  <si>
    <t xml:space="preserve">ಒಡ್ಡುಗಳ ಮೇಲಿನ ಸವೆತ ನಿಯಂತ್ರಣ</t>
  </si>
  <si>
    <t xml:space="preserve">Addressing_excessive_aquatic_vegetation_growth</t>
  </si>
  <si>
    <t xml:space="preserve">Addressing excessive aquatic vegetation growth</t>
  </si>
  <si>
    <t xml:space="preserve">अधिक जलीय पौधों की वृद्धि को रोकना </t>
  </si>
  <si>
    <t xml:space="preserve">ಅತಿಯಾದ ಜಲಸಸ್ಯಗಳ ಬೆಳವಣಿಗೆಯನ್ನು ತಡೆಗಟ್ಟುವುದು</t>
  </si>
  <si>
    <t xml:space="preserve">community_pond</t>
  </si>
  <si>
    <t xml:space="preserve">तटबंधों में दरारों या टूट की मरम्मत</t>
  </si>
  <si>
    <t xml:space="preserve">Controlling_excessive_aquatic_vegetation_growth</t>
  </si>
  <si>
    <t xml:space="preserve">Controlling excessive aquatic vegetation growth</t>
  </si>
  <si>
    <t xml:space="preserve">ಅತಿಯಾದ ಜಲಸಸ್ಯಗಳ ಬೆಳವಣಿಗೆಯನ್ನು ನಿಯಂತ್ರಿಸುವುದು</t>
  </si>
  <si>
    <t xml:space="preserve">Repair_or_cleaning_of_inlet_outlet_structures</t>
  </si>
  <si>
    <t xml:space="preserve">Repair or cleaning of inlet/outlet structures</t>
  </si>
  <si>
    <t xml:space="preserve">इनलेट/आउटलेट स्ट्रक्चर की मरम्मत या सफाई</t>
  </si>
  <si>
    <t xml:space="preserve">ಒಳಹರಿವು/ಹೊರಹರಿವಿನ ರಚನೆಗಳ ದುರಸ್ತಿ ಅಥವಾ ಶುಚಿಗೊಳಿಸುವಿಕೆ</t>
  </si>
  <si>
    <t xml:space="preserve"> check_dam</t>
  </si>
  <si>
    <t xml:space="preserve">Erosion_on_the_check_dam</t>
  </si>
  <si>
    <t xml:space="preserve">Erosion on the check dam</t>
  </si>
  <si>
    <t xml:space="preserve">चेक डैम पर कटाव</t>
  </si>
  <si>
    <t xml:space="preserve">ಚೆಕ್ ಡ್ಯಾಂ ಮೇಲೆ ಸವೆತ</t>
  </si>
  <si>
    <t xml:space="preserve">Structural_damage_on_the_check_dam</t>
  </si>
  <si>
    <t xml:space="preserve">Structural damage on the check dam</t>
  </si>
  <si>
    <t xml:space="preserve">चेक डैम के स्ट्रक्चर का नुकसान </t>
  </si>
  <si>
    <t xml:space="preserve">ಚೆಕ್ ಡ್ಯಾಂ ಮೇಲಿನ ರಚನಾತ್ಮಕ ಹಾನಿ</t>
  </si>
  <si>
    <t xml:space="preserve">percolation_tank</t>
  </si>
  <si>
    <t xml:space="preserve">Breach_in_embankments</t>
  </si>
  <si>
    <t xml:space="preserve">Breach in embankments</t>
  </si>
  <si>
    <t xml:space="preserve">तटबंधों का टूटना</t>
  </si>
  <si>
    <t xml:space="preserve">ಒಡ್ಡುಗಳಲ್ಲಿ ಬಿರುಕು</t>
  </si>
  <si>
    <t xml:space="preserve">Erosion_on_tank_bund_or_inlet_outlet</t>
  </si>
  <si>
    <t xml:space="preserve">Erosion on tank bund or inlet/outlet</t>
  </si>
  <si>
    <t xml:space="preserve">टैंक बांध या इनलेट/आउटलेट पर कटाव</t>
  </si>
  <si>
    <t xml:space="preserve">ಟ್ಯಾಂಕ್ ಬಂಡ್ ಅಥವಾ ಒಳಹರಿವು/ಹೊರಹರಿವಿನ ಮೇಲೆ ಸವೆತ</t>
  </si>
  <si>
    <t xml:space="preserve">Vegetation_growth_blocking_water_entry</t>
  </si>
  <si>
    <t xml:space="preserve">Vegetation growth blocking water entry</t>
  </si>
  <si>
    <t xml:space="preserve">पौधों की वृद्धि से पानी का बहाव रुक रहा है</t>
  </si>
  <si>
    <t xml:space="preserve">ಸಸ್ಯವರ್ಗದ ಬೆಳವಣಿಗೆ ನೀರಿನ ಪ್ರವೇಶವನ್ನು ತಡೆಯುತ್ತದೆ</t>
  </si>
  <si>
    <t xml:space="preserve">Damage_to_spillway_or_outlet_structure</t>
  </si>
  <si>
    <t xml:space="preserve">Damage to spillway or outlet structure</t>
  </si>
  <si>
    <t xml:space="preserve">स्पिलवे या आउटलेट स्ट्रक्चर को नुकसान</t>
  </si>
  <si>
    <t xml:space="preserve">ಸ್ಪಿಲ್ವೇ ಅಥವಾ ಔಟ್ಲೆಟ್ ರಚನೆಗೆ ಹಾನಿ</t>
  </si>
  <si>
    <t xml:space="preserve">loose_boulder_structure</t>
  </si>
  <si>
    <t xml:space="preserve">Dislodged_boulders</t>
  </si>
  <si>
    <t xml:space="preserve">Dislodged boulders</t>
  </si>
  <si>
    <t xml:space="preserve">उखड़े हुए पत्थर</t>
  </si>
  <si>
    <t xml:space="preserve">ಸ್ಥಳಾಂತರಗೊಂಡ ಬಂಡೆಗಳು</t>
  </si>
  <si>
    <t xml:space="preserve">Grouting </t>
  </si>
  <si>
    <t xml:space="preserve">दरार को भरना </t>
  </si>
  <si>
    <t xml:space="preserve">ಗ್ರೌಟಿಂಗ್</t>
  </si>
  <si>
    <t xml:space="preserve">Erosion_around_boulder_structure</t>
  </si>
  <si>
    <t xml:space="preserve">Erosion around boulder structure</t>
  </si>
  <si>
    <t xml:space="preserve">बोल्डर स्ट्रक्चर के आस-पास कटाव</t>
  </si>
  <si>
    <t xml:space="preserve">ಬಂಡೆಯ ರಚನೆಯ ಸುತ್ತ ಸವೆತ</t>
  </si>
  <si>
    <t xml:space="preserve">rock_fill_dam</t>
  </si>
  <si>
    <t xml:space="preserve">Dislodged_or_loose_rocks</t>
  </si>
  <si>
    <t xml:space="preserve">Dislodged or loose rocks</t>
  </si>
  <si>
    <t xml:space="preserve">उखड़ी हुई या ढीली चट्टानें</t>
  </si>
  <si>
    <t xml:space="preserve">ಸ್ಥಳಾಂತರಗೊಂಡ ಅಥವಾ ಸಡಿಲವಾದ ಬಂಡೆಗಳು</t>
  </si>
  <si>
    <t xml:space="preserve">Erosion_around_or_under_the_dam_structure</t>
  </si>
  <si>
    <t xml:space="preserve">Erosion around or under the dam structure</t>
  </si>
  <si>
    <t xml:space="preserve">बांध स्ट्रक्चर के आसपास या नीचे कटाव</t>
  </si>
  <si>
    <t xml:space="preserve">ಅಣೆಕಟ್ಟು ರಚನೆಯ ಸುತ್ತಲೂ ಅಥವಾ ಕೆಳಗೆ ಸವೆತ</t>
  </si>
  <si>
    <t xml:space="preserve">Model5_structure</t>
  </si>
  <si>
    <t xml:space="preserve">Breaches_or_leaks_in_the_embankment</t>
  </si>
  <si>
    <t xml:space="preserve">Breaches or leaks in the embankment</t>
  </si>
  <si>
    <t xml:space="preserve">तटबंध में दरारें या रिसाव</t>
  </si>
  <si>
    <t xml:space="preserve">ಒಡ್ಡಿನಲ್ಲಿ ಬಿರುಕುಗಳು ಅಥವಾ ಸೋರಿಕೆಗಳು</t>
  </si>
  <si>
    <t xml:space="preserve">Erosion_on_sides_or_base</t>
  </si>
  <si>
    <t xml:space="preserve">Erosion on sides or base</t>
  </si>
  <si>
    <t xml:space="preserve">किनारों या आधार पर कटाव</t>
  </si>
  <si>
    <t xml:space="preserve">ಬದಿಗಳಲ್ಲಿ ಅಥವಾ ತಳದಲ್ಲಿ ಸವೆತ</t>
  </si>
  <si>
    <t xml:space="preserve">Model30_40_structure</t>
  </si>
  <si>
    <t xml:space="preserve">Breaches_in_bunding_or_structure_walls</t>
  </si>
  <si>
    <t xml:space="preserve">Breaches in bunding or structure walls</t>
  </si>
  <si>
    <t xml:space="preserve">बाँध या स्ट्रक्चर की दीवारों में दरारें</t>
  </si>
  <si>
    <t xml:space="preserve">ಕಂಬಗಳು ಅಥವಾ ರಚನೆಯ ಗೋಡೆಗಳಲ್ಲಿನ ಬಿರುಕುಗಳು</t>
  </si>
  <si>
    <t xml:space="preserve">Erosion_along_trenches_or_bunds</t>
  </si>
  <si>
    <t xml:space="preserve">Erosion along trenches or bunds</t>
  </si>
  <si>
    <t xml:space="preserve">खाइयों या बांधों के किनारों पर कटाव</t>
  </si>
  <si>
    <t xml:space="preserve">ಕಂದಕಗಳು ಅಥವಾ ಕಟ್ಟೆಗಳ ಉದ್ದಕ್ಕೂ ಸವೆತ</t>
  </si>
  <si>
    <t xml:space="preserve">demand</t>
  </si>
  <si>
    <t xml:space="preserve">Community_demand</t>
  </si>
  <si>
    <t xml:space="preserve">Community Demand</t>
  </si>
  <si>
    <t xml:space="preserve">ಸಮುದಾಯದ ಬೇಡಿಕೆ</t>
  </si>
  <si>
    <t xml:space="preserve">Individual_demand</t>
  </si>
  <si>
    <t xml:space="preserve">Individual Demand</t>
  </si>
  <si>
    <t xml:space="preserve">ವೈಯಕ್ತಿಕ ಬೇಡಿಕೆ</t>
  </si>
  <si>
    <t xml:space="preserve">gender</t>
  </si>
  <si>
    <t xml:space="preserve">Male </t>
  </si>
  <si>
    <t xml:space="preserve">ಗಂಡು</t>
  </si>
  <si>
    <t xml:space="preserve">Female</t>
  </si>
  <si>
    <t xml:space="preserve">ಹೆಣ್ಣು</t>
  </si>
  <si>
    <t xml:space="preserve">Soil</t>
  </si>
  <si>
    <t xml:space="preserve">Black</t>
  </si>
  <si>
    <t xml:space="preserve">काला</t>
  </si>
  <si>
    <t xml:space="preserve">કાળો</t>
  </si>
  <si>
    <t xml:space="preserve">ಕಪ್ಪು</t>
  </si>
  <si>
    <t xml:space="preserve">Red</t>
  </si>
  <si>
    <t xml:space="preserve">लाल</t>
  </si>
  <si>
    <t xml:space="preserve">લાલ</t>
  </si>
  <si>
    <t xml:space="preserve">ಕೆಂಪು</t>
  </si>
  <si>
    <t xml:space="preserve">Laterite</t>
  </si>
  <si>
    <t xml:space="preserve">लैटेराइट</t>
  </si>
  <si>
    <t xml:space="preserve">લેટરાઇટ</t>
  </si>
  <si>
    <t xml:space="preserve">ಲ್ಯಾಟರೈಟ್</t>
  </si>
  <si>
    <t xml:space="preserve">Alluvial</t>
  </si>
  <si>
    <t xml:space="preserve">जलोढ़</t>
  </si>
  <si>
    <t xml:space="preserve">એલુવિયલ</t>
  </si>
  <si>
    <t xml:space="preserve">ಮೆಕ್ಕಲು</t>
  </si>
  <si>
    <t xml:space="preserve">Sandy</t>
  </si>
  <si>
    <t xml:space="preserve">रेतीला</t>
  </si>
  <si>
    <t xml:space="preserve">રેતાળ</t>
  </si>
  <si>
    <t xml:space="preserve">ಮರಳು</t>
  </si>
  <si>
    <t xml:space="preserve">Clay</t>
  </si>
  <si>
    <t xml:space="preserve">मिट्टी</t>
  </si>
  <si>
    <t xml:space="preserve">માટી</t>
  </si>
  <si>
    <t xml:space="preserve">ಜೇಡಿಮಣ್ಣು</t>
  </si>
  <si>
    <t xml:space="preserve">Rocky</t>
  </si>
  <si>
    <t xml:space="preserve">चट्टानी</t>
  </si>
  <si>
    <t xml:space="preserve">રોકી</t>
  </si>
  <si>
    <t xml:space="preserve">ರಾಕಿ</t>
  </si>
  <si>
    <t xml:space="preserve">silt</t>
  </si>
  <si>
    <t xml:space="preserve">Low</t>
  </si>
  <si>
    <t xml:space="preserve">कम</t>
  </si>
  <si>
    <t xml:space="preserve">નીચું</t>
  </si>
  <si>
    <t xml:space="preserve">ಕಡಿಮೆ</t>
  </si>
  <si>
    <t xml:space="preserve">Moderate</t>
  </si>
  <si>
    <t xml:space="preserve">मध्यम</t>
  </si>
  <si>
    <t xml:space="preserve">મધ્યમ</t>
  </si>
  <si>
    <t xml:space="preserve">ಮಧ್ಯಮ</t>
  </si>
  <si>
    <t xml:space="preserve">High</t>
  </si>
  <si>
    <t xml:space="preserve">ज़्यादा</t>
  </si>
  <si>
    <t xml:space="preserve">ઉચ્ચ</t>
  </si>
  <si>
    <t xml:space="preserve">ಹೆಚ್ಚು</t>
  </si>
  <si>
    <t xml:space="preserve">form_title</t>
  </si>
  <si>
    <t xml:space="preserve">form_id</t>
  </si>
  <si>
    <t xml:space="preserve">default_language</t>
  </si>
  <si>
    <t xml:space="preserve">instanceID</t>
  </si>
  <si>
    <t xml:space="preserve">version</t>
  </si>
  <si>
    <t xml:space="preserve">Propose Maintenance on Surface Water structures </t>
  </si>
  <si>
    <t xml:space="preserve">NRM_form_NRM_form_Waterbody_Screen_V1.0.0</t>
  </si>
  <si>
    <t xml:space="preserve">Hindi(hi)</t>
  </si>
  <si>
    <t xml:space="preserve">’’uuid:’,uuid(work_id)’</t>
  </si>
  <si>
    <t xml:space="preserve">2.1.1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</si>
</sst>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ourier New"/>
      <family val="0"/>
      <charset val="1"/>
    </font>
    <font>
      <sz val="11"/>
      <color rgb="FF000000"/>
      <name val="Roboto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1F497D"/>
      <name val="Calibri"/>
      <family val="0"/>
      <charset val="1"/>
    </font>
    <font>
      <sz val="11"/>
      <color rgb="FF333333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9FC5E8"/>
        <bgColor rgb="FFA6BFDD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EA9999"/>
        <bgColor rgb="FFFF8080"/>
      </patternFill>
    </fill>
    <fill>
      <patternFill patternType="solid">
        <fgColor rgb="FFFEF2C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A6BF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BFDD"/>
      <rgbColor rgb="FF808080"/>
      <rgbColor rgb="FF9999FF"/>
      <rgbColor rgb="FF993366"/>
      <rgbColor rgb="FFFEF2CB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C5E8"/>
      <rgbColor rgb="FFEA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R1000"/>
  <sheetViews>
    <sheetView showFormulas="false" showGridLines="true" showRowColHeaders="true" showZeros="true" rightToLeft="false" tabSelected="true" showOutlineSymbols="true" defaultGridColor="true" view="normal" topLeftCell="U1" colorId="64" zoomScale="100" zoomScaleNormal="100" zoomScalePageLayoutView="100" workbookViewId="0">
      <pane xSplit="0" ySplit="1" topLeftCell="A2" activePane="bottomLeft" state="frozen"/>
      <selection pane="topLeft" activeCell="U1" activeCellId="0" sqref="U1"/>
      <selection pane="bottomLeft" activeCell="X1" activeCellId="0" sqref="X1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44.29"/>
    <col collapsed="false" customWidth="true" hidden="false" outlineLevel="0" max="2" min="2" style="0" width="30.29"/>
    <col collapsed="false" customWidth="true" hidden="false" outlineLevel="0" max="3" min="3" style="0" width="56.15"/>
    <col collapsed="false" customWidth="true" hidden="false" outlineLevel="0" max="7" min="4" style="0" width="55.71"/>
    <col collapsed="false" customWidth="true" hidden="false" outlineLevel="0" max="8" min="8" style="0" width="61.86"/>
    <col collapsed="false" customWidth="true" hidden="false" outlineLevel="0" max="15" min="9" style="0" width="24.15"/>
    <col collapsed="false" customWidth="true" hidden="false" outlineLevel="0" max="16" min="16" style="0" width="40.85"/>
    <col collapsed="false" customWidth="true" hidden="false" outlineLevel="0" max="17" min="17" style="0" width="19.43"/>
    <col collapsed="false" customWidth="true" hidden="false" outlineLevel="0" max="18" min="18" style="0" width="45"/>
    <col collapsed="false" customWidth="true" hidden="false" outlineLevel="0" max="19" min="19" style="0" width="25.71"/>
    <col collapsed="false" customWidth="true" hidden="false" outlineLevel="0" max="20" min="20" style="0" width="44.29"/>
    <col collapsed="false" customWidth="true" hidden="false" outlineLevel="0" max="21" min="21" style="0" width="42.71"/>
    <col collapsed="false" customWidth="true" hidden="false" outlineLevel="0" max="22" min="22" style="0" width="54.86"/>
    <col collapsed="false" customWidth="true" hidden="false" outlineLevel="0" max="24" min="23" style="0" width="34.71"/>
    <col collapsed="false" customWidth="true" hidden="false" outlineLevel="0" max="44" min="25" style="0" width="8.85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customFormat="false" ht="13.5" hidden="false" customHeight="true" outlineLevel="0" collapsed="false">
      <c r="A2" s="3" t="s">
        <v>24</v>
      </c>
      <c r="B2" s="3" t="s">
        <v>24</v>
      </c>
      <c r="C2" s="4"/>
      <c r="D2" s="5"/>
      <c r="E2" s="5"/>
      <c r="F2" s="6"/>
      <c r="G2" s="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customFormat="false" ht="13.5" hidden="false" customHeight="true" outlineLevel="0" collapsed="false">
      <c r="A3" s="3" t="s">
        <v>25</v>
      </c>
      <c r="B3" s="3" t="s">
        <v>25</v>
      </c>
      <c r="C3" s="4"/>
      <c r="D3" s="5"/>
      <c r="E3" s="5"/>
      <c r="F3" s="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customFormat="false" ht="13.5" hidden="false" customHeight="true" outlineLevel="0" collapsed="false">
      <c r="A4" s="3" t="s">
        <v>26</v>
      </c>
      <c r="B4" s="3" t="s">
        <v>26</v>
      </c>
      <c r="C4" s="4"/>
      <c r="D4" s="5"/>
      <c r="E4" s="5"/>
      <c r="F4" s="6"/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customFormat="false" ht="13.5" hidden="false" customHeight="true" outlineLevel="0" collapsed="false">
      <c r="A5" s="3" t="s">
        <v>27</v>
      </c>
      <c r="B5" s="3" t="s">
        <v>27</v>
      </c>
      <c r="C5" s="4"/>
      <c r="D5" s="5"/>
      <c r="E5" s="5"/>
      <c r="F5" s="6"/>
      <c r="G5" s="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customFormat="false" ht="13.5" hidden="false" customHeight="true" outlineLevel="0" collapsed="false">
      <c r="A6" s="7"/>
      <c r="B6" s="7"/>
      <c r="C6" s="4"/>
      <c r="D6" s="5"/>
      <c r="E6" s="5"/>
      <c r="F6" s="6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</row>
    <row r="7" customFormat="false" ht="13.5" hidden="false" customHeight="true" outlineLevel="0" collapsed="false">
      <c r="A7" s="4" t="s">
        <v>28</v>
      </c>
      <c r="B7" s="4" t="s">
        <v>29</v>
      </c>
      <c r="C7" s="4" t="s">
        <v>30</v>
      </c>
      <c r="D7" s="4" t="s">
        <v>31</v>
      </c>
      <c r="E7" s="4" t="str">
        <f aca="false">IFERROR(__xludf.dummyfunction("GOOGLETRANSLATE(C7, ""en"", ""gu"")"),"લાભાર્થીના સમાધાનનું નામ")</f>
        <v>લાભાર્થીના સમાધાનનું નામ</v>
      </c>
      <c r="F7" s="4" t="s">
        <v>32</v>
      </c>
      <c r="G7" s="4" t="str">
        <f aca="false">IFERROR(__xludf.dummyfunction("GOOGLETRANSLATE(C7,""en"",""or"")"),"ହିତାଧିକାରୀଙ୍କ ବନ୍ଦୋବସ୍ତ ନାମ")</f>
        <v>ହିତାଧିକାରୀଙ୍କ ବନ୍ଦୋବସ୍ତ ନାମ</v>
      </c>
      <c r="H7" s="4"/>
      <c r="I7" s="4"/>
      <c r="J7" s="4"/>
      <c r="K7" s="4"/>
      <c r="L7" s="4"/>
      <c r="M7" s="4"/>
      <c r="N7" s="4"/>
      <c r="O7" s="4"/>
      <c r="P7" s="4"/>
      <c r="Q7" s="4"/>
      <c r="R7" s="4" t="s">
        <v>33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customFormat="false" ht="13.5" hidden="false" customHeight="true" outlineLevel="0" collapsed="false">
      <c r="A8" s="4"/>
      <c r="B8" s="4"/>
      <c r="C8" s="4"/>
      <c r="D8" s="5"/>
      <c r="E8" s="4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customFormat="false" ht="13.5" hidden="false" customHeight="true" outlineLevel="0" collapsed="false">
      <c r="A9" s="4"/>
      <c r="B9" s="4"/>
      <c r="C9" s="4"/>
      <c r="D9" s="5"/>
      <c r="E9" s="4"/>
      <c r="F9" s="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0" customFormat="false" ht="13.5" hidden="false" customHeight="true" outlineLevel="0" collapsed="false">
      <c r="A10" s="4"/>
      <c r="B10" s="4"/>
      <c r="C10" s="4"/>
      <c r="D10" s="5"/>
      <c r="E10" s="4"/>
      <c r="F10" s="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</row>
    <row r="11" customFormat="false" ht="15" hidden="false" customHeight="false" outlineLevel="0" collapsed="false">
      <c r="G11" s="4"/>
    </row>
    <row r="12" customFormat="false" ht="13.5" hidden="false" customHeight="true" outlineLevel="0" collapsed="false">
      <c r="A12" s="8" t="s">
        <v>34</v>
      </c>
      <c r="B12" s="8" t="s">
        <v>35</v>
      </c>
      <c r="C12" s="4" t="s">
        <v>36</v>
      </c>
      <c r="D12" s="9" t="str">
        <f aca="false">IFERROR(__xludf.dummyfunction("GOOGLETRANSLATE(C12, ""en"", ""hi"")"),"मांग का प्रकार")</f>
        <v>मांग का प्रकार</v>
      </c>
      <c r="E12" s="9" t="str">
        <f aca="false">IFERROR(__xludf.dummyfunction("GOOGLETRANSLATE(D12, ""hi"", ""gu"")"),"માંગનો પ્રકાર")</f>
        <v>માંગનો પ્રકાર</v>
      </c>
      <c r="F12" s="4" t="s">
        <v>37</v>
      </c>
      <c r="G12" s="4" t="str">
        <f aca="false">IFERROR(__xludf.dummyfunction("GOOGLETRANSLATE(C12,""en"",""or"")"),"ଚାହିଦାର ପ୍ରକାର")</f>
        <v>ଚାହିଦାର ପ୍ରକାର</v>
      </c>
      <c r="H12" s="5"/>
      <c r="I12" s="5"/>
      <c r="J12" s="5"/>
      <c r="K12" s="5"/>
      <c r="L12" s="5"/>
      <c r="M12" s="5"/>
      <c r="N12" s="5"/>
      <c r="O12" s="5"/>
      <c r="P12" s="5"/>
      <c r="Q12" s="4"/>
      <c r="R12" s="5" t="s">
        <v>33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 customFormat="false" ht="13.5" hidden="false" customHeight="true" outlineLevel="0" collapsed="false">
      <c r="A13" s="8" t="s">
        <v>28</v>
      </c>
      <c r="B13" s="10" t="s">
        <v>38</v>
      </c>
      <c r="C13" s="11" t="s">
        <v>39</v>
      </c>
      <c r="D13" s="9" t="str">
        <f aca="false">IFERROR(__xludf.dummyfunction("GOOGLETRANSLATE(C13, ""en"", ""hi"")"),"लाभार्थी का नाम")</f>
        <v>लाभार्थी का नाम</v>
      </c>
      <c r="E13" s="9" t="str">
        <f aca="false">IFERROR(__xludf.dummyfunction("GOOGLETRANSLATE(D13, ""hi"", ""gu"")"),"લાભાર્થીનું નામ")</f>
        <v>લાભાર્થીનું નામ</v>
      </c>
      <c r="F13" s="4" t="s">
        <v>40</v>
      </c>
      <c r="G13" s="4" t="str">
        <f aca="false">IFERROR(__xludf.dummyfunction("GOOGLETRANSLATE(C13,""en"",""or"")"),"ହିତାଧିକାରୀଙ୍କ ନାମ")</f>
        <v>ହିତାଧିକାରୀଙ୍କ ନାମ</v>
      </c>
      <c r="H13" s="12" t="s">
        <v>41</v>
      </c>
      <c r="I13" s="12"/>
      <c r="J13" s="12"/>
      <c r="K13" s="12"/>
      <c r="L13" s="12"/>
      <c r="M13" s="12"/>
      <c r="N13" s="12"/>
      <c r="O13" s="12"/>
      <c r="P13" s="12"/>
      <c r="Q13" s="12"/>
      <c r="R13" s="11" t="s">
        <v>33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</row>
    <row r="14" customFormat="false" ht="13.5" hidden="false" customHeight="true" outlineLevel="0" collapsed="false">
      <c r="A14" s="13" t="s">
        <v>42</v>
      </c>
      <c r="B14" s="14" t="s">
        <v>43</v>
      </c>
      <c r="C14" s="15" t="s">
        <v>44</v>
      </c>
      <c r="D14" s="9" t="str">
        <f aca="false">IFERROR(__xludf.dummyfunction("GOOGLETRANSLATE(C14, ""en"", ""hi"")"),"लिंग")</f>
        <v>लिंग</v>
      </c>
      <c r="E14" s="9" t="str">
        <f aca="false">IFERROR(__xludf.dummyfunction("GOOGLETRANSLATE(D14, ""hi"", ""gu"")"),"લિંગ")</f>
        <v>લિંગ</v>
      </c>
      <c r="F14" s="4" t="s">
        <v>45</v>
      </c>
      <c r="G14" s="4" t="str">
        <f aca="false">IFERROR(__xludf.dummyfunction("GOOGLETRANSLATE(C14,""en"",""or"")"),"ଲିଙ୍ଗ")</f>
        <v>ଲିଙ୍ଗ</v>
      </c>
      <c r="H14" s="12" t="s">
        <v>41</v>
      </c>
      <c r="I14" s="12"/>
      <c r="J14" s="12"/>
      <c r="K14" s="12"/>
      <c r="L14" s="12"/>
      <c r="M14" s="12"/>
      <c r="N14" s="12"/>
      <c r="O14" s="12"/>
      <c r="P14" s="12"/>
      <c r="Q14" s="12"/>
      <c r="R14" s="11" t="s">
        <v>33</v>
      </c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</row>
    <row r="15" customFormat="false" ht="13.5" hidden="false" customHeight="true" outlineLevel="0" collapsed="false">
      <c r="A15" s="13" t="s">
        <v>28</v>
      </c>
      <c r="B15" s="14" t="s">
        <v>46</v>
      </c>
      <c r="C15" s="15" t="s">
        <v>47</v>
      </c>
      <c r="D15" s="15" t="s">
        <v>48</v>
      </c>
      <c r="E15" s="16" t="str">
        <f aca="false">IFERROR(__xludf.dummyfunction("GOOGLETRANSLATE(D15, ""hi"", ""gu"")"),"લાભાર્થીના પિતાનું નામ")</f>
        <v>લાભાર્થીના પિતાનું નામ</v>
      </c>
      <c r="F15" s="4" t="s">
        <v>49</v>
      </c>
      <c r="G15" s="4" t="str">
        <f aca="false">IFERROR(__xludf.dummyfunction("GOOGLETRANSLATE(C15,""en"",""or"")"),"ହିତାଧିକାରୀଙ୍କ ପିତା/ସ୍ୱାମୀଙ୍କ ନାମ")</f>
        <v>ହିତାଧିକାରୀଙ୍କ ପିତା/ସ୍ୱାମୀଙ୍କ ନାମ</v>
      </c>
      <c r="H15" s="12" t="s">
        <v>41</v>
      </c>
      <c r="I15" s="12"/>
      <c r="J15" s="12"/>
      <c r="K15" s="12"/>
      <c r="L15" s="12"/>
      <c r="M15" s="12"/>
      <c r="N15" s="12"/>
      <c r="O15" s="12"/>
      <c r="P15" s="12"/>
      <c r="Q15" s="17"/>
      <c r="R15" s="11" t="s">
        <v>33</v>
      </c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</row>
    <row r="16" customFormat="false" ht="13.5" hidden="false" customHeight="true" outlineLevel="0" collapsed="false">
      <c r="A16" s="8" t="s">
        <v>50</v>
      </c>
      <c r="B16" s="10" t="s">
        <v>51</v>
      </c>
      <c r="C16" s="11" t="s">
        <v>52</v>
      </c>
      <c r="D16" s="11" t="s">
        <v>53</v>
      </c>
      <c r="E16" s="11" t="str">
        <f aca="false">IFERROR(__xludf.dummyfunction("GOOGLETRANSLATE(C16, ""en"", ""gu"")"),"લાભાર્થીનો સંપર્ક નંબર")</f>
        <v>લાભાર્થીનો સંપર્ક નંબર</v>
      </c>
      <c r="F16" s="4" t="s">
        <v>54</v>
      </c>
      <c r="G16" s="4" t="str">
        <f aca="false">IFERROR(__xludf.dummyfunction("GOOGLETRANSLATE(C16,""en"",""or"")"),"ହିତାଧିକାରୀଙ୍କ ଯୋଗାଯୋଗ ନମ୍ବର")</f>
        <v>ହିତାଧିକାରୀଙ୍କ ଯୋଗାଯୋଗ ନମ୍ବର</v>
      </c>
      <c r="H16" s="12" t="s">
        <v>41</v>
      </c>
      <c r="I16" s="12"/>
      <c r="J16" s="12"/>
      <c r="K16" s="12"/>
      <c r="L16" s="12"/>
      <c r="M16" s="12"/>
      <c r="N16" s="12"/>
      <c r="O16" s="12"/>
      <c r="P16" s="12"/>
      <c r="Q16" s="12"/>
      <c r="R16" s="11"/>
      <c r="S16" s="11" t="s">
        <v>55</v>
      </c>
      <c r="T16" s="11" t="s">
        <v>56</v>
      </c>
      <c r="U16" s="11" t="str">
        <f aca="false">IFERROR(__xludf.dummyfunction("GOOGLETRANSLATE(T16, ""en"", ""hi"")"),"फ़ोन नंबर दर्ज करें (फ़ॉर्मेट: 9876543210)")</f>
        <v>फ़ोन नंबर दर्ज करें (फ़ॉर्मेट: 9876543210)</v>
      </c>
      <c r="V16" s="11" t="str">
        <f aca="false">IFERROR(__xludf.dummyfunction("GOOGLETRANSLATE(T16, ""en"", ""gu"")"),"ફોન નંબર દાખલ કરો (ફોર્મેટ: 9876543210)")</f>
        <v>ફોન નંબર દાખલ કરો (ફોર્મેટ: 9876543210)</v>
      </c>
      <c r="W16" s="12" t="s">
        <v>57</v>
      </c>
      <c r="X16" s="12" t="s">
        <v>58</v>
      </c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</row>
    <row r="17" customFormat="false" ht="13.5" hidden="false" customHeight="true" outlineLevel="0" collapsed="false">
      <c r="A17" s="4"/>
      <c r="B17" s="4"/>
      <c r="C17" s="4"/>
      <c r="D17" s="5"/>
      <c r="E17" s="4"/>
      <c r="F17" s="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customFormat="false" ht="13.5" hidden="false" customHeight="true" outlineLevel="0" collapsed="false">
      <c r="A18" s="4"/>
      <c r="B18" s="4"/>
      <c r="C18" s="4"/>
      <c r="D18" s="4"/>
      <c r="E18" s="4"/>
      <c r="F18" s="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customFormat="false" ht="13.5" hidden="false" customHeight="true" outlineLevel="0" collapsed="false">
      <c r="A19" s="4" t="s">
        <v>59</v>
      </c>
      <c r="B19" s="4" t="s">
        <v>60</v>
      </c>
      <c r="C19" s="4" t="s">
        <v>61</v>
      </c>
      <c r="D19" s="4" t="s">
        <v>62</v>
      </c>
      <c r="E19" s="4" t="str">
        <f aca="false">IFERROR(__xludf.dummyfunction("GOOGLETRANSLATE(C19, ""en"", ""gu"")"),"સમારકામ કાર્ય માટે સપાટીના પાણીની રચનાનો પ્રકાર પસંદ કરો")</f>
        <v>સમારકામ કાર્ય માટે સપાટીના પાણીની રચનાનો પ્રકાર પસંદ કરો</v>
      </c>
      <c r="F19" s="4" t="s">
        <v>63</v>
      </c>
      <c r="G19" s="4" t="str">
        <f aca="false">IFERROR(__xludf.dummyfunction("GOOGLETRANSLATE(C19,""en"",""or"")"),"ମରାମତି କାର୍ଯ୍ୟ ପାଇଁ ପୃଷ୍ଠ ଜଳ ଗଠନର ପ୍ରକାର ଚୟନ କରନ୍ତୁ।")</f>
        <v>ମରାମତି କାର୍ଯ୍ୟ ପାଇଁ ପୃଷ୍ଠ ଜଳ ଗଠନର ପ୍ରକାର ଚୟନ କରନ୍ତୁ।</v>
      </c>
      <c r="H19" s="4" t="s">
        <v>64</v>
      </c>
      <c r="I19" s="4"/>
      <c r="J19" s="4"/>
      <c r="K19" s="4"/>
      <c r="L19" s="4"/>
      <c r="M19" s="4"/>
      <c r="N19" s="4"/>
      <c r="O19" s="4"/>
      <c r="P19" s="4"/>
      <c r="Q19" s="4"/>
      <c r="R19" s="4" t="s">
        <v>33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customFormat="false" ht="13.5" hidden="false" customHeight="true" outlineLevel="0" collapsed="false">
      <c r="A20" s="4"/>
      <c r="B20" s="4"/>
      <c r="C20" s="4"/>
      <c r="D20" s="5"/>
      <c r="E20" s="4"/>
      <c r="F20" s="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 customFormat="false" ht="36.75" hidden="false" customHeight="true" outlineLevel="0" collapsed="false">
      <c r="A21" s="4" t="s">
        <v>65</v>
      </c>
      <c r="B21" s="4" t="s">
        <v>66</v>
      </c>
      <c r="C21" s="4" t="s">
        <v>67</v>
      </c>
      <c r="D21" s="4" t="s">
        <v>68</v>
      </c>
      <c r="E21" s="4" t="str">
        <f aca="false">IFERROR(__xludf.dummyfunction("GOOGLETRANSLATE(C21, ""en"", ""gu"")"),"ખેત તળાવનું સમારકામ")</f>
        <v>ખેત તળાવનું સમારકામ</v>
      </c>
      <c r="F21" s="4" t="s">
        <v>69</v>
      </c>
      <c r="G21" s="4" t="str">
        <f aca="false">IFERROR(__xludf.dummyfunction("GOOGLETRANSLATE(C21,""en"",""or"")"),"କୃଷି ପୋଖରୀ ମରାମତି")</f>
        <v>କୃଷି ପୋଖରୀ ମରାମତି</v>
      </c>
      <c r="H21" s="4" t="s">
        <v>70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</row>
    <row r="22" customFormat="false" ht="36.75" hidden="false" customHeight="true" outlineLevel="0" collapsed="false">
      <c r="A22" s="14" t="s">
        <v>71</v>
      </c>
      <c r="B22" s="14" t="s">
        <v>72</v>
      </c>
      <c r="C22" s="17" t="s">
        <v>73</v>
      </c>
      <c r="D22" s="16" t="s">
        <v>74</v>
      </c>
      <c r="E22" s="16" t="s">
        <v>75</v>
      </c>
      <c r="F22" s="16" t="s">
        <v>76</v>
      </c>
      <c r="G22" s="4" t="str">
        <f aca="false">IFERROR(__xludf.dummyfunction("GOOGLETRANSLATE(C22,""en"",""or"")"),"ମାଟିର ପ୍ରକାର")</f>
        <v>ମାଟିର ପ୍ରକାର</v>
      </c>
      <c r="H22" s="18" t="s">
        <v>77</v>
      </c>
      <c r="I22" s="19"/>
      <c r="J22" s="19"/>
      <c r="K22" s="19"/>
      <c r="L22" s="19"/>
      <c r="M22" s="19"/>
      <c r="N22" s="19"/>
      <c r="O22" s="19"/>
      <c r="P22" s="19"/>
      <c r="Q22" s="19"/>
      <c r="R22" s="19" t="s">
        <v>33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</row>
    <row r="23" customFormat="false" ht="36.75" hidden="false" customHeight="true" outlineLevel="0" collapsed="false">
      <c r="A23" s="13" t="s">
        <v>78</v>
      </c>
      <c r="B23" s="14" t="s">
        <v>79</v>
      </c>
      <c r="C23" s="17" t="s">
        <v>80</v>
      </c>
      <c r="D23" s="16" t="s">
        <v>81</v>
      </c>
      <c r="E23" s="16" t="s">
        <v>82</v>
      </c>
      <c r="F23" s="16" t="s">
        <v>83</v>
      </c>
      <c r="G23" s="4" t="str">
        <f aca="false">IFERROR(__xludf.dummyfunction("GOOGLETRANSLATE(C23,""en"",""or"")"),"ସିଲ୍ଟର ପରିମାଣ")</f>
        <v>ସିଲ୍ଟର ପରିମାଣ</v>
      </c>
      <c r="H23" s="18" t="s">
        <v>77</v>
      </c>
      <c r="I23" s="19"/>
      <c r="J23" s="19"/>
      <c r="K23" s="19"/>
      <c r="L23" s="19"/>
      <c r="M23" s="19"/>
      <c r="N23" s="19"/>
      <c r="O23" s="19"/>
      <c r="P23" s="19"/>
      <c r="Q23" s="19"/>
      <c r="R23" s="19" t="s">
        <v>33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</row>
    <row r="24" customFormat="false" ht="36.75" hidden="false" customHeight="true" outlineLevel="0" collapsed="false">
      <c r="A24" s="4" t="s">
        <v>84</v>
      </c>
      <c r="B24" s="4" t="s">
        <v>85</v>
      </c>
      <c r="C24" s="4" t="s">
        <v>86</v>
      </c>
      <c r="D24" s="4" t="s">
        <v>87</v>
      </c>
      <c r="E24" s="4" t="str">
        <f aca="false">IFERROR(__xludf.dummyfunction("GOOGLETRANSLATE(C24, ""en"", ""gu"")"),"સામુદાયિક તળાવનું સમારકામ")</f>
        <v>સામુદાયિક તળાવનું સમારકામ</v>
      </c>
      <c r="F24" s="4" t="s">
        <v>88</v>
      </c>
      <c r="G24" s="4" t="str">
        <f aca="false">IFERROR(__xludf.dummyfunction("GOOGLETRANSLATE(C24,""en"",""or"")"),"ସାମୁଦାୟିକ ପୋଖରୀର ମରାମତି")</f>
        <v>ସାମୁଦାୟିକ ପୋଖରୀର ମରାମତି</v>
      </c>
      <c r="H24" s="4" t="s">
        <v>89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</row>
    <row r="25" customFormat="false" ht="27" hidden="false" customHeight="true" outlineLevel="0" collapsed="false">
      <c r="A25" s="14" t="s">
        <v>71</v>
      </c>
      <c r="B25" s="14" t="s">
        <v>90</v>
      </c>
      <c r="C25" s="17" t="s">
        <v>73</v>
      </c>
      <c r="D25" s="16" t="s">
        <v>74</v>
      </c>
      <c r="E25" s="16" t="s">
        <v>75</v>
      </c>
      <c r="F25" s="16" t="s">
        <v>76</v>
      </c>
      <c r="G25" s="4" t="str">
        <f aca="false">IFERROR(__xludf.dummyfunction("GOOGLETRANSLATE(C25,""en"",""or"")"),"ମାଟିର ପ୍ରକାର")</f>
        <v>ମାଟିର ପ୍ରକାର</v>
      </c>
      <c r="H25" s="18" t="s">
        <v>91</v>
      </c>
      <c r="I25" s="19"/>
      <c r="J25" s="19"/>
      <c r="K25" s="19"/>
      <c r="L25" s="19"/>
      <c r="M25" s="19"/>
      <c r="N25" s="19"/>
      <c r="O25" s="19"/>
      <c r="P25" s="19"/>
      <c r="Q25" s="19"/>
      <c r="R25" s="19" t="s">
        <v>33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</row>
    <row r="26" customFormat="false" ht="27" hidden="false" customHeight="true" outlineLevel="0" collapsed="false">
      <c r="A26" s="13" t="s">
        <v>78</v>
      </c>
      <c r="B26" s="14" t="s">
        <v>92</v>
      </c>
      <c r="C26" s="17" t="s">
        <v>80</v>
      </c>
      <c r="D26" s="16" t="s">
        <v>81</v>
      </c>
      <c r="E26" s="16" t="s">
        <v>82</v>
      </c>
      <c r="F26" s="16" t="s">
        <v>83</v>
      </c>
      <c r="G26" s="4" t="str">
        <f aca="false">IFERROR(__xludf.dummyfunction("GOOGLETRANSLATE(C26,""en"",""or"")"),"ସିଲ୍ଟର ପରିମାଣ")</f>
        <v>ସିଲ୍ଟର ପରିମାଣ</v>
      </c>
      <c r="H26" s="18" t="s">
        <v>91</v>
      </c>
      <c r="I26" s="19"/>
      <c r="J26" s="19"/>
      <c r="K26" s="19"/>
      <c r="L26" s="19"/>
      <c r="M26" s="19"/>
      <c r="N26" s="19"/>
      <c r="O26" s="19"/>
      <c r="P26" s="19"/>
      <c r="Q26" s="19"/>
      <c r="R26" s="19" t="s">
        <v>33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</row>
    <row r="27" customFormat="false" ht="27" hidden="false" customHeight="true" outlineLevel="0" collapsed="false">
      <c r="A27" s="4" t="s">
        <v>93</v>
      </c>
      <c r="B27" s="4" t="s">
        <v>94</v>
      </c>
      <c r="C27" s="4" t="s">
        <v>95</v>
      </c>
      <c r="D27" s="4" t="s">
        <v>96</v>
      </c>
      <c r="E27" s="4" t="str">
        <f aca="false">IFERROR(__xludf.dummyfunction("GOOGLETRANSLATE(C27, ""en"", ""gu"")"),"મોટા જળાશયનું સમારકામ")</f>
        <v>મોટા જળાશયનું સમારકામ</v>
      </c>
      <c r="F27" s="4" t="s">
        <v>97</v>
      </c>
      <c r="G27" s="4" t="str">
        <f aca="false">IFERROR(__xludf.dummyfunction("GOOGLETRANSLATE(C27,""en"",""or"")"),"ବଡ଼ ଜଳାଶୟର ମରାମତି")</f>
        <v>ବଡ଼ ଜଳାଶୟର ମରାମତି</v>
      </c>
      <c r="H27" s="4" t="s">
        <v>98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customFormat="false" ht="30" hidden="false" customHeight="true" outlineLevel="0" collapsed="false">
      <c r="A28" s="14" t="s">
        <v>71</v>
      </c>
      <c r="B28" s="14" t="s">
        <v>99</v>
      </c>
      <c r="C28" s="17" t="s">
        <v>73</v>
      </c>
      <c r="D28" s="16" t="s">
        <v>74</v>
      </c>
      <c r="E28" s="16" t="s">
        <v>75</v>
      </c>
      <c r="F28" s="16" t="s">
        <v>76</v>
      </c>
      <c r="G28" s="4" t="str">
        <f aca="false">IFERROR(__xludf.dummyfunction("GOOGLETRANSLATE(C28,""en"",""or"")"),"ମାଟିର ପ୍ରକାର")</f>
        <v>ମାଟିର ପ୍ରକାର</v>
      </c>
      <c r="H28" s="18" t="s">
        <v>100</v>
      </c>
      <c r="I28" s="19"/>
      <c r="J28" s="19"/>
      <c r="K28" s="19"/>
      <c r="L28" s="19"/>
      <c r="M28" s="19"/>
      <c r="N28" s="19"/>
      <c r="O28" s="19"/>
      <c r="P28" s="19"/>
      <c r="Q28" s="19"/>
      <c r="R28" s="19" t="s">
        <v>33</v>
      </c>
      <c r="S28" s="17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  <row r="29" customFormat="false" ht="30" hidden="false" customHeight="true" outlineLevel="0" collapsed="false">
      <c r="A29" s="14" t="s">
        <v>78</v>
      </c>
      <c r="B29" s="14" t="s">
        <v>101</v>
      </c>
      <c r="C29" s="17" t="s">
        <v>80</v>
      </c>
      <c r="D29" s="16" t="s">
        <v>81</v>
      </c>
      <c r="E29" s="16" t="s">
        <v>82</v>
      </c>
      <c r="F29" s="16" t="s">
        <v>83</v>
      </c>
      <c r="G29" s="4" t="str">
        <f aca="false">IFERROR(__xludf.dummyfunction("GOOGLETRANSLATE(C29,""en"",""or"")"),"ସିଲ୍ଟର ପରିମାଣ")</f>
        <v>ସିଲ୍ଟର ପରିମାଣ</v>
      </c>
      <c r="H29" s="18" t="s">
        <v>100</v>
      </c>
      <c r="I29" s="19"/>
      <c r="J29" s="19"/>
      <c r="K29" s="19"/>
      <c r="L29" s="19"/>
      <c r="M29" s="19"/>
      <c r="N29" s="19"/>
      <c r="O29" s="19"/>
      <c r="P29" s="19"/>
      <c r="Q29" s="19"/>
      <c r="R29" s="19" t="s">
        <v>33</v>
      </c>
      <c r="S29" s="17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</row>
    <row r="30" customFormat="false" ht="30" hidden="false" customHeight="true" outlineLevel="0" collapsed="false">
      <c r="A30" s="4" t="s">
        <v>102</v>
      </c>
      <c r="B30" s="4" t="s">
        <v>103</v>
      </c>
      <c r="C30" s="4" t="s">
        <v>104</v>
      </c>
      <c r="D30" s="4" t="s">
        <v>105</v>
      </c>
      <c r="E30" s="4" t="str">
        <f aca="false">IFERROR(__xludf.dummyfunction("GOOGLETRANSLATE(C30, ""en"", ""gu"")"),"નહેરનું સમારકામ
")</f>
        <v>નહેરનું સમારકામ
</v>
      </c>
      <c r="F30" s="4" t="s">
        <v>106</v>
      </c>
      <c r="G30" s="4" t="str">
        <f aca="false">IFERROR(__xludf.dummyfunction("GOOGLETRANSLATE(C30,""en"",""or"")"),"କେନାଲ ମରାମତି
")</f>
        <v>କେନାଲ ମରାମତି
</v>
      </c>
      <c r="H30" s="4" t="s">
        <v>107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customFormat="false" ht="36.75" hidden="false" customHeight="true" outlineLevel="0" collapsed="false">
      <c r="A31" s="14" t="s">
        <v>71</v>
      </c>
      <c r="B31" s="14" t="s">
        <v>108</v>
      </c>
      <c r="C31" s="17" t="s">
        <v>73</v>
      </c>
      <c r="D31" s="16" t="s">
        <v>74</v>
      </c>
      <c r="E31" s="16" t="s">
        <v>75</v>
      </c>
      <c r="F31" s="16" t="s">
        <v>76</v>
      </c>
      <c r="G31" s="4" t="str">
        <f aca="false">IFERROR(__xludf.dummyfunction("GOOGLETRANSLATE(C31,""en"",""or"")"),"ମାଟିର ପ୍ରକାର")</f>
        <v>ମାଟିର ପ୍ରକାର</v>
      </c>
      <c r="H31" s="18" t="s">
        <v>109</v>
      </c>
      <c r="I31" s="19"/>
      <c r="J31" s="19"/>
      <c r="K31" s="19"/>
      <c r="L31" s="19"/>
      <c r="M31" s="19"/>
      <c r="N31" s="19"/>
      <c r="O31" s="19"/>
      <c r="P31" s="19"/>
      <c r="Q31" s="19"/>
      <c r="R31" s="19" t="s">
        <v>33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</row>
    <row r="32" customFormat="false" ht="36.75" hidden="false" customHeight="true" outlineLevel="0" collapsed="false">
      <c r="A32" s="13" t="s">
        <v>78</v>
      </c>
      <c r="B32" s="14" t="s">
        <v>110</v>
      </c>
      <c r="C32" s="17" t="s">
        <v>80</v>
      </c>
      <c r="D32" s="16" t="s">
        <v>81</v>
      </c>
      <c r="E32" s="16" t="s">
        <v>82</v>
      </c>
      <c r="F32" s="16" t="s">
        <v>83</v>
      </c>
      <c r="G32" s="4" t="str">
        <f aca="false">IFERROR(__xludf.dummyfunction("GOOGLETRANSLATE(C32,""en"",""or"")"),"ସିଲ୍ଟର ପରିମାଣ")</f>
        <v>ସିଲ୍ଟର ପରିମାଣ</v>
      </c>
      <c r="H32" s="18" t="s">
        <v>109</v>
      </c>
      <c r="I32" s="19"/>
      <c r="J32" s="19"/>
      <c r="K32" s="19"/>
      <c r="L32" s="19"/>
      <c r="M32" s="19"/>
      <c r="N32" s="19"/>
      <c r="O32" s="19"/>
      <c r="P32" s="19"/>
      <c r="Q32" s="19"/>
      <c r="R32" s="19" t="s">
        <v>33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</row>
    <row r="33" customFormat="false" ht="36.75" hidden="false" customHeight="true" outlineLevel="0" collapsed="false">
      <c r="A33" s="4" t="s">
        <v>111</v>
      </c>
      <c r="B33" s="4" t="s">
        <v>112</v>
      </c>
      <c r="C33" s="4" t="s">
        <v>113</v>
      </c>
      <c r="D33" s="4" t="s">
        <v>114</v>
      </c>
      <c r="E33" s="4" t="str">
        <f aca="false">IFERROR(__xludf.dummyfunction("GOOGLETRANSLATE(C33, ""en"", ""gu"")"),"ચેક ડેમનું સમારકામ")</f>
        <v>ચેક ડેમનું સમારકામ</v>
      </c>
      <c r="F33" s="4" t="s">
        <v>115</v>
      </c>
      <c r="G33" s="4" t="str">
        <f aca="false">IFERROR(__xludf.dummyfunction("GOOGLETRANSLATE(C33,""en"",""or"")"),"ଚେକ୍ ଡ୍ୟାମର ମରାମତି")</f>
        <v>ଚେକ୍ ଡ୍ୟାମର ମରାମତି</v>
      </c>
      <c r="H33" s="4" t="s">
        <v>116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</row>
    <row r="34" customFormat="false" ht="36.75" hidden="false" customHeight="true" outlineLevel="0" collapsed="false">
      <c r="A34" s="14" t="s">
        <v>71</v>
      </c>
      <c r="B34" s="14" t="s">
        <v>117</v>
      </c>
      <c r="C34" s="17" t="s">
        <v>73</v>
      </c>
      <c r="D34" s="16" t="s">
        <v>74</v>
      </c>
      <c r="E34" s="16" t="s">
        <v>75</v>
      </c>
      <c r="F34" s="16" t="s">
        <v>76</v>
      </c>
      <c r="G34" s="4" t="str">
        <f aca="false">IFERROR(__xludf.dummyfunction("GOOGLETRANSLATE(C34,""en"",""or"")"),"ମାଟିର ପ୍ରକାର")</f>
        <v>ମାଟିର ପ୍ରକାର</v>
      </c>
      <c r="H34" s="17" t="s">
        <v>118</v>
      </c>
      <c r="I34" s="19"/>
      <c r="J34" s="19"/>
      <c r="K34" s="19"/>
      <c r="L34" s="19"/>
      <c r="M34" s="19"/>
      <c r="N34" s="19"/>
      <c r="O34" s="19"/>
      <c r="P34" s="19"/>
      <c r="Q34" s="19"/>
      <c r="R34" s="19" t="s">
        <v>33</v>
      </c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</row>
    <row r="35" customFormat="false" ht="36.75" hidden="false" customHeight="true" outlineLevel="0" collapsed="false">
      <c r="A35" s="14" t="s">
        <v>78</v>
      </c>
      <c r="B35" s="14" t="s">
        <v>119</v>
      </c>
      <c r="C35" s="17" t="s">
        <v>80</v>
      </c>
      <c r="D35" s="16" t="s">
        <v>81</v>
      </c>
      <c r="E35" s="16" t="s">
        <v>82</v>
      </c>
      <c r="F35" s="16" t="s">
        <v>83</v>
      </c>
      <c r="G35" s="4" t="str">
        <f aca="false">IFERROR(__xludf.dummyfunction("GOOGLETRANSLATE(C35,""en"",""or"")"),"ସିଲ୍ଟର ପରିମାଣ")</f>
        <v>ସିଲ୍ଟର ପରିମାଣ</v>
      </c>
      <c r="H35" s="17" t="s">
        <v>118</v>
      </c>
      <c r="I35" s="19"/>
      <c r="J35" s="19"/>
      <c r="K35" s="19"/>
      <c r="L35" s="19"/>
      <c r="M35" s="19"/>
      <c r="N35" s="19"/>
      <c r="O35" s="19"/>
      <c r="P35" s="19"/>
      <c r="Q35" s="19"/>
      <c r="R35" s="19" t="s">
        <v>33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</row>
    <row r="36" customFormat="false" ht="36.75" hidden="false" customHeight="true" outlineLevel="0" collapsed="false">
      <c r="A36" s="4" t="s">
        <v>120</v>
      </c>
      <c r="B36" s="4" t="s">
        <v>121</v>
      </c>
      <c r="C36" s="4" t="s">
        <v>122</v>
      </c>
      <c r="D36" s="4" t="s">
        <v>123</v>
      </c>
      <c r="E36" s="4" t="str">
        <f aca="false">IFERROR(__xludf.dummyfunction("GOOGLETRANSLATE(C36, ""en"", ""gu"")"),"પરકોલેશન ટાંકીનું સમારકામ")</f>
        <v>પરકોલેશન ટાંકીનું સમારકામ</v>
      </c>
      <c r="F36" s="4" t="s">
        <v>124</v>
      </c>
      <c r="G36" s="4" t="str">
        <f aca="false">IFERROR(__xludf.dummyfunction("GOOGLETRANSLATE(C36,""en"",""or"")"),"ପର୍କୋଲେସନ୍ ଟାଙ୍କିର ମରାମତି")</f>
        <v>ପର୍କୋଲେସନ୍ ଟାଙ୍କିର ମରାମତି</v>
      </c>
      <c r="H36" s="4" t="s">
        <v>125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</row>
    <row r="37" customFormat="false" ht="36.75" hidden="false" customHeight="true" outlineLevel="0" collapsed="false">
      <c r="A37" s="14" t="s">
        <v>71</v>
      </c>
      <c r="B37" s="14" t="s">
        <v>126</v>
      </c>
      <c r="C37" s="17" t="s">
        <v>73</v>
      </c>
      <c r="D37" s="16" t="s">
        <v>74</v>
      </c>
      <c r="E37" s="16" t="s">
        <v>75</v>
      </c>
      <c r="F37" s="16" t="s">
        <v>76</v>
      </c>
      <c r="G37" s="4" t="str">
        <f aca="false">IFERROR(__xludf.dummyfunction("GOOGLETRANSLATE(C37,""en"",""or"")"),"ମାଟିର ପ୍ରକାର")</f>
        <v>ମାଟିର ପ୍ରକାର</v>
      </c>
      <c r="H37" s="17" t="s">
        <v>127</v>
      </c>
      <c r="I37" s="19"/>
      <c r="J37" s="19"/>
      <c r="K37" s="19"/>
      <c r="L37" s="19"/>
      <c r="M37" s="19"/>
      <c r="N37" s="19"/>
      <c r="O37" s="19"/>
      <c r="P37" s="19"/>
      <c r="Q37" s="19"/>
      <c r="R37" s="19" t="s">
        <v>33</v>
      </c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</row>
    <row r="38" customFormat="false" ht="36.75" hidden="false" customHeight="true" outlineLevel="0" collapsed="false">
      <c r="A38" s="14" t="s">
        <v>78</v>
      </c>
      <c r="B38" s="14" t="s">
        <v>128</v>
      </c>
      <c r="C38" s="17" t="s">
        <v>80</v>
      </c>
      <c r="D38" s="16" t="s">
        <v>81</v>
      </c>
      <c r="E38" s="16" t="s">
        <v>82</v>
      </c>
      <c r="F38" s="16" t="s">
        <v>83</v>
      </c>
      <c r="G38" s="4" t="str">
        <f aca="false">IFERROR(__xludf.dummyfunction("GOOGLETRANSLATE(C38,""en"",""or"")"),"ସିଲ୍ଟର ପରିମାଣ")</f>
        <v>ସିଲ୍ଟର ପରିମାଣ</v>
      </c>
      <c r="H38" s="17" t="s">
        <v>127</v>
      </c>
      <c r="I38" s="19"/>
      <c r="J38" s="19"/>
      <c r="K38" s="19"/>
      <c r="L38" s="19"/>
      <c r="M38" s="19"/>
      <c r="N38" s="19"/>
      <c r="O38" s="19"/>
      <c r="P38" s="19"/>
      <c r="Q38" s="19"/>
      <c r="R38" s="19" t="s">
        <v>33</v>
      </c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</row>
    <row r="39" customFormat="false" ht="36.75" hidden="false" customHeight="true" outlineLevel="0" collapsed="false">
      <c r="A39" s="4" t="s">
        <v>129</v>
      </c>
      <c r="B39" s="4" t="s">
        <v>130</v>
      </c>
      <c r="C39" s="4" t="s">
        <v>131</v>
      </c>
      <c r="D39" s="4" t="s">
        <v>132</v>
      </c>
      <c r="E39" s="4" t="str">
        <f aca="false">IFERROR(__xludf.dummyfunction("GOOGLETRANSLATE(C39, ""en"", ""gu"")"),"રોકફિલ ડેમનું સમારકામ")</f>
        <v>રોકફિલ ડેમનું સમારકામ</v>
      </c>
      <c r="F39" s="4" t="s">
        <v>133</v>
      </c>
      <c r="G39" s="4" t="str">
        <f aca="false">IFERROR(__xludf.dummyfunction("GOOGLETRANSLATE(C39,""en"",""or"")"),"ପଥର ପୂରଣ ବନ୍ଧର ମରାମତି")</f>
        <v>ପଥର ପୂରଣ ବନ୍ଧର ମରାମତି</v>
      </c>
      <c r="H39" s="4" t="s">
        <v>134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customFormat="false" ht="36.75" hidden="false" customHeight="true" outlineLevel="0" collapsed="false">
      <c r="A40" s="14" t="s">
        <v>71</v>
      </c>
      <c r="B40" s="14" t="s">
        <v>135</v>
      </c>
      <c r="C40" s="17" t="s">
        <v>73</v>
      </c>
      <c r="D40" s="16" t="s">
        <v>74</v>
      </c>
      <c r="E40" s="16" t="s">
        <v>75</v>
      </c>
      <c r="F40" s="16" t="s">
        <v>76</v>
      </c>
      <c r="G40" s="4" t="str">
        <f aca="false">IFERROR(__xludf.dummyfunction("GOOGLETRANSLATE(C40,""en"",""or"")"),"ମାଟିର ପ୍ରକାର")</f>
        <v>ମାଟିର ପ୍ରକାର</v>
      </c>
      <c r="H40" s="17" t="s">
        <v>136</v>
      </c>
      <c r="I40" s="19"/>
      <c r="J40" s="19"/>
      <c r="K40" s="19"/>
      <c r="L40" s="19"/>
      <c r="M40" s="19"/>
      <c r="N40" s="19"/>
      <c r="O40" s="19"/>
      <c r="P40" s="19"/>
      <c r="Q40" s="19"/>
      <c r="R40" s="19" t="s">
        <v>33</v>
      </c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</row>
    <row r="41" customFormat="false" ht="36.75" hidden="false" customHeight="true" outlineLevel="0" collapsed="false">
      <c r="A41" s="14" t="s">
        <v>78</v>
      </c>
      <c r="B41" s="14" t="s">
        <v>137</v>
      </c>
      <c r="C41" s="17" t="s">
        <v>80</v>
      </c>
      <c r="D41" s="16" t="s">
        <v>81</v>
      </c>
      <c r="E41" s="16" t="s">
        <v>82</v>
      </c>
      <c r="F41" s="16" t="s">
        <v>83</v>
      </c>
      <c r="G41" s="4" t="str">
        <f aca="false">IFERROR(__xludf.dummyfunction("GOOGLETRANSLATE(C41,""en"",""or"")"),"ସିଲ୍ଟର ପରିମାଣ")</f>
        <v>ସିଲ୍ଟର ପରିମାଣ</v>
      </c>
      <c r="H41" s="17" t="s">
        <v>136</v>
      </c>
      <c r="I41" s="19"/>
      <c r="J41" s="19"/>
      <c r="K41" s="19"/>
      <c r="L41" s="19"/>
      <c r="M41" s="19"/>
      <c r="N41" s="19"/>
      <c r="O41" s="19"/>
      <c r="P41" s="19"/>
      <c r="Q41" s="19"/>
      <c r="R41" s="19" t="s">
        <v>33</v>
      </c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</row>
    <row r="42" customFormat="false" ht="36.75" hidden="false" customHeight="true" outlineLevel="0" collapsed="false">
      <c r="A42" s="4" t="s">
        <v>138</v>
      </c>
      <c r="B42" s="4" t="s">
        <v>139</v>
      </c>
      <c r="C42" s="4" t="s">
        <v>140</v>
      </c>
      <c r="D42" s="4" t="s">
        <v>141</v>
      </c>
      <c r="E42" s="4" t="str">
        <f aca="false">IFERROR(__xludf.dummyfunction("GOOGLETRANSLATE(C42, ""en"", ""gu"")"),"છૂટા પથ્થરના માળખાનું સમારકામ")</f>
        <v>છૂટા પથ્થરના માળખાનું સમારકામ</v>
      </c>
      <c r="F42" s="4" t="s">
        <v>142</v>
      </c>
      <c r="G42" s="4" t="str">
        <f aca="false">IFERROR(__xludf.dummyfunction("GOOGLETRANSLATE(C42,""en"",""or"")"),"ଢିଲା ପଥର ଗଠନର ମରାମତି")</f>
        <v>ଢିଲା ପଥର ଗଠନର ମରାମତି</v>
      </c>
      <c r="H42" s="4" t="s">
        <v>143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</row>
    <row r="43" customFormat="false" ht="36.75" hidden="false" customHeight="true" outlineLevel="0" collapsed="false">
      <c r="A43" s="4" t="s">
        <v>144</v>
      </c>
      <c r="B43" s="4" t="s">
        <v>145</v>
      </c>
      <c r="C43" s="4" t="s">
        <v>146</v>
      </c>
      <c r="D43" s="4" t="s">
        <v>147</v>
      </c>
      <c r="E43" s="4" t="str">
        <f aca="false">IFERROR(__xludf.dummyfunction("GOOGLETRANSLATE(C43, ""en"", ""gu"")"),"૫% મોડેલ સ્ટ્રક્ચરનું સમારકામ")</f>
        <v>૫% મોડેલ સ્ટ્રક્ચરનું સમારકામ</v>
      </c>
      <c r="F43" s="4" t="s">
        <v>148</v>
      </c>
      <c r="G43" s="4" t="str">
        <f aca="false">IFERROR(__xludf.dummyfunction("GOOGLETRANSLATE(C43,""en"",""or"")"),"୫% ମଡେଲ ଗଠନର ମରାମତି")</f>
        <v>୫% ମଡେଲ ଗଠନର ମରାମତି</v>
      </c>
      <c r="H43" s="4" t="s">
        <v>149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</row>
    <row r="44" customFormat="false" ht="36.75" hidden="false" customHeight="true" outlineLevel="0" collapsed="false">
      <c r="A44" s="14" t="s">
        <v>71</v>
      </c>
      <c r="B44" s="14" t="s">
        <v>150</v>
      </c>
      <c r="C44" s="17" t="s">
        <v>73</v>
      </c>
      <c r="D44" s="16" t="s">
        <v>74</v>
      </c>
      <c r="E44" s="16" t="s">
        <v>75</v>
      </c>
      <c r="F44" s="16" t="s">
        <v>76</v>
      </c>
      <c r="G44" s="4" t="str">
        <f aca="false">IFERROR(__xludf.dummyfunction("GOOGLETRANSLATE(C44,""en"",""or"")"),"ମାଟିର ପ୍ରକାର")</f>
        <v>ମାଟିର ପ୍ରକାର</v>
      </c>
      <c r="H44" s="17" t="s">
        <v>151</v>
      </c>
      <c r="I44" s="19"/>
      <c r="J44" s="19"/>
      <c r="K44" s="19"/>
      <c r="L44" s="19"/>
      <c r="M44" s="19"/>
      <c r="N44" s="19"/>
      <c r="O44" s="19"/>
      <c r="P44" s="19"/>
      <c r="Q44" s="19"/>
      <c r="R44" s="19" t="s">
        <v>33</v>
      </c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customFormat="false" ht="36.75" hidden="false" customHeight="true" outlineLevel="0" collapsed="false">
      <c r="A45" s="14" t="s">
        <v>78</v>
      </c>
      <c r="B45" s="14" t="s">
        <v>152</v>
      </c>
      <c r="C45" s="17" t="s">
        <v>80</v>
      </c>
      <c r="D45" s="16" t="s">
        <v>81</v>
      </c>
      <c r="E45" s="16" t="s">
        <v>82</v>
      </c>
      <c r="F45" s="16" t="s">
        <v>83</v>
      </c>
      <c r="G45" s="4" t="str">
        <f aca="false">IFERROR(__xludf.dummyfunction("GOOGLETRANSLATE(C45,""en"",""or"")"),"ସିଲ୍ଟର ପରିମାଣ")</f>
        <v>ସିଲ୍ଟର ପରିମାଣ</v>
      </c>
      <c r="H45" s="17" t="s">
        <v>151</v>
      </c>
      <c r="I45" s="19"/>
      <c r="J45" s="19"/>
      <c r="K45" s="19"/>
      <c r="L45" s="19"/>
      <c r="M45" s="19"/>
      <c r="N45" s="19"/>
      <c r="O45" s="19"/>
      <c r="P45" s="19"/>
      <c r="Q45" s="19"/>
      <c r="R45" s="19" t="s">
        <v>33</v>
      </c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customFormat="false" ht="36.75" hidden="false" customHeight="true" outlineLevel="0" collapsed="false">
      <c r="A46" s="4" t="s">
        <v>153</v>
      </c>
      <c r="B46" s="4" t="s">
        <v>154</v>
      </c>
      <c r="C46" s="4" t="s">
        <v>155</v>
      </c>
      <c r="D46" s="4" t="s">
        <v>156</v>
      </c>
      <c r="E46" s="4" t="str">
        <f aca="false">IFERROR(__xludf.dummyfunction("GOOGLETRANSLATE(C46, ""en"", ""gu"")"),"૩૦-૪૦ મોડેલ સ્ટ્રક્ચરનું સમારકામ")</f>
        <v>૩૦-૪૦ મોડેલ સ્ટ્રક્ચરનું સમારકામ</v>
      </c>
      <c r="F46" s="4" t="s">
        <v>157</v>
      </c>
      <c r="G46" s="4" t="str">
        <f aca="false">IFERROR(__xludf.dummyfunction("GOOGLETRANSLATE(C46,""en"",""or"")"),"30-40 ମଡେଲ ଗଠନର ମରାମତି")</f>
        <v>30-40 ମଡେଲ ଗଠନର ମରାମତି</v>
      </c>
      <c r="H46" s="4" t="s">
        <v>158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customFormat="false" ht="36.75" hidden="false" customHeight="true" outlineLevel="0" collapsed="false">
      <c r="A47" s="14" t="s">
        <v>71</v>
      </c>
      <c r="B47" s="14" t="s">
        <v>159</v>
      </c>
      <c r="C47" s="17" t="s">
        <v>73</v>
      </c>
      <c r="D47" s="16" t="s">
        <v>74</v>
      </c>
      <c r="E47" s="16" t="s">
        <v>75</v>
      </c>
      <c r="F47" s="16" t="s">
        <v>76</v>
      </c>
      <c r="G47" s="4" t="str">
        <f aca="false">IFERROR(__xludf.dummyfunction("GOOGLETRANSLATE(C47,""en"",""or"")"),"ମାଟିର ପ୍ରକାର")</f>
        <v>ମାଟିର ପ୍ରକାର</v>
      </c>
      <c r="H47" s="17" t="s">
        <v>160</v>
      </c>
      <c r="I47" s="19"/>
      <c r="J47" s="19"/>
      <c r="K47" s="19"/>
      <c r="L47" s="19"/>
      <c r="M47" s="19"/>
      <c r="N47" s="19"/>
      <c r="O47" s="19"/>
      <c r="P47" s="19"/>
      <c r="Q47" s="19"/>
      <c r="R47" s="19" t="s">
        <v>33</v>
      </c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customFormat="false" ht="36.75" hidden="false" customHeight="true" outlineLevel="0" collapsed="false">
      <c r="A48" s="14" t="s">
        <v>78</v>
      </c>
      <c r="B48" s="14" t="s">
        <v>161</v>
      </c>
      <c r="C48" s="17" t="s">
        <v>80</v>
      </c>
      <c r="D48" s="16" t="s">
        <v>81</v>
      </c>
      <c r="E48" s="16" t="s">
        <v>82</v>
      </c>
      <c r="F48" s="16" t="s">
        <v>83</v>
      </c>
      <c r="G48" s="4" t="str">
        <f aca="false">IFERROR(__xludf.dummyfunction("GOOGLETRANSLATE(C48,""en"",""or"")"),"ସିଲ୍ଟର ପରିମାଣ")</f>
        <v>ସିଲ୍ଟର ପରିମାଣ</v>
      </c>
      <c r="H48" s="17" t="s">
        <v>160</v>
      </c>
      <c r="I48" s="19"/>
      <c r="J48" s="19"/>
      <c r="K48" s="19"/>
      <c r="L48" s="19"/>
      <c r="M48" s="19"/>
      <c r="N48" s="19"/>
      <c r="O48" s="19"/>
      <c r="P48" s="19"/>
      <c r="Q48" s="19"/>
      <c r="R48" s="19" t="s">
        <v>33</v>
      </c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customFormat="false" ht="13.5" hidden="false" customHeight="true" outlineLevel="0" collapsed="false">
      <c r="A49" s="4" t="s">
        <v>162</v>
      </c>
      <c r="B49" s="4" t="s">
        <v>163</v>
      </c>
      <c r="C49" s="4" t="s">
        <v>164</v>
      </c>
      <c r="D49" s="4" t="s">
        <v>165</v>
      </c>
      <c r="E49" s="4" t="str">
        <f aca="false">IFERROR(__xludf.dummyfunction("GOOGLETRANSLATE(C49, ""en"", ""gu"")"),"વિસ્તારનો ફોટો")</f>
        <v>વિસ્તારનો ફોટો</v>
      </c>
      <c r="F49" s="4" t="s">
        <v>166</v>
      </c>
      <c r="G49" s="4" t="str">
        <f aca="false">IFERROR(__xludf.dummyfunction("GOOGLETRANSLATE(C49,""en"",""or"")"),"ଅଞ୍ଚଳର ଫଟୋ")</f>
        <v>ଅଞ୍ଚଳର ଫଟୋ</v>
      </c>
      <c r="H49" s="4"/>
      <c r="I49" s="4"/>
      <c r="J49" s="4"/>
      <c r="K49" s="4"/>
      <c r="L49" s="4"/>
      <c r="M49" s="4"/>
      <c r="N49" s="4"/>
      <c r="O49" s="4"/>
      <c r="P49" s="4"/>
      <c r="Q49" s="4" t="s">
        <v>167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 customFormat="false" ht="13.5" hidden="false" customHeight="true" outlineLevel="0" collapsed="false">
      <c r="A50" s="5" t="s">
        <v>168</v>
      </c>
      <c r="B50" s="4" t="s">
        <v>169</v>
      </c>
      <c r="C50" s="4" t="s">
        <v>170</v>
      </c>
      <c r="D50" s="4" t="str">
        <f aca="false">IFERROR(__xludf.dummyfunction("GOOGLETRANSLATE(C50, ""en"", ""hi"")"),"इस स्थान पर सतही जल संरचना के रखरखाव की आवश्यकता को उचित ठहराते हुए एक संदेश रिकॉर्ड करें।
")</f>
        <v>इस स्थान पर सतही जल संरचना के रखरखाव की आवश्यकता को उचित ठहराते हुए एक संदेश रिकॉर्ड करें।
</v>
      </c>
      <c r="E50" s="4" t="str">
        <f aca="false">IFERROR(__xludf.dummyfunction("GOOGLETRANSLATE(D50, ""hi"", ""gu"")"),"આ સ્થાન પર સપાટીના પાણીની રચનાની જાળવણીની જરૂરિયાતને વાજબી ઠેરવતો સંદેશ રેકોર્ડ કરો.")</f>
        <v>આ સ્થાન પર સપાટીના પાણીની રચનાની જાળવણીની જરૂરિયાતને વાજબી ઠેરવતો સંદેશ રેકોર્ડ કરો.</v>
      </c>
      <c r="F50" s="4" t="s">
        <v>171</v>
      </c>
      <c r="G50" s="4" t="str">
        <f aca="false">IFERROR(__xludf.dummyfunction("GOOGLETRANSLATE(C50,""en"",""or"")"),"ଏହି ସ୍ଥାନରେ ପୃଷ୍ଠ ଜଳ ଗଠନର ରକ୍ଷଣାବେକ୍ଷଣର ଆବଶ୍ୟକତାକୁ ଯଥାର୍ଥ କରି ଏକ ବାର୍ତ୍ତା ରେକର୍ଡ କରନ୍ତୁ।
")</f>
        <v>ଏହି ସ୍ଥାନରେ ପୃଷ୍ଠ ଜଳ ଗଠନର ରକ୍ଷଣାବେକ୍ଷଣର ଆବଶ୍ୟକତାକୁ ଯଥାର୍ଥ କରି ଏକ ବାର୍ତ୍ତା ରେକର୍ଡ କରନ୍ତୁ।
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</row>
    <row r="51" customFormat="false" ht="31.5" hidden="false" customHeight="true" outlineLevel="0" collapsed="false">
      <c r="A51" s="20" t="s">
        <v>28</v>
      </c>
      <c r="B51" s="20" t="s">
        <v>172</v>
      </c>
      <c r="C51" s="20" t="s">
        <v>173</v>
      </c>
      <c r="D51" s="20" t="str">
        <f aca="false">IFERROR(__xludf.dummyfunction("GOOGLETRANSLATE(C51, ""en"", ""hi"")"),"यदि आप रिकॉर्ड नहीं कर सकते हैं, तो इस स्थान पर जल संरचना के रखरखाव की आवश्यकता के औचित्य को लिख लें।")</f>
        <v>यदि आप रिकॉर्ड नहीं कर सकते हैं, तो इस स्थान पर जल संरचना के रखरखाव की आवश्यकता के औचित्य को लिख लें।</v>
      </c>
      <c r="E51" s="20" t="str">
        <f aca="false">IFERROR(__xludf.dummyfunction("GOOGLETRANSLATE(D51, ""hi"", ""gu"")"),"જો તમે રેકોર્ડ કરી શકતા નથી, તો આ સ્થાન પર પાણીની રચના જાળવવાની જરૂરિયાતનું કારણ લખો.")</f>
        <v>જો તમે રેકોર્ડ કરી શકતા નથી, તો આ સ્થાન પર પાણીની રચના જાળવવાની જરૂરિયાતનું કારણ લખો.</v>
      </c>
      <c r="F51" s="20" t="str">
        <f aca="false">IFERROR(__xludf.dummyfunction("GOOGLETRANSLATE(E51, ""en"", ""kn"")"),"ಜೋ ನಿಮ್ಮ ರೆಕಾರ್ಡ್ ಕರಿ ಶಕತಾ ನತಿ, ತೋ ಆ ಸ್ಥಾವರ ಪಾಣಿನಿ ರಚನಾ ಜಾಲವಾಣಿ ಜರೂರಿಯಾತನು ಖಾಂ.ಫಲಕ")</f>
        <v>ಜೋ ನಿಮ್ಮ ರೆಕಾರ್ಡ್ ಕರಿ ಶಕತಾ ನತಿ, ತೋ ಆ ಸ್ಥಾವರ ಪಾಣಿನಿ ರಚನಾ ಜಾಲವಾಣಿ ಜರೂರಿಯಾತನು ಖಾಂ.ಫಲಕ</v>
      </c>
      <c r="G51" s="4" t="str">
        <f aca="false">IFERROR(__xludf.dummyfunction("GOOGLETRANSLATE(C51,""en"",""or"")"),"ଯଦି ଆପଣ ରେକର୍ଡ କରିପାରିବେ ନାହିଁ, ତେବେ ଏହି ସ୍ଥାନରେ ଜଳ ସଂରଚନାର ରକ୍ଷଣାବେକ୍ଷଣର ଆବଶ୍ୟକତାର ଯଥାର୍ଥତା ଲେଖନ୍ତୁ।")</f>
        <v>ଯଦି ଆପଣ ରେକର୍ଡ କରିପାରିବେ ନାହିଁ, ତେବେ ଏହି ସ୍ଥାନରେ ଜଳ ସଂରଚନାର ରକ୍ଷଣାବେକ୍ଷଣର ଆବଶ୍ୟକତାର ଯଥାର୍ଥତା ଲେଖନ୍ତୁ।</v>
      </c>
      <c r="H51" s="20" t="s">
        <v>174</v>
      </c>
      <c r="I51" s="20"/>
      <c r="J51" s="20"/>
      <c r="K51" s="21"/>
      <c r="L51" s="21"/>
      <c r="M51" s="21"/>
      <c r="N51" s="21"/>
      <c r="O51" s="21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</row>
    <row r="52" customFormat="false" ht="13.5" hidden="false" customHeight="true" outlineLevel="0" collapsed="false">
      <c r="A52" s="4"/>
      <c r="B52" s="4"/>
      <c r="C52" s="4"/>
      <c r="D52" s="5"/>
      <c r="E52" s="5"/>
      <c r="F52" s="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</row>
    <row r="53" customFormat="false" ht="13.5" hidden="false" customHeight="true" outlineLevel="0" collapsed="false">
      <c r="A53" s="4"/>
      <c r="B53" s="4"/>
      <c r="C53" s="4"/>
      <c r="D53" s="5"/>
      <c r="E53" s="5"/>
      <c r="F53" s="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</row>
    <row r="54" customFormat="false" ht="13.5" hidden="false" customHeight="true" outlineLevel="0" collapsed="false">
      <c r="A54" s="5" t="s">
        <v>175</v>
      </c>
      <c r="B54" s="5" t="s">
        <v>176</v>
      </c>
      <c r="C54" s="4" t="s">
        <v>177</v>
      </c>
      <c r="D54" s="9" t="s">
        <v>178</v>
      </c>
      <c r="E54" s="9" t="str">
        <f aca="false">IFERROR(__xludf.dummyfunction("GOOGLETRANSLATE(D54, ""hi"", ""gu"")"),"&lt;span style=""color:red""&gt;આનાથી આગળ કંઈપણ બદલશો નહીં અને તમારો ફોર્મ ડેટા સબમિટ કરો&lt;/span&gt;")</f>
        <v>&lt;span style="color:red"&gt;આનાથી આગળ કંઈપણ બદલશો નહીં અને તમારો ફોર્મ ડેટા સબમિટ કરો&lt;/span&gt;</v>
      </c>
      <c r="F54" s="4" t="s">
        <v>179</v>
      </c>
      <c r="G54" s="4" t="str">
        <f aca="false">IFERROR(__xludf.dummyfunction("GOOGLETRANSLATE(C54,""en"",""or"")"),"&lt;span style=""font-size: large; font-weight: bold; color:red;""&gt; ଏହି ବିନ୍ଦୁ ବ୍ୟତୀତ ଅନ୍ୟ କିଛି ପରିବର୍ତ୍ତନ କରନ୍ତୁ ନାହିଁ ଏବଂ ଆପଣଙ୍କର ଫର୍ମ ଡାଟା ଦାଖଲ କରନ୍ତୁ&lt;/span&gt;")</f>
        <v>&lt;span style="font-size: large; font-weight: bold; color:red;"&gt; ଏହି ବିନ୍ଦୁ ବ୍ୟତୀତ ଅନ୍ୟ କିଛି ପରିବର୍ତ୍ତନ କରନ୍ତୁ ନାହିଁ ଏବଂ ଆପଣଙ୍କର ଫର୍ମ ଡାଟା ଦାଖଲ କରନ୍ତୁ&lt;/span&gt;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customFormat="false" ht="13.5" hidden="false" customHeight="true" outlineLevel="0" collapsed="false">
      <c r="A55" s="4" t="s">
        <v>180</v>
      </c>
      <c r="B55" s="4" t="s">
        <v>181</v>
      </c>
      <c r="C55" s="9" t="s">
        <v>182</v>
      </c>
      <c r="D55" s="5" t="s">
        <v>183</v>
      </c>
      <c r="E55" s="9" t="str">
        <f aca="false">IFERROR(__xludf.dummyfunction("GOOGLETRANSLATE(D55, ""hi"", ""gu"")"),"અક્ષાંશ રેખાંશ")</f>
        <v>અક્ષાંશ રેખાંશ</v>
      </c>
      <c r="F55" s="4" t="s">
        <v>184</v>
      </c>
      <c r="G55" s="4" t="str">
        <f aca="false">IFERROR(__xludf.dummyfunction("GOOGLETRANSLATE(C55,""en"",""or"")"),"ଅକ୍ଷାଂଶ/ଲୋନ")</f>
        <v>ଅକ୍ଷାଂଶ/ଲୋନ</v>
      </c>
      <c r="H55" s="4"/>
      <c r="I55" s="4"/>
      <c r="J55" s="4"/>
      <c r="K55" s="4"/>
      <c r="L55" s="4"/>
      <c r="M55" s="4"/>
      <c r="N55" s="4"/>
      <c r="O55" s="4"/>
      <c r="P55" s="22" t="s">
        <v>185</v>
      </c>
      <c r="Q55" s="23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 customFormat="false" ht="13.5" hidden="false" customHeight="true" outlineLevel="0" collapsed="false">
      <c r="A56" s="4" t="s">
        <v>186</v>
      </c>
      <c r="B56" s="4" t="s">
        <v>187</v>
      </c>
      <c r="C56" s="4"/>
      <c r="D56" s="4"/>
      <c r="E56" s="4"/>
      <c r="F56" s="6"/>
      <c r="G56" s="4"/>
      <c r="H56" s="4"/>
      <c r="I56" s="4"/>
      <c r="J56" s="4"/>
      <c r="K56" s="9" t="s">
        <v>186</v>
      </c>
      <c r="L56" s="9" t="s">
        <v>188</v>
      </c>
      <c r="M56" s="9" t="str">
        <f aca="false">IFERROR(__xludf.dummyfunction("GOOGLETRANSLATE(K56, ""en"", ""gu"")"),"જીઓપોઇન્ટ")</f>
        <v>જીઓપોઇન્ટ</v>
      </c>
      <c r="N56" s="9" t="str">
        <f aca="false">IFERROR(__xludf.dummyfunction("GOOGLETRANSLATE(K56, ""en"", ""kn"")"),"ಜಿಯೋಪಾಯಿಂಟ್")</f>
        <v>ಜಿಯೋಪಾಯಿಂಟ್</v>
      </c>
      <c r="O56" s="9" t="s">
        <v>189</v>
      </c>
      <c r="P56" s="4" t="s">
        <v>190</v>
      </c>
      <c r="Q56" s="4"/>
      <c r="R56" s="4" t="s">
        <v>33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 customFormat="false" ht="13.5" hidden="false" customHeight="true" outlineLevel="0" collapsed="false">
      <c r="A57" s="4" t="s">
        <v>191</v>
      </c>
      <c r="B57" s="4"/>
      <c r="C57" s="4"/>
      <c r="D57" s="5"/>
      <c r="E57" s="5"/>
      <c r="F57" s="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customFormat="false" ht="13.5" hidden="false" customHeight="true" outlineLevel="0" collapsed="false">
      <c r="A58" s="5" t="s">
        <v>28</v>
      </c>
      <c r="B58" s="4" t="s">
        <v>192</v>
      </c>
      <c r="C58" s="5" t="s">
        <v>193</v>
      </c>
      <c r="D58" s="4" t="s">
        <v>194</v>
      </c>
      <c r="E58" s="4" t="str">
        <f aca="false">IFERROR(__xludf.dummyfunction("GOOGLETRANSLATE(C58, ""en"", ""gu"")"),"બ્લોકનું નામ")</f>
        <v>બ્લોકનું નામ</v>
      </c>
      <c r="F58" s="4" t="s">
        <v>195</v>
      </c>
      <c r="G58" s="4" t="str">
        <f aca="false">IFERROR(__xludf.dummyfunction("GOOGLETRANSLATE(C58,""en"",""or"")"),"ବ୍ଲକ୍ ନାମ")</f>
        <v>ବ୍ଲକ୍ ନାମ</v>
      </c>
      <c r="H58" s="5"/>
      <c r="I58" s="5"/>
      <c r="J58" s="5"/>
      <c r="K58" s="5"/>
      <c r="L58" s="5"/>
      <c r="M58" s="5"/>
      <c r="N58" s="5"/>
      <c r="O58" s="5"/>
      <c r="P58" s="4"/>
      <c r="Q58" s="4"/>
      <c r="R58" s="5"/>
      <c r="S58" s="4"/>
      <c r="T58" s="5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customFormat="false" ht="13.5" hidden="false" customHeight="true" outlineLevel="0" collapsed="false">
      <c r="A59" s="4" t="s">
        <v>28</v>
      </c>
      <c r="B59" s="4" t="s">
        <v>196</v>
      </c>
      <c r="C59" s="4" t="s">
        <v>197</v>
      </c>
      <c r="D59" s="4" t="s">
        <v>198</v>
      </c>
      <c r="E59" s="4" t="str">
        <f aca="false">IFERROR(__xludf.dummyfunction("GOOGLETRANSLATE(C59, ""en"", ""gu"")"),"પ્લાન ID")</f>
        <v>પ્લાન ID</v>
      </c>
      <c r="F59" s="4" t="s">
        <v>199</v>
      </c>
      <c r="G59" s="4" t="str">
        <f aca="false">IFERROR(__xludf.dummyfunction("GOOGLETRANSLATE(C59,""en"",""or"")"),"ପ୍ଲାନ୍ ID")</f>
        <v>ପ୍ଲାନ୍ ID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 customFormat="false" ht="13.5" hidden="false" customHeight="true" outlineLevel="0" collapsed="false">
      <c r="A60" s="4" t="s">
        <v>28</v>
      </c>
      <c r="B60" s="4" t="s">
        <v>200</v>
      </c>
      <c r="C60" s="4" t="s">
        <v>201</v>
      </c>
      <c r="D60" s="4" t="s">
        <v>202</v>
      </c>
      <c r="E60" s="4" t="str">
        <f aca="false">IFERROR(__xludf.dummyfunction("GOOGLETRANSLATE(C60, ""en"", ""gu"")"),"યોજનાનું નામ")</f>
        <v>યોજનાનું નામ</v>
      </c>
      <c r="F60" s="4" t="s">
        <v>203</v>
      </c>
      <c r="G60" s="4" t="str">
        <f aca="false">IFERROR(__xludf.dummyfunction("GOOGLETRANSLATE(C60,""en"",""or"")"),"ଯୋଜନାର ନାମ")</f>
        <v>ଯୋଜନାର ନାମ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1" customFormat="false" ht="13.5" hidden="false" customHeight="true" outlineLevel="0" collapsed="false">
      <c r="A61" s="4" t="s">
        <v>28</v>
      </c>
      <c r="B61" s="4" t="s">
        <v>204</v>
      </c>
      <c r="C61" s="4" t="s">
        <v>205</v>
      </c>
      <c r="D61" s="5" t="s">
        <v>206</v>
      </c>
      <c r="E61" s="4" t="str">
        <f aca="false">IFERROR(__xludf.dummyfunction("GOOGLETRANSLATE(C61, ""en"", ""gu"")"),"અનુરૂપ કાર્યાલય ID")</f>
        <v>અનુરૂપ કાર્યાલય ID</v>
      </c>
      <c r="F61" s="4" t="s">
        <v>207</v>
      </c>
      <c r="G61" s="4" t="str">
        <f aca="false">IFERROR(__xludf.dummyfunction("GOOGLETRANSLATE(C61,""en"",""or"")"),"ଅନୁରୂପ କାର୍ଯ୍ୟ ID")</f>
        <v>ଅନୁରୂପ କାର୍ଯ୍ୟ ID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  <row r="62" customFormat="false" ht="13.5" hidden="false" customHeight="true" outlineLevel="0" collapsed="false">
      <c r="A62" s="4" t="s">
        <v>28</v>
      </c>
      <c r="B62" s="4" t="s">
        <v>208</v>
      </c>
      <c r="C62" s="4" t="s">
        <v>209</v>
      </c>
      <c r="D62" s="5" t="s">
        <v>210</v>
      </c>
      <c r="E62" s="4" t="str">
        <f aca="false">IFERROR(__xludf.dummyfunction("GOOGLETRANSLATE(D62, ""hi"", ""gu"")"),"વપરાશકર્તાનું વર્તમાન સ્થાન")</f>
        <v>વપરાશકર્તાનું વર્તમાન સ્થાન</v>
      </c>
      <c r="F62" s="4" t="s">
        <v>211</v>
      </c>
      <c r="G62" s="4" t="str">
        <f aca="false">IFERROR(__xludf.dummyfunction("GOOGLETRANSLATE(C62,""en"",""or"")"),"ଉପଯୋଗକର୍ତ୍ତାଙ୍କ ବର୍ତ୍ତମାନର ସ୍ଥାନ")</f>
        <v>ଉପଯୋଗକର୍ତ୍ତାଙ୍କ ବର୍ତ୍ତମାନର ସ୍ଥାନ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</row>
    <row r="63" customFormat="false" ht="13.5" hidden="false" customHeight="true" outlineLevel="0" collapsed="false">
      <c r="A63" s="4" t="s">
        <v>28</v>
      </c>
      <c r="B63" s="4" t="s">
        <v>212</v>
      </c>
      <c r="C63" s="4" t="s">
        <v>213</v>
      </c>
      <c r="D63" s="4" t="s">
        <v>214</v>
      </c>
      <c r="E63" s="4" t="str">
        <f aca="false">IFERROR(__xludf.dummyfunction("GOOGLETRANSLATE(C63, ""en"", ""gu"")"),"કાર્યાલય ID")</f>
        <v>કાર્યાલય ID</v>
      </c>
      <c r="F63" s="4" t="s">
        <v>215</v>
      </c>
      <c r="G63" s="4" t="str">
        <f aca="false">IFERROR(__xludf.dummyfunction("GOOGLETRANSLATE(C63,""en"",""or"")"),"କାର୍ଯ୍ୟସ୍ଥଳୀ ID")</f>
        <v>କାର୍ଯ୍ୟସ୍ଥଳୀ ID</v>
      </c>
      <c r="H63" s="4"/>
      <c r="I63" s="4" t="s">
        <v>216</v>
      </c>
      <c r="J63" s="4" t="s">
        <v>33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</row>
    <row r="64" customFormat="false" ht="13.5" hidden="false" customHeight="true" outlineLevel="0" collapsed="false">
      <c r="A64" s="4"/>
      <c r="B64" s="4"/>
      <c r="C64" s="4"/>
      <c r="D64" s="5"/>
      <c r="E64" s="5"/>
      <c r="F64" s="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 customFormat="false" ht="13.5" hidden="false" customHeight="true" outlineLevel="0" collapsed="false">
      <c r="A65" s="4"/>
      <c r="B65" s="4"/>
      <c r="C65" s="4"/>
      <c r="D65" s="5"/>
      <c r="E65" s="5"/>
      <c r="F65" s="6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customFormat="false" ht="13.5" hidden="false" customHeight="true" outlineLevel="0" collapsed="false">
      <c r="A66" s="4"/>
      <c r="B66" s="4"/>
      <c r="C66" s="4"/>
      <c r="D66" s="5"/>
      <c r="E66" s="5"/>
      <c r="F66" s="6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</row>
    <row r="67" customFormat="false" ht="13.5" hidden="false" customHeight="true" outlineLevel="0" collapsed="false">
      <c r="A67" s="4"/>
      <c r="B67" s="4"/>
      <c r="C67" s="4"/>
      <c r="D67" s="5"/>
      <c r="E67" s="5"/>
      <c r="F67" s="6"/>
      <c r="G67" s="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</row>
    <row r="68" customFormat="false" ht="13.5" hidden="false" customHeight="true" outlineLevel="0" collapsed="false">
      <c r="A68" s="4"/>
      <c r="B68" s="4"/>
      <c r="C68" s="4"/>
      <c r="D68" s="5"/>
      <c r="E68" s="5"/>
      <c r="F68" s="6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</row>
    <row r="69" customFormat="false" ht="13.5" hidden="false" customHeight="true" outlineLevel="0" collapsed="false">
      <c r="A69" s="4"/>
      <c r="B69" s="4"/>
      <c r="C69" s="4"/>
      <c r="D69" s="5"/>
      <c r="E69" s="5"/>
      <c r="F69" s="6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</row>
    <row r="70" customFormat="false" ht="13.5" hidden="false" customHeight="true" outlineLevel="0" collapsed="false">
      <c r="A70" s="4"/>
      <c r="B70" s="4"/>
      <c r="C70" s="4"/>
      <c r="D70" s="5"/>
      <c r="E70" s="5"/>
      <c r="F70" s="6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</row>
    <row r="71" customFormat="false" ht="13.5" hidden="false" customHeight="true" outlineLevel="0" collapsed="false">
      <c r="A71" s="4"/>
      <c r="B71" s="4"/>
      <c r="C71" s="4"/>
      <c r="D71" s="5"/>
      <c r="E71" s="5"/>
      <c r="F71" s="6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</row>
    <row r="72" customFormat="false" ht="13.5" hidden="false" customHeight="true" outlineLevel="0" collapsed="false">
      <c r="A72" s="4"/>
      <c r="B72" s="4"/>
      <c r="C72" s="4"/>
      <c r="D72" s="5"/>
      <c r="E72" s="5"/>
      <c r="F72" s="6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 customFormat="false" ht="13.5" hidden="false" customHeight="true" outlineLevel="0" collapsed="false">
      <c r="A73" s="4"/>
      <c r="B73" s="4"/>
      <c r="C73" s="4"/>
      <c r="D73" s="5"/>
      <c r="E73" s="5"/>
      <c r="F73" s="6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 customFormat="false" ht="13.5" hidden="false" customHeight="true" outlineLevel="0" collapsed="false">
      <c r="A74" s="4"/>
      <c r="B74" s="4"/>
      <c r="C74" s="4"/>
      <c r="D74" s="5"/>
      <c r="E74" s="5"/>
      <c r="F74" s="6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</row>
    <row r="75" customFormat="false" ht="13.5" hidden="false" customHeight="true" outlineLevel="0" collapsed="false">
      <c r="A75" s="4"/>
      <c r="B75" s="4"/>
      <c r="C75" s="4"/>
      <c r="D75" s="5"/>
      <c r="E75" s="5"/>
      <c r="F75" s="6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</row>
    <row r="76" customFormat="false" ht="13.5" hidden="false" customHeight="true" outlineLevel="0" collapsed="false">
      <c r="A76" s="4"/>
      <c r="B76" s="4"/>
      <c r="C76" s="4"/>
      <c r="D76" s="5"/>
      <c r="E76" s="5"/>
      <c r="F76" s="6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 customFormat="false" ht="13.5" hidden="false" customHeight="true" outlineLevel="0" collapsed="false">
      <c r="A77" s="4"/>
      <c r="B77" s="4"/>
      <c r="C77" s="4"/>
      <c r="D77" s="5"/>
      <c r="E77" s="5"/>
      <c r="F77" s="6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</row>
    <row r="78" customFormat="false" ht="13.5" hidden="false" customHeight="true" outlineLevel="0" collapsed="false">
      <c r="A78" s="4"/>
      <c r="B78" s="4"/>
      <c r="C78" s="4"/>
      <c r="D78" s="5"/>
      <c r="E78" s="5"/>
      <c r="F78" s="6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</row>
    <row r="79" customFormat="false" ht="13.5" hidden="false" customHeight="true" outlineLevel="0" collapsed="false">
      <c r="A79" s="4"/>
      <c r="B79" s="4"/>
      <c r="C79" s="4"/>
      <c r="D79" s="5"/>
      <c r="E79" s="5"/>
      <c r="F79" s="6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</row>
    <row r="80" customFormat="false" ht="13.5" hidden="false" customHeight="true" outlineLevel="0" collapsed="false">
      <c r="A80" s="4"/>
      <c r="B80" s="4"/>
      <c r="C80" s="4"/>
      <c r="D80" s="5"/>
      <c r="E80" s="5"/>
      <c r="F80" s="6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</row>
    <row r="81" customFormat="false" ht="13.5" hidden="false" customHeight="true" outlineLevel="0" collapsed="false">
      <c r="A81" s="4"/>
      <c r="B81" s="4"/>
      <c r="C81" s="4"/>
      <c r="D81" s="5"/>
      <c r="E81" s="5"/>
      <c r="F81" s="6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</row>
    <row r="82" customFormat="false" ht="13.5" hidden="false" customHeight="true" outlineLevel="0" collapsed="false">
      <c r="A82" s="4"/>
      <c r="B82" s="4"/>
      <c r="C82" s="4"/>
      <c r="D82" s="5"/>
      <c r="E82" s="5"/>
      <c r="F82" s="6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</row>
    <row r="83" customFormat="false" ht="13.5" hidden="false" customHeight="true" outlineLevel="0" collapsed="false">
      <c r="A83" s="4"/>
      <c r="B83" s="4"/>
      <c r="C83" s="4"/>
      <c r="D83" s="5"/>
      <c r="E83" s="5"/>
      <c r="F83" s="6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</row>
    <row r="84" customFormat="false" ht="13.5" hidden="false" customHeight="true" outlineLevel="0" collapsed="false">
      <c r="A84" s="4"/>
      <c r="B84" s="4"/>
      <c r="C84" s="4"/>
      <c r="D84" s="5"/>
      <c r="E84" s="5"/>
      <c r="F84" s="6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</row>
    <row r="85" customFormat="false" ht="13.5" hidden="false" customHeight="true" outlineLevel="0" collapsed="false">
      <c r="A85" s="4"/>
      <c r="B85" s="4"/>
      <c r="C85" s="4"/>
      <c r="D85" s="5"/>
      <c r="E85" s="5"/>
      <c r="F85" s="6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</row>
    <row r="86" customFormat="false" ht="13.5" hidden="false" customHeight="true" outlineLevel="0" collapsed="false">
      <c r="A86" s="4"/>
      <c r="B86" s="4"/>
      <c r="C86" s="4"/>
      <c r="D86" s="5"/>
      <c r="E86" s="5"/>
      <c r="F86" s="6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</row>
    <row r="87" customFormat="false" ht="13.5" hidden="false" customHeight="true" outlineLevel="0" collapsed="false">
      <c r="A87" s="4"/>
      <c r="B87" s="4"/>
      <c r="C87" s="4"/>
      <c r="D87" s="5"/>
      <c r="E87" s="5"/>
      <c r="F87" s="6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</row>
    <row r="88" customFormat="false" ht="13.5" hidden="false" customHeight="true" outlineLevel="0" collapsed="false">
      <c r="A88" s="4"/>
      <c r="B88" s="4"/>
      <c r="C88" s="4"/>
      <c r="D88" s="5"/>
      <c r="E88" s="5"/>
      <c r="F88" s="6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</row>
    <row r="89" customFormat="false" ht="13.5" hidden="false" customHeight="true" outlineLevel="0" collapsed="false">
      <c r="A89" s="4"/>
      <c r="B89" s="4"/>
      <c r="C89" s="4"/>
      <c r="D89" s="5"/>
      <c r="E89" s="5"/>
      <c r="F89" s="6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</row>
    <row r="90" customFormat="false" ht="13.5" hidden="false" customHeight="true" outlineLevel="0" collapsed="false">
      <c r="A90" s="4"/>
      <c r="B90" s="4"/>
      <c r="C90" s="4"/>
      <c r="D90" s="5"/>
      <c r="E90" s="5"/>
      <c r="F90" s="6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</row>
    <row r="91" customFormat="false" ht="13.5" hidden="false" customHeight="true" outlineLevel="0" collapsed="false">
      <c r="A91" s="4"/>
      <c r="B91" s="4"/>
      <c r="C91" s="4"/>
      <c r="D91" s="5"/>
      <c r="E91" s="5"/>
      <c r="F91" s="6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</row>
    <row r="92" customFormat="false" ht="13.5" hidden="false" customHeight="true" outlineLevel="0" collapsed="false">
      <c r="A92" s="4"/>
      <c r="B92" s="4"/>
      <c r="C92" s="4"/>
      <c r="D92" s="5"/>
      <c r="E92" s="5"/>
      <c r="F92" s="6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</row>
    <row r="93" customFormat="false" ht="13.5" hidden="false" customHeight="true" outlineLevel="0" collapsed="false">
      <c r="A93" s="4"/>
      <c r="B93" s="4"/>
      <c r="C93" s="4"/>
      <c r="D93" s="5"/>
      <c r="E93" s="5"/>
      <c r="F93" s="6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</row>
    <row r="94" customFormat="false" ht="13.5" hidden="false" customHeight="true" outlineLevel="0" collapsed="false">
      <c r="A94" s="4"/>
      <c r="B94" s="4"/>
      <c r="C94" s="4"/>
      <c r="D94" s="5"/>
      <c r="E94" s="5"/>
      <c r="F94" s="6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</row>
    <row r="95" customFormat="false" ht="13.5" hidden="false" customHeight="true" outlineLevel="0" collapsed="false">
      <c r="A95" s="4"/>
      <c r="B95" s="4"/>
      <c r="C95" s="4"/>
      <c r="D95" s="5"/>
      <c r="E95" s="5"/>
      <c r="F95" s="6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</row>
    <row r="96" customFormat="false" ht="13.5" hidden="false" customHeight="true" outlineLevel="0" collapsed="false">
      <c r="A96" s="4"/>
      <c r="B96" s="4"/>
      <c r="C96" s="4"/>
      <c r="D96" s="5"/>
      <c r="E96" s="5"/>
      <c r="F96" s="6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</row>
    <row r="97" customFormat="false" ht="13.5" hidden="false" customHeight="true" outlineLevel="0" collapsed="false">
      <c r="A97" s="4"/>
      <c r="B97" s="4"/>
      <c r="C97" s="4"/>
      <c r="D97" s="5"/>
      <c r="E97" s="5"/>
      <c r="F97" s="6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</row>
    <row r="98" customFormat="false" ht="13.5" hidden="false" customHeight="true" outlineLevel="0" collapsed="false">
      <c r="A98" s="4"/>
      <c r="B98" s="4"/>
      <c r="C98" s="4"/>
      <c r="D98" s="5"/>
      <c r="E98" s="5"/>
      <c r="F98" s="6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</row>
    <row r="99" customFormat="false" ht="13.5" hidden="false" customHeight="true" outlineLevel="0" collapsed="false">
      <c r="A99" s="4"/>
      <c r="B99" s="4"/>
      <c r="C99" s="4"/>
      <c r="D99" s="5"/>
      <c r="E99" s="5"/>
      <c r="F99" s="6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</row>
    <row r="100" customFormat="false" ht="13.5" hidden="false" customHeight="true" outlineLevel="0" collapsed="false">
      <c r="A100" s="4"/>
      <c r="B100" s="4"/>
      <c r="C100" s="4"/>
      <c r="D100" s="5"/>
      <c r="E100" s="5"/>
      <c r="F100" s="6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</row>
    <row r="101" customFormat="false" ht="13.5" hidden="false" customHeight="true" outlineLevel="0" collapsed="false">
      <c r="A101" s="4"/>
      <c r="B101" s="4"/>
      <c r="C101" s="4"/>
      <c r="D101" s="5"/>
      <c r="E101" s="5"/>
      <c r="F101" s="6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</row>
    <row r="102" customFormat="false" ht="13.5" hidden="false" customHeight="true" outlineLevel="0" collapsed="false">
      <c r="A102" s="4"/>
      <c r="B102" s="4"/>
      <c r="C102" s="4"/>
      <c r="D102" s="5"/>
      <c r="E102" s="5"/>
      <c r="F102" s="6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</row>
    <row r="103" customFormat="false" ht="13.5" hidden="false" customHeight="true" outlineLevel="0" collapsed="false">
      <c r="A103" s="4"/>
      <c r="B103" s="4"/>
      <c r="C103" s="4"/>
      <c r="D103" s="5"/>
      <c r="E103" s="5"/>
      <c r="F103" s="6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</row>
    <row r="104" customFormat="false" ht="13.5" hidden="false" customHeight="true" outlineLevel="0" collapsed="false">
      <c r="A104" s="4"/>
      <c r="B104" s="4"/>
      <c r="C104" s="4"/>
      <c r="D104" s="5"/>
      <c r="E104" s="5"/>
      <c r="F104" s="6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</row>
    <row r="105" customFormat="false" ht="13.5" hidden="false" customHeight="true" outlineLevel="0" collapsed="false">
      <c r="A105" s="4"/>
      <c r="B105" s="4"/>
      <c r="C105" s="4"/>
      <c r="D105" s="5"/>
      <c r="E105" s="5"/>
      <c r="F105" s="6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</row>
    <row r="106" customFormat="false" ht="13.5" hidden="false" customHeight="true" outlineLevel="0" collapsed="false">
      <c r="A106" s="4"/>
      <c r="B106" s="4"/>
      <c r="C106" s="4"/>
      <c r="D106" s="5"/>
      <c r="E106" s="5"/>
      <c r="F106" s="6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</row>
    <row r="107" customFormat="false" ht="13.5" hidden="false" customHeight="true" outlineLevel="0" collapsed="false">
      <c r="A107" s="4"/>
      <c r="B107" s="4"/>
      <c r="C107" s="4"/>
      <c r="D107" s="5"/>
      <c r="E107" s="5"/>
      <c r="F107" s="6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</row>
    <row r="108" customFormat="false" ht="13.5" hidden="false" customHeight="true" outlineLevel="0" collapsed="false">
      <c r="A108" s="4"/>
      <c r="B108" s="4"/>
      <c r="C108" s="4"/>
      <c r="D108" s="5"/>
      <c r="E108" s="5"/>
      <c r="F108" s="6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</row>
    <row r="109" customFormat="false" ht="13.5" hidden="false" customHeight="true" outlineLevel="0" collapsed="false">
      <c r="A109" s="4"/>
      <c r="B109" s="4"/>
      <c r="C109" s="4"/>
      <c r="D109" s="5"/>
      <c r="E109" s="5"/>
      <c r="F109" s="6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</row>
    <row r="110" customFormat="false" ht="13.5" hidden="false" customHeight="true" outlineLevel="0" collapsed="false">
      <c r="A110" s="4"/>
      <c r="B110" s="4"/>
      <c r="C110" s="4"/>
      <c r="D110" s="5"/>
      <c r="E110" s="5"/>
      <c r="F110" s="6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</row>
    <row r="111" customFormat="false" ht="13.5" hidden="false" customHeight="true" outlineLevel="0" collapsed="false">
      <c r="A111" s="4"/>
      <c r="B111" s="4"/>
      <c r="C111" s="4"/>
      <c r="D111" s="5"/>
      <c r="E111" s="5"/>
      <c r="F111" s="6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</row>
    <row r="112" customFormat="false" ht="13.5" hidden="false" customHeight="true" outlineLevel="0" collapsed="false">
      <c r="A112" s="4"/>
      <c r="B112" s="4"/>
      <c r="C112" s="4"/>
      <c r="D112" s="5"/>
      <c r="E112" s="5"/>
      <c r="F112" s="6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</row>
    <row r="113" customFormat="false" ht="13.5" hidden="false" customHeight="true" outlineLevel="0" collapsed="false">
      <c r="A113" s="4"/>
      <c r="B113" s="4"/>
      <c r="C113" s="4"/>
      <c r="D113" s="5"/>
      <c r="E113" s="5"/>
      <c r="F113" s="6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</row>
    <row r="114" customFormat="false" ht="13.5" hidden="false" customHeight="true" outlineLevel="0" collapsed="false">
      <c r="A114" s="4"/>
      <c r="B114" s="4"/>
      <c r="C114" s="4"/>
      <c r="D114" s="5"/>
      <c r="E114" s="5"/>
      <c r="F114" s="6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</row>
    <row r="115" customFormat="false" ht="13.5" hidden="false" customHeight="true" outlineLevel="0" collapsed="false">
      <c r="A115" s="4"/>
      <c r="B115" s="4"/>
      <c r="C115" s="4"/>
      <c r="D115" s="5"/>
      <c r="E115" s="5"/>
      <c r="F115" s="6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</row>
    <row r="116" customFormat="false" ht="13.5" hidden="false" customHeight="true" outlineLevel="0" collapsed="false">
      <c r="A116" s="4"/>
      <c r="B116" s="4"/>
      <c r="C116" s="4"/>
      <c r="D116" s="5"/>
      <c r="E116" s="5"/>
      <c r="F116" s="6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</row>
    <row r="117" customFormat="false" ht="13.5" hidden="false" customHeight="true" outlineLevel="0" collapsed="false">
      <c r="A117" s="4"/>
      <c r="B117" s="4"/>
      <c r="C117" s="4"/>
      <c r="D117" s="5"/>
      <c r="E117" s="5"/>
      <c r="F117" s="6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</row>
    <row r="118" customFormat="false" ht="13.5" hidden="false" customHeight="true" outlineLevel="0" collapsed="false">
      <c r="A118" s="4"/>
      <c r="B118" s="4"/>
      <c r="C118" s="4"/>
      <c r="D118" s="5"/>
      <c r="E118" s="5"/>
      <c r="F118" s="6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</row>
    <row r="119" customFormat="false" ht="13.5" hidden="false" customHeight="true" outlineLevel="0" collapsed="false">
      <c r="A119" s="4"/>
      <c r="B119" s="4"/>
      <c r="C119" s="4"/>
      <c r="D119" s="5"/>
      <c r="E119" s="5"/>
      <c r="F119" s="6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</row>
    <row r="120" customFormat="false" ht="13.5" hidden="false" customHeight="true" outlineLevel="0" collapsed="false">
      <c r="A120" s="4"/>
      <c r="B120" s="4"/>
      <c r="C120" s="4"/>
      <c r="D120" s="5"/>
      <c r="E120" s="5"/>
      <c r="F120" s="6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</row>
    <row r="121" customFormat="false" ht="13.5" hidden="false" customHeight="true" outlineLevel="0" collapsed="false">
      <c r="A121" s="4"/>
      <c r="B121" s="4"/>
      <c r="C121" s="4"/>
      <c r="D121" s="5"/>
      <c r="E121" s="5"/>
      <c r="F121" s="6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</row>
    <row r="122" customFormat="false" ht="13.5" hidden="false" customHeight="true" outlineLevel="0" collapsed="false">
      <c r="A122" s="4"/>
      <c r="B122" s="4"/>
      <c r="C122" s="4"/>
      <c r="D122" s="5"/>
      <c r="E122" s="5"/>
      <c r="F122" s="6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</row>
    <row r="123" customFormat="false" ht="13.5" hidden="false" customHeight="true" outlineLevel="0" collapsed="false">
      <c r="A123" s="4"/>
      <c r="B123" s="4"/>
      <c r="C123" s="4"/>
      <c r="D123" s="5"/>
      <c r="E123" s="5"/>
      <c r="F123" s="6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</row>
    <row r="124" customFormat="false" ht="13.5" hidden="false" customHeight="true" outlineLevel="0" collapsed="false">
      <c r="A124" s="4"/>
      <c r="B124" s="4"/>
      <c r="C124" s="4"/>
      <c r="D124" s="5"/>
      <c r="E124" s="5"/>
      <c r="F124" s="6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</row>
    <row r="125" customFormat="false" ht="13.5" hidden="false" customHeight="true" outlineLevel="0" collapsed="false">
      <c r="A125" s="4"/>
      <c r="B125" s="4"/>
      <c r="C125" s="4"/>
      <c r="D125" s="5"/>
      <c r="E125" s="5"/>
      <c r="F125" s="6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</row>
    <row r="126" customFormat="false" ht="13.5" hidden="false" customHeight="true" outlineLevel="0" collapsed="false">
      <c r="A126" s="4"/>
      <c r="B126" s="4"/>
      <c r="C126" s="4"/>
      <c r="D126" s="5"/>
      <c r="E126" s="5"/>
      <c r="F126" s="6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</row>
    <row r="127" customFormat="false" ht="13.5" hidden="false" customHeight="true" outlineLevel="0" collapsed="false">
      <c r="A127" s="4"/>
      <c r="B127" s="4"/>
      <c r="C127" s="4"/>
      <c r="D127" s="5"/>
      <c r="E127" s="5"/>
      <c r="F127" s="6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</row>
    <row r="128" customFormat="false" ht="13.5" hidden="false" customHeight="true" outlineLevel="0" collapsed="false">
      <c r="A128" s="4"/>
      <c r="B128" s="4"/>
      <c r="C128" s="4"/>
      <c r="D128" s="5"/>
      <c r="E128" s="5"/>
      <c r="F128" s="6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</row>
    <row r="129" customFormat="false" ht="13.5" hidden="false" customHeight="true" outlineLevel="0" collapsed="false">
      <c r="A129" s="4"/>
      <c r="B129" s="4"/>
      <c r="C129" s="4"/>
      <c r="D129" s="5"/>
      <c r="E129" s="5"/>
      <c r="F129" s="6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</row>
    <row r="130" customFormat="false" ht="13.5" hidden="false" customHeight="true" outlineLevel="0" collapsed="false">
      <c r="A130" s="4"/>
      <c r="B130" s="4"/>
      <c r="C130" s="4"/>
      <c r="D130" s="5"/>
      <c r="E130" s="5"/>
      <c r="F130" s="6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</row>
    <row r="131" customFormat="false" ht="13.5" hidden="false" customHeight="true" outlineLevel="0" collapsed="false">
      <c r="A131" s="4"/>
      <c r="B131" s="4"/>
      <c r="C131" s="4"/>
      <c r="D131" s="5"/>
      <c r="E131" s="5"/>
      <c r="F131" s="6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</row>
    <row r="132" customFormat="false" ht="13.5" hidden="false" customHeight="true" outlineLevel="0" collapsed="false">
      <c r="A132" s="4"/>
      <c r="B132" s="4"/>
      <c r="C132" s="4"/>
      <c r="D132" s="5"/>
      <c r="E132" s="5"/>
      <c r="F132" s="6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</row>
    <row r="133" customFormat="false" ht="13.5" hidden="false" customHeight="true" outlineLevel="0" collapsed="false">
      <c r="A133" s="4"/>
      <c r="B133" s="4"/>
      <c r="C133" s="4"/>
      <c r="D133" s="5"/>
      <c r="E133" s="5"/>
      <c r="F133" s="6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</row>
    <row r="134" customFormat="false" ht="13.5" hidden="false" customHeight="true" outlineLevel="0" collapsed="false">
      <c r="A134" s="4"/>
      <c r="B134" s="4"/>
      <c r="C134" s="4"/>
      <c r="D134" s="5"/>
      <c r="E134" s="5"/>
      <c r="F134" s="6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</row>
    <row r="135" customFormat="false" ht="13.5" hidden="false" customHeight="true" outlineLevel="0" collapsed="false">
      <c r="A135" s="4"/>
      <c r="B135" s="4"/>
      <c r="C135" s="4"/>
      <c r="D135" s="5"/>
      <c r="E135" s="5"/>
      <c r="F135" s="6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</row>
    <row r="136" customFormat="false" ht="13.5" hidden="false" customHeight="true" outlineLevel="0" collapsed="false">
      <c r="A136" s="4"/>
      <c r="B136" s="4"/>
      <c r="C136" s="4"/>
      <c r="D136" s="5"/>
      <c r="E136" s="5"/>
      <c r="F136" s="6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</row>
    <row r="137" customFormat="false" ht="13.5" hidden="false" customHeight="true" outlineLevel="0" collapsed="false">
      <c r="A137" s="4"/>
      <c r="B137" s="4"/>
      <c r="C137" s="4"/>
      <c r="D137" s="5"/>
      <c r="E137" s="5"/>
      <c r="F137" s="6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</row>
    <row r="138" customFormat="false" ht="13.5" hidden="false" customHeight="true" outlineLevel="0" collapsed="false">
      <c r="A138" s="4"/>
      <c r="B138" s="4"/>
      <c r="C138" s="4"/>
      <c r="D138" s="5"/>
      <c r="E138" s="5"/>
      <c r="F138" s="6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</row>
    <row r="139" customFormat="false" ht="13.5" hidden="false" customHeight="true" outlineLevel="0" collapsed="false">
      <c r="A139" s="4"/>
      <c r="B139" s="4"/>
      <c r="C139" s="4"/>
      <c r="D139" s="5"/>
      <c r="E139" s="5"/>
      <c r="F139" s="6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</row>
    <row r="140" customFormat="false" ht="13.5" hidden="false" customHeight="true" outlineLevel="0" collapsed="false">
      <c r="A140" s="4"/>
      <c r="B140" s="4"/>
      <c r="C140" s="4"/>
      <c r="D140" s="5"/>
      <c r="E140" s="5"/>
      <c r="F140" s="6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</row>
    <row r="141" customFormat="false" ht="13.5" hidden="false" customHeight="true" outlineLevel="0" collapsed="false">
      <c r="A141" s="4"/>
      <c r="B141" s="4"/>
      <c r="C141" s="4"/>
      <c r="D141" s="5"/>
      <c r="E141" s="5"/>
      <c r="F141" s="6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</row>
    <row r="142" customFormat="false" ht="13.5" hidden="false" customHeight="true" outlineLevel="0" collapsed="false">
      <c r="A142" s="4"/>
      <c r="B142" s="4"/>
      <c r="C142" s="4"/>
      <c r="D142" s="5"/>
      <c r="E142" s="5"/>
      <c r="F142" s="6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</row>
    <row r="143" customFormat="false" ht="13.5" hidden="false" customHeight="true" outlineLevel="0" collapsed="false">
      <c r="A143" s="4"/>
      <c r="B143" s="4"/>
      <c r="C143" s="4"/>
      <c r="D143" s="5"/>
      <c r="E143" s="5"/>
      <c r="F143" s="6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</row>
    <row r="144" customFormat="false" ht="13.5" hidden="false" customHeight="true" outlineLevel="0" collapsed="false">
      <c r="A144" s="4"/>
      <c r="B144" s="4"/>
      <c r="C144" s="4"/>
      <c r="D144" s="5"/>
      <c r="E144" s="5"/>
      <c r="F144" s="6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</row>
    <row r="145" customFormat="false" ht="13.5" hidden="false" customHeight="true" outlineLevel="0" collapsed="false">
      <c r="A145" s="4"/>
      <c r="B145" s="4"/>
      <c r="C145" s="4"/>
      <c r="D145" s="5"/>
      <c r="E145" s="5"/>
      <c r="F145" s="6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</row>
    <row r="146" customFormat="false" ht="13.5" hidden="false" customHeight="true" outlineLevel="0" collapsed="false">
      <c r="A146" s="4"/>
      <c r="B146" s="4"/>
      <c r="C146" s="4"/>
      <c r="D146" s="5"/>
      <c r="E146" s="5"/>
      <c r="F146" s="6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</row>
    <row r="147" customFormat="false" ht="13.5" hidden="false" customHeight="true" outlineLevel="0" collapsed="false">
      <c r="A147" s="4"/>
      <c r="B147" s="4"/>
      <c r="C147" s="4"/>
      <c r="D147" s="5"/>
      <c r="E147" s="5"/>
      <c r="F147" s="6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</row>
    <row r="148" customFormat="false" ht="13.5" hidden="false" customHeight="true" outlineLevel="0" collapsed="false">
      <c r="A148" s="4"/>
      <c r="B148" s="4"/>
      <c r="C148" s="4"/>
      <c r="D148" s="5"/>
      <c r="E148" s="5"/>
      <c r="F148" s="6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</row>
    <row r="149" customFormat="false" ht="13.5" hidden="false" customHeight="true" outlineLevel="0" collapsed="false">
      <c r="A149" s="4"/>
      <c r="B149" s="4"/>
      <c r="C149" s="4"/>
      <c r="D149" s="5"/>
      <c r="E149" s="5"/>
      <c r="F149" s="6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</row>
    <row r="150" customFormat="false" ht="13.5" hidden="false" customHeight="true" outlineLevel="0" collapsed="false">
      <c r="A150" s="4"/>
      <c r="B150" s="4"/>
      <c r="C150" s="4"/>
      <c r="D150" s="5"/>
      <c r="E150" s="5"/>
      <c r="F150" s="6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</row>
    <row r="151" customFormat="false" ht="13.5" hidden="false" customHeight="true" outlineLevel="0" collapsed="false">
      <c r="A151" s="4"/>
      <c r="B151" s="4"/>
      <c r="C151" s="4"/>
      <c r="D151" s="5"/>
      <c r="E151" s="5"/>
      <c r="F151" s="6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</row>
    <row r="152" customFormat="false" ht="13.5" hidden="false" customHeight="true" outlineLevel="0" collapsed="false">
      <c r="A152" s="4"/>
      <c r="B152" s="4"/>
      <c r="C152" s="4"/>
      <c r="D152" s="5"/>
      <c r="E152" s="5"/>
      <c r="F152" s="6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</row>
    <row r="153" customFormat="false" ht="13.5" hidden="false" customHeight="true" outlineLevel="0" collapsed="false">
      <c r="A153" s="4"/>
      <c r="B153" s="4"/>
      <c r="C153" s="4"/>
      <c r="D153" s="5"/>
      <c r="E153" s="5"/>
      <c r="F153" s="6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</row>
    <row r="154" customFormat="false" ht="13.5" hidden="false" customHeight="true" outlineLevel="0" collapsed="false">
      <c r="A154" s="4"/>
      <c r="B154" s="4"/>
      <c r="C154" s="4"/>
      <c r="D154" s="5"/>
      <c r="E154" s="5"/>
      <c r="F154" s="6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</row>
    <row r="155" customFormat="false" ht="13.5" hidden="false" customHeight="true" outlineLevel="0" collapsed="false">
      <c r="A155" s="4"/>
      <c r="B155" s="4"/>
      <c r="C155" s="4"/>
      <c r="D155" s="5"/>
      <c r="E155" s="5"/>
      <c r="F155" s="6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</row>
    <row r="156" customFormat="false" ht="13.5" hidden="false" customHeight="true" outlineLevel="0" collapsed="false">
      <c r="A156" s="4"/>
      <c r="B156" s="4"/>
      <c r="C156" s="4"/>
      <c r="D156" s="5"/>
      <c r="E156" s="5"/>
      <c r="F156" s="6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</row>
    <row r="157" customFormat="false" ht="13.5" hidden="false" customHeight="true" outlineLevel="0" collapsed="false">
      <c r="A157" s="4"/>
      <c r="B157" s="4"/>
      <c r="C157" s="4"/>
      <c r="D157" s="5"/>
      <c r="E157" s="5"/>
      <c r="F157" s="6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</row>
    <row r="158" customFormat="false" ht="13.5" hidden="false" customHeight="true" outlineLevel="0" collapsed="false">
      <c r="A158" s="4"/>
      <c r="B158" s="4"/>
      <c r="C158" s="4"/>
      <c r="D158" s="5"/>
      <c r="E158" s="5"/>
      <c r="F158" s="6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</row>
    <row r="159" customFormat="false" ht="13.5" hidden="false" customHeight="true" outlineLevel="0" collapsed="false">
      <c r="A159" s="4"/>
      <c r="B159" s="4"/>
      <c r="C159" s="4"/>
      <c r="D159" s="5"/>
      <c r="E159" s="5"/>
      <c r="F159" s="6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</row>
    <row r="160" customFormat="false" ht="13.5" hidden="false" customHeight="true" outlineLevel="0" collapsed="false">
      <c r="A160" s="4"/>
      <c r="B160" s="4"/>
      <c r="C160" s="4"/>
      <c r="D160" s="5"/>
      <c r="E160" s="5"/>
      <c r="F160" s="6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</row>
    <row r="161" customFormat="false" ht="13.5" hidden="false" customHeight="true" outlineLevel="0" collapsed="false">
      <c r="A161" s="4"/>
      <c r="B161" s="4"/>
      <c r="C161" s="4"/>
      <c r="D161" s="5"/>
      <c r="E161" s="5"/>
      <c r="F161" s="6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</row>
    <row r="162" customFormat="false" ht="13.5" hidden="false" customHeight="true" outlineLevel="0" collapsed="false">
      <c r="A162" s="4"/>
      <c r="B162" s="4"/>
      <c r="C162" s="4"/>
      <c r="D162" s="5"/>
      <c r="E162" s="5"/>
      <c r="F162" s="6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</row>
    <row r="163" customFormat="false" ht="13.5" hidden="false" customHeight="true" outlineLevel="0" collapsed="false">
      <c r="A163" s="4"/>
      <c r="B163" s="4"/>
      <c r="C163" s="4"/>
      <c r="D163" s="5"/>
      <c r="E163" s="5"/>
      <c r="F163" s="6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</row>
    <row r="164" customFormat="false" ht="13.5" hidden="false" customHeight="true" outlineLevel="0" collapsed="false">
      <c r="A164" s="4"/>
      <c r="B164" s="4"/>
      <c r="C164" s="4"/>
      <c r="D164" s="5"/>
      <c r="E164" s="5"/>
      <c r="F164" s="6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</row>
    <row r="165" customFormat="false" ht="13.5" hidden="false" customHeight="true" outlineLevel="0" collapsed="false">
      <c r="A165" s="4"/>
      <c r="B165" s="4"/>
      <c r="C165" s="4"/>
      <c r="D165" s="5"/>
      <c r="E165" s="5"/>
      <c r="F165" s="6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</row>
    <row r="166" customFormat="false" ht="13.5" hidden="false" customHeight="true" outlineLevel="0" collapsed="false">
      <c r="A166" s="4"/>
      <c r="B166" s="4"/>
      <c r="C166" s="4"/>
      <c r="D166" s="5"/>
      <c r="E166" s="5"/>
      <c r="F166" s="6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</row>
    <row r="167" customFormat="false" ht="13.5" hidden="false" customHeight="true" outlineLevel="0" collapsed="false">
      <c r="A167" s="4"/>
      <c r="B167" s="4"/>
      <c r="C167" s="4"/>
      <c r="D167" s="5"/>
      <c r="E167" s="5"/>
      <c r="F167" s="6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</row>
    <row r="168" customFormat="false" ht="13.5" hidden="false" customHeight="true" outlineLevel="0" collapsed="false">
      <c r="A168" s="4"/>
      <c r="B168" s="4"/>
      <c r="C168" s="4"/>
      <c r="D168" s="5"/>
      <c r="E168" s="5"/>
      <c r="F168" s="6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</row>
    <row r="169" customFormat="false" ht="13.5" hidden="false" customHeight="true" outlineLevel="0" collapsed="false">
      <c r="A169" s="4"/>
      <c r="B169" s="4"/>
      <c r="C169" s="4"/>
      <c r="D169" s="5"/>
      <c r="E169" s="5"/>
      <c r="F169" s="6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</row>
    <row r="170" customFormat="false" ht="13.5" hidden="false" customHeight="true" outlineLevel="0" collapsed="false">
      <c r="A170" s="4"/>
      <c r="B170" s="4"/>
      <c r="C170" s="4"/>
      <c r="D170" s="5"/>
      <c r="E170" s="5"/>
      <c r="F170" s="6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</row>
    <row r="171" customFormat="false" ht="13.5" hidden="false" customHeight="true" outlineLevel="0" collapsed="false">
      <c r="A171" s="4"/>
      <c r="B171" s="4"/>
      <c r="C171" s="4"/>
      <c r="D171" s="5"/>
      <c r="E171" s="5"/>
      <c r="F171" s="6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</row>
    <row r="172" customFormat="false" ht="13.5" hidden="false" customHeight="true" outlineLevel="0" collapsed="false">
      <c r="A172" s="4"/>
      <c r="B172" s="4"/>
      <c r="C172" s="4"/>
      <c r="D172" s="5"/>
      <c r="E172" s="5"/>
      <c r="F172" s="6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</row>
    <row r="173" customFormat="false" ht="13.5" hidden="false" customHeight="true" outlineLevel="0" collapsed="false">
      <c r="A173" s="4"/>
      <c r="B173" s="4"/>
      <c r="C173" s="4"/>
      <c r="D173" s="5"/>
      <c r="E173" s="5"/>
      <c r="F173" s="6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</row>
    <row r="174" customFormat="false" ht="13.5" hidden="false" customHeight="true" outlineLevel="0" collapsed="false">
      <c r="A174" s="4"/>
      <c r="B174" s="4"/>
      <c r="C174" s="4"/>
      <c r="D174" s="5"/>
      <c r="E174" s="5"/>
      <c r="F174" s="6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</row>
    <row r="175" customFormat="false" ht="13.5" hidden="false" customHeight="true" outlineLevel="0" collapsed="false">
      <c r="A175" s="4"/>
      <c r="B175" s="4"/>
      <c r="C175" s="4"/>
      <c r="D175" s="5"/>
      <c r="E175" s="5"/>
      <c r="F175" s="6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</row>
    <row r="176" customFormat="false" ht="13.5" hidden="false" customHeight="true" outlineLevel="0" collapsed="false">
      <c r="A176" s="4"/>
      <c r="B176" s="4"/>
      <c r="C176" s="4"/>
      <c r="D176" s="5"/>
      <c r="E176" s="5"/>
      <c r="F176" s="6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</row>
    <row r="177" customFormat="false" ht="13.5" hidden="false" customHeight="true" outlineLevel="0" collapsed="false">
      <c r="A177" s="4"/>
      <c r="B177" s="4"/>
      <c r="C177" s="4"/>
      <c r="D177" s="5"/>
      <c r="E177" s="5"/>
      <c r="F177" s="6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</row>
    <row r="178" customFormat="false" ht="13.5" hidden="false" customHeight="true" outlineLevel="0" collapsed="false">
      <c r="A178" s="4"/>
      <c r="B178" s="4"/>
      <c r="C178" s="4"/>
      <c r="D178" s="5"/>
      <c r="E178" s="5"/>
      <c r="F178" s="6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</row>
    <row r="179" customFormat="false" ht="13.5" hidden="false" customHeight="true" outlineLevel="0" collapsed="false">
      <c r="A179" s="4"/>
      <c r="B179" s="4"/>
      <c r="C179" s="4"/>
      <c r="D179" s="5"/>
      <c r="E179" s="5"/>
      <c r="F179" s="6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</row>
    <row r="180" customFormat="false" ht="13.5" hidden="false" customHeight="true" outlineLevel="0" collapsed="false">
      <c r="A180" s="4"/>
      <c r="B180" s="4"/>
      <c r="C180" s="4"/>
      <c r="D180" s="5"/>
      <c r="E180" s="5"/>
      <c r="F180" s="6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</row>
    <row r="181" customFormat="false" ht="13.5" hidden="false" customHeight="true" outlineLevel="0" collapsed="false">
      <c r="A181" s="4"/>
      <c r="B181" s="4"/>
      <c r="C181" s="4"/>
      <c r="D181" s="5"/>
      <c r="E181" s="5"/>
      <c r="F181" s="6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</row>
    <row r="182" customFormat="false" ht="13.5" hidden="false" customHeight="true" outlineLevel="0" collapsed="false">
      <c r="A182" s="4"/>
      <c r="B182" s="4"/>
      <c r="C182" s="4"/>
      <c r="D182" s="5"/>
      <c r="E182" s="5"/>
      <c r="F182" s="6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</row>
    <row r="183" customFormat="false" ht="13.5" hidden="false" customHeight="true" outlineLevel="0" collapsed="false">
      <c r="A183" s="4"/>
      <c r="B183" s="4"/>
      <c r="C183" s="4"/>
      <c r="D183" s="5"/>
      <c r="E183" s="5"/>
      <c r="F183" s="6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</row>
    <row r="184" customFormat="false" ht="13.5" hidden="false" customHeight="true" outlineLevel="0" collapsed="false">
      <c r="A184" s="4"/>
      <c r="B184" s="4"/>
      <c r="C184" s="4"/>
      <c r="D184" s="5"/>
      <c r="E184" s="5"/>
      <c r="F184" s="6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</row>
    <row r="185" customFormat="false" ht="13.5" hidden="false" customHeight="true" outlineLevel="0" collapsed="false">
      <c r="A185" s="4"/>
      <c r="B185" s="4"/>
      <c r="C185" s="4"/>
      <c r="D185" s="5"/>
      <c r="E185" s="5"/>
      <c r="F185" s="6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</row>
    <row r="186" customFormat="false" ht="13.5" hidden="false" customHeight="true" outlineLevel="0" collapsed="false">
      <c r="A186" s="4"/>
      <c r="B186" s="4"/>
      <c r="C186" s="4"/>
      <c r="D186" s="5"/>
      <c r="E186" s="5"/>
      <c r="F186" s="6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</row>
    <row r="187" customFormat="false" ht="13.5" hidden="false" customHeight="true" outlineLevel="0" collapsed="false">
      <c r="A187" s="4"/>
      <c r="B187" s="4"/>
      <c r="C187" s="4"/>
      <c r="D187" s="5"/>
      <c r="E187" s="5"/>
      <c r="F187" s="6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</row>
    <row r="188" customFormat="false" ht="13.5" hidden="false" customHeight="true" outlineLevel="0" collapsed="false">
      <c r="A188" s="4"/>
      <c r="B188" s="4"/>
      <c r="C188" s="4"/>
      <c r="D188" s="5"/>
      <c r="E188" s="5"/>
      <c r="F188" s="6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</row>
    <row r="189" customFormat="false" ht="13.5" hidden="false" customHeight="true" outlineLevel="0" collapsed="false">
      <c r="A189" s="4"/>
      <c r="B189" s="4"/>
      <c r="C189" s="4"/>
      <c r="D189" s="5"/>
      <c r="E189" s="5"/>
      <c r="F189" s="6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</row>
    <row r="190" customFormat="false" ht="13.5" hidden="false" customHeight="true" outlineLevel="0" collapsed="false">
      <c r="A190" s="4"/>
      <c r="B190" s="4"/>
      <c r="C190" s="4"/>
      <c r="D190" s="5"/>
      <c r="E190" s="5"/>
      <c r="F190" s="6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</row>
    <row r="191" customFormat="false" ht="13.5" hidden="false" customHeight="true" outlineLevel="0" collapsed="false">
      <c r="A191" s="4"/>
      <c r="B191" s="4"/>
      <c r="C191" s="4"/>
      <c r="D191" s="5"/>
      <c r="E191" s="5"/>
      <c r="F191" s="6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</row>
    <row r="192" customFormat="false" ht="13.5" hidden="false" customHeight="true" outlineLevel="0" collapsed="false">
      <c r="A192" s="4"/>
      <c r="B192" s="4"/>
      <c r="C192" s="4"/>
      <c r="D192" s="5"/>
      <c r="E192" s="5"/>
      <c r="F192" s="6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</row>
    <row r="193" customFormat="false" ht="13.5" hidden="false" customHeight="true" outlineLevel="0" collapsed="false">
      <c r="A193" s="4"/>
      <c r="B193" s="4"/>
      <c r="C193" s="4"/>
      <c r="D193" s="5"/>
      <c r="E193" s="5"/>
      <c r="F193" s="6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</row>
    <row r="194" customFormat="false" ht="13.5" hidden="false" customHeight="true" outlineLevel="0" collapsed="false">
      <c r="A194" s="4"/>
      <c r="B194" s="4"/>
      <c r="C194" s="4"/>
      <c r="D194" s="5"/>
      <c r="E194" s="5"/>
      <c r="F194" s="6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</row>
    <row r="195" customFormat="false" ht="13.5" hidden="false" customHeight="true" outlineLevel="0" collapsed="false">
      <c r="A195" s="4"/>
      <c r="B195" s="4"/>
      <c r="C195" s="4"/>
      <c r="D195" s="5"/>
      <c r="E195" s="5"/>
      <c r="F195" s="6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</row>
    <row r="196" customFormat="false" ht="13.5" hidden="false" customHeight="true" outlineLevel="0" collapsed="false">
      <c r="A196" s="4"/>
      <c r="B196" s="4"/>
      <c r="C196" s="4"/>
      <c r="D196" s="5"/>
      <c r="E196" s="5"/>
      <c r="F196" s="6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</row>
    <row r="197" customFormat="false" ht="13.5" hidden="false" customHeight="true" outlineLevel="0" collapsed="false">
      <c r="A197" s="4"/>
      <c r="B197" s="4"/>
      <c r="C197" s="4"/>
      <c r="D197" s="5"/>
      <c r="E197" s="5"/>
      <c r="F197" s="6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</row>
    <row r="198" customFormat="false" ht="13.5" hidden="false" customHeight="true" outlineLevel="0" collapsed="false">
      <c r="A198" s="4"/>
      <c r="B198" s="4"/>
      <c r="C198" s="4"/>
      <c r="D198" s="5"/>
      <c r="E198" s="5"/>
      <c r="F198" s="6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</row>
    <row r="199" customFormat="false" ht="13.5" hidden="false" customHeight="true" outlineLevel="0" collapsed="false">
      <c r="A199" s="4"/>
      <c r="B199" s="4"/>
      <c r="C199" s="4"/>
      <c r="D199" s="5"/>
      <c r="E199" s="5"/>
      <c r="F199" s="6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</row>
    <row r="200" customFormat="false" ht="13.5" hidden="false" customHeight="true" outlineLevel="0" collapsed="false">
      <c r="A200" s="4"/>
      <c r="B200" s="4"/>
      <c r="C200" s="4"/>
      <c r="D200" s="5"/>
      <c r="E200" s="5"/>
      <c r="F200" s="6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</row>
    <row r="201" customFormat="false" ht="13.5" hidden="false" customHeight="true" outlineLevel="0" collapsed="false">
      <c r="A201" s="4"/>
      <c r="B201" s="4"/>
      <c r="C201" s="4"/>
      <c r="D201" s="5"/>
      <c r="E201" s="5"/>
      <c r="F201" s="6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</row>
    <row r="202" customFormat="false" ht="13.5" hidden="false" customHeight="true" outlineLevel="0" collapsed="false">
      <c r="A202" s="4"/>
      <c r="B202" s="4"/>
      <c r="C202" s="4"/>
      <c r="D202" s="5"/>
      <c r="E202" s="5"/>
      <c r="F202" s="6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</row>
    <row r="203" customFormat="false" ht="13.5" hidden="false" customHeight="true" outlineLevel="0" collapsed="false">
      <c r="A203" s="4"/>
      <c r="B203" s="4"/>
      <c r="C203" s="4"/>
      <c r="D203" s="5"/>
      <c r="E203" s="5"/>
      <c r="F203" s="6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</row>
    <row r="204" customFormat="false" ht="13.5" hidden="false" customHeight="true" outlineLevel="0" collapsed="false">
      <c r="A204" s="4"/>
      <c r="B204" s="4"/>
      <c r="C204" s="4"/>
      <c r="D204" s="5"/>
      <c r="E204" s="5"/>
      <c r="F204" s="6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</row>
    <row r="205" customFormat="false" ht="13.5" hidden="false" customHeight="true" outlineLevel="0" collapsed="false">
      <c r="A205" s="4"/>
      <c r="B205" s="4"/>
      <c r="C205" s="4"/>
      <c r="D205" s="5"/>
      <c r="E205" s="5"/>
      <c r="F205" s="6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</row>
    <row r="206" customFormat="false" ht="13.5" hidden="false" customHeight="true" outlineLevel="0" collapsed="false">
      <c r="A206" s="4"/>
      <c r="B206" s="4"/>
      <c r="C206" s="4"/>
      <c r="D206" s="5"/>
      <c r="E206" s="5"/>
      <c r="F206" s="6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</row>
    <row r="207" customFormat="false" ht="13.5" hidden="false" customHeight="true" outlineLevel="0" collapsed="false">
      <c r="A207" s="4"/>
      <c r="B207" s="4"/>
      <c r="C207" s="4"/>
      <c r="D207" s="5"/>
      <c r="E207" s="5"/>
      <c r="F207" s="6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</row>
    <row r="208" customFormat="false" ht="13.5" hidden="false" customHeight="true" outlineLevel="0" collapsed="false">
      <c r="A208" s="4"/>
      <c r="B208" s="4"/>
      <c r="C208" s="4"/>
      <c r="D208" s="5"/>
      <c r="E208" s="5"/>
      <c r="F208" s="6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</row>
    <row r="209" customFormat="false" ht="13.5" hidden="false" customHeight="true" outlineLevel="0" collapsed="false">
      <c r="A209" s="4"/>
      <c r="B209" s="4"/>
      <c r="C209" s="4"/>
      <c r="D209" s="5"/>
      <c r="E209" s="5"/>
      <c r="F209" s="6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</row>
    <row r="210" customFormat="false" ht="13.5" hidden="false" customHeight="true" outlineLevel="0" collapsed="false">
      <c r="A210" s="4"/>
      <c r="B210" s="4"/>
      <c r="C210" s="4"/>
      <c r="D210" s="5"/>
      <c r="E210" s="5"/>
      <c r="F210" s="6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</row>
    <row r="211" customFormat="false" ht="13.5" hidden="false" customHeight="true" outlineLevel="0" collapsed="false">
      <c r="A211" s="4"/>
      <c r="B211" s="4"/>
      <c r="C211" s="4"/>
      <c r="D211" s="5"/>
      <c r="E211" s="5"/>
      <c r="F211" s="6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</row>
    <row r="212" customFormat="false" ht="13.5" hidden="false" customHeight="true" outlineLevel="0" collapsed="false">
      <c r="A212" s="4"/>
      <c r="B212" s="4"/>
      <c r="C212" s="4"/>
      <c r="D212" s="5"/>
      <c r="E212" s="5"/>
      <c r="F212" s="6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</row>
    <row r="213" customFormat="false" ht="13.5" hidden="false" customHeight="true" outlineLevel="0" collapsed="false">
      <c r="A213" s="4"/>
      <c r="B213" s="4"/>
      <c r="C213" s="4"/>
      <c r="D213" s="5"/>
      <c r="E213" s="5"/>
      <c r="F213" s="6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</row>
    <row r="214" customFormat="false" ht="13.5" hidden="false" customHeight="true" outlineLevel="0" collapsed="false">
      <c r="A214" s="4"/>
      <c r="B214" s="4"/>
      <c r="C214" s="4"/>
      <c r="D214" s="5"/>
      <c r="E214" s="5"/>
      <c r="F214" s="6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</row>
    <row r="215" customFormat="false" ht="13.5" hidden="false" customHeight="true" outlineLevel="0" collapsed="false">
      <c r="A215" s="4"/>
      <c r="B215" s="4"/>
      <c r="C215" s="4"/>
      <c r="D215" s="5"/>
      <c r="E215" s="5"/>
      <c r="F215" s="6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</row>
    <row r="216" customFormat="false" ht="13.5" hidden="false" customHeight="true" outlineLevel="0" collapsed="false">
      <c r="A216" s="4"/>
      <c r="B216" s="4"/>
      <c r="C216" s="4"/>
      <c r="D216" s="5"/>
      <c r="E216" s="5"/>
      <c r="F216" s="6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</row>
    <row r="217" customFormat="false" ht="13.5" hidden="false" customHeight="true" outlineLevel="0" collapsed="false">
      <c r="A217" s="4"/>
      <c r="B217" s="4"/>
      <c r="C217" s="4"/>
      <c r="D217" s="5"/>
      <c r="E217" s="5"/>
      <c r="F217" s="6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</row>
    <row r="218" customFormat="false" ht="13.5" hidden="false" customHeight="true" outlineLevel="0" collapsed="false">
      <c r="A218" s="4"/>
      <c r="B218" s="4"/>
      <c r="C218" s="4"/>
      <c r="D218" s="5"/>
      <c r="E218" s="5"/>
      <c r="F218" s="6"/>
      <c r="G218" s="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</row>
    <row r="219" customFormat="false" ht="13.5" hidden="false" customHeight="true" outlineLevel="0" collapsed="false">
      <c r="A219" s="4"/>
      <c r="B219" s="4"/>
      <c r="C219" s="4"/>
      <c r="D219" s="5"/>
      <c r="E219" s="5"/>
      <c r="F219" s="6"/>
      <c r="G219" s="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</row>
    <row r="220" customFormat="false" ht="13.5" hidden="false" customHeight="true" outlineLevel="0" collapsed="false">
      <c r="A220" s="4"/>
      <c r="B220" s="4"/>
      <c r="C220" s="4"/>
      <c r="D220" s="5"/>
      <c r="E220" s="5"/>
      <c r="F220" s="6"/>
      <c r="G220" s="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</row>
    <row r="221" customFormat="false" ht="13.5" hidden="false" customHeight="true" outlineLevel="0" collapsed="false">
      <c r="A221" s="4"/>
      <c r="B221" s="4"/>
      <c r="C221" s="4"/>
      <c r="D221" s="5"/>
      <c r="E221" s="5"/>
      <c r="F221" s="6"/>
      <c r="G221" s="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</row>
    <row r="222" customFormat="false" ht="13.5" hidden="false" customHeight="true" outlineLevel="0" collapsed="false">
      <c r="A222" s="4"/>
      <c r="B222" s="4"/>
      <c r="C222" s="4"/>
      <c r="D222" s="5"/>
      <c r="E222" s="5"/>
      <c r="F222" s="6"/>
      <c r="G222" s="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</row>
    <row r="223" customFormat="false" ht="13.5" hidden="false" customHeight="true" outlineLevel="0" collapsed="false">
      <c r="A223" s="4"/>
      <c r="B223" s="4"/>
      <c r="C223" s="4"/>
      <c r="D223" s="5"/>
      <c r="E223" s="5"/>
      <c r="F223" s="6"/>
      <c r="G223" s="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</row>
    <row r="224" customFormat="false" ht="13.5" hidden="false" customHeight="true" outlineLevel="0" collapsed="false">
      <c r="A224" s="4"/>
      <c r="B224" s="4"/>
      <c r="C224" s="4"/>
      <c r="D224" s="5"/>
      <c r="E224" s="5"/>
      <c r="F224" s="6"/>
      <c r="G224" s="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</row>
    <row r="225" customFormat="false" ht="13.5" hidden="false" customHeight="true" outlineLevel="0" collapsed="false">
      <c r="A225" s="4"/>
      <c r="B225" s="4"/>
      <c r="C225" s="4"/>
      <c r="D225" s="5"/>
      <c r="E225" s="5"/>
      <c r="F225" s="6"/>
      <c r="G225" s="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</row>
    <row r="226" customFormat="false" ht="13.5" hidden="false" customHeight="true" outlineLevel="0" collapsed="false">
      <c r="A226" s="4"/>
      <c r="B226" s="4"/>
      <c r="C226" s="4"/>
      <c r="D226" s="5"/>
      <c r="E226" s="5"/>
      <c r="F226" s="6"/>
      <c r="G226" s="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</row>
    <row r="227" customFormat="false" ht="13.5" hidden="false" customHeight="true" outlineLevel="0" collapsed="false">
      <c r="A227" s="4"/>
      <c r="B227" s="4"/>
      <c r="C227" s="4"/>
      <c r="D227" s="5"/>
      <c r="E227" s="5"/>
      <c r="F227" s="6"/>
      <c r="G227" s="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</row>
    <row r="228" customFormat="false" ht="13.5" hidden="false" customHeight="true" outlineLevel="0" collapsed="false">
      <c r="A228" s="4"/>
      <c r="B228" s="4"/>
      <c r="C228" s="4"/>
      <c r="D228" s="5"/>
      <c r="E228" s="5"/>
      <c r="F228" s="6"/>
      <c r="G228" s="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</row>
    <row r="229" customFormat="false" ht="13.5" hidden="false" customHeight="true" outlineLevel="0" collapsed="false">
      <c r="A229" s="4"/>
      <c r="B229" s="4"/>
      <c r="C229" s="4"/>
      <c r="D229" s="5"/>
      <c r="E229" s="5"/>
      <c r="F229" s="6"/>
      <c r="G229" s="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</row>
    <row r="230" customFormat="false" ht="13.5" hidden="false" customHeight="true" outlineLevel="0" collapsed="false">
      <c r="A230" s="4"/>
      <c r="B230" s="4"/>
      <c r="C230" s="4"/>
      <c r="D230" s="5"/>
      <c r="E230" s="5"/>
      <c r="F230" s="6"/>
      <c r="G230" s="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</row>
    <row r="231" customFormat="false" ht="13.5" hidden="false" customHeight="true" outlineLevel="0" collapsed="false">
      <c r="A231" s="4"/>
      <c r="B231" s="4"/>
      <c r="C231" s="4"/>
      <c r="D231" s="5"/>
      <c r="E231" s="5"/>
      <c r="F231" s="6"/>
      <c r="G231" s="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</row>
    <row r="232" customFormat="false" ht="13.5" hidden="false" customHeight="true" outlineLevel="0" collapsed="false">
      <c r="A232" s="4"/>
      <c r="B232" s="4"/>
      <c r="C232" s="4"/>
      <c r="D232" s="5"/>
      <c r="E232" s="5"/>
      <c r="F232" s="6"/>
      <c r="G232" s="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</row>
    <row r="233" customFormat="false" ht="13.5" hidden="false" customHeight="true" outlineLevel="0" collapsed="false">
      <c r="A233" s="4"/>
      <c r="B233" s="4"/>
      <c r="C233" s="4"/>
      <c r="D233" s="5"/>
      <c r="E233" s="5"/>
      <c r="F233" s="6"/>
      <c r="G233" s="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</row>
    <row r="234" customFormat="false" ht="13.5" hidden="false" customHeight="true" outlineLevel="0" collapsed="false">
      <c r="A234" s="4"/>
      <c r="B234" s="4"/>
      <c r="C234" s="4"/>
      <c r="D234" s="5"/>
      <c r="E234" s="5"/>
      <c r="F234" s="6"/>
      <c r="G234" s="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</row>
    <row r="235" customFormat="false" ht="13.5" hidden="false" customHeight="true" outlineLevel="0" collapsed="false">
      <c r="A235" s="4"/>
      <c r="B235" s="4"/>
      <c r="C235" s="4"/>
      <c r="D235" s="5"/>
      <c r="E235" s="5"/>
      <c r="F235" s="6"/>
      <c r="G235" s="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</row>
    <row r="236" customFormat="false" ht="13.5" hidden="false" customHeight="true" outlineLevel="0" collapsed="false">
      <c r="A236" s="4"/>
      <c r="B236" s="4"/>
      <c r="C236" s="4"/>
      <c r="D236" s="5"/>
      <c r="E236" s="5"/>
      <c r="F236" s="6"/>
      <c r="G236" s="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</row>
    <row r="237" customFormat="false" ht="13.5" hidden="false" customHeight="true" outlineLevel="0" collapsed="false">
      <c r="A237" s="4"/>
      <c r="B237" s="4"/>
      <c r="C237" s="4"/>
      <c r="D237" s="5"/>
      <c r="E237" s="5"/>
      <c r="F237" s="6"/>
      <c r="G237" s="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</row>
    <row r="238" customFormat="false" ht="13.5" hidden="false" customHeight="true" outlineLevel="0" collapsed="false">
      <c r="A238" s="4"/>
      <c r="B238" s="4"/>
      <c r="C238" s="4"/>
      <c r="D238" s="5"/>
      <c r="E238" s="5"/>
      <c r="F238" s="6"/>
      <c r="G238" s="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</row>
    <row r="239" customFormat="false" ht="13.5" hidden="false" customHeight="true" outlineLevel="0" collapsed="false">
      <c r="A239" s="4"/>
      <c r="B239" s="4"/>
      <c r="C239" s="4"/>
      <c r="D239" s="5"/>
      <c r="E239" s="5"/>
      <c r="F239" s="6"/>
      <c r="G239" s="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</row>
    <row r="240" customFormat="false" ht="13.5" hidden="false" customHeight="true" outlineLevel="0" collapsed="false">
      <c r="A240" s="4"/>
      <c r="B240" s="4"/>
      <c r="C240" s="4"/>
      <c r="D240" s="5"/>
      <c r="E240" s="5"/>
      <c r="F240" s="6"/>
      <c r="G240" s="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</row>
    <row r="241" customFormat="false" ht="13.5" hidden="false" customHeight="true" outlineLevel="0" collapsed="false">
      <c r="A241" s="4"/>
      <c r="B241" s="4"/>
      <c r="C241" s="4"/>
      <c r="D241" s="5"/>
      <c r="E241" s="5"/>
      <c r="F241" s="6"/>
      <c r="G241" s="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</row>
    <row r="242" customFormat="false" ht="13.5" hidden="false" customHeight="true" outlineLevel="0" collapsed="false">
      <c r="A242" s="4"/>
      <c r="B242" s="4"/>
      <c r="C242" s="4"/>
      <c r="D242" s="5"/>
      <c r="E242" s="5"/>
      <c r="F242" s="6"/>
      <c r="G242" s="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</row>
    <row r="243" customFormat="false" ht="13.5" hidden="false" customHeight="true" outlineLevel="0" collapsed="false">
      <c r="A243" s="4"/>
      <c r="B243" s="4"/>
      <c r="C243" s="4"/>
      <c r="D243" s="5"/>
      <c r="E243" s="5"/>
      <c r="F243" s="6"/>
      <c r="G243" s="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</row>
    <row r="244" customFormat="false" ht="13.5" hidden="false" customHeight="true" outlineLevel="0" collapsed="false">
      <c r="A244" s="4"/>
      <c r="B244" s="4"/>
      <c r="C244" s="4"/>
      <c r="D244" s="5"/>
      <c r="E244" s="5"/>
      <c r="F244" s="6"/>
      <c r="G244" s="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</row>
    <row r="245" customFormat="false" ht="13.5" hidden="false" customHeight="true" outlineLevel="0" collapsed="false">
      <c r="A245" s="4"/>
      <c r="B245" s="4"/>
      <c r="C245" s="4"/>
      <c r="D245" s="5"/>
      <c r="E245" s="5"/>
      <c r="F245" s="6"/>
      <c r="G245" s="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</row>
    <row r="246" customFormat="false" ht="13.5" hidden="false" customHeight="true" outlineLevel="0" collapsed="false">
      <c r="A246" s="4"/>
      <c r="B246" s="4"/>
      <c r="C246" s="4"/>
      <c r="D246" s="5"/>
      <c r="E246" s="5"/>
      <c r="F246" s="6"/>
      <c r="G246" s="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</row>
    <row r="247" customFormat="false" ht="13.5" hidden="false" customHeight="true" outlineLevel="0" collapsed="false">
      <c r="A247" s="4"/>
      <c r="B247" s="4"/>
      <c r="C247" s="4"/>
      <c r="D247" s="5"/>
      <c r="E247" s="5"/>
      <c r="F247" s="6"/>
      <c r="G247" s="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</row>
    <row r="248" customFormat="false" ht="13.5" hidden="false" customHeight="true" outlineLevel="0" collapsed="false">
      <c r="A248" s="4"/>
      <c r="B248" s="4"/>
      <c r="C248" s="4"/>
      <c r="D248" s="5"/>
      <c r="E248" s="5"/>
      <c r="F248" s="6"/>
      <c r="G248" s="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</row>
    <row r="249" customFormat="false" ht="13.5" hidden="false" customHeight="true" outlineLevel="0" collapsed="false">
      <c r="A249" s="4"/>
      <c r="B249" s="4"/>
      <c r="C249" s="4"/>
      <c r="D249" s="5"/>
      <c r="E249" s="5"/>
      <c r="F249" s="6"/>
      <c r="G249" s="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</row>
    <row r="250" customFormat="false" ht="13.5" hidden="false" customHeight="true" outlineLevel="0" collapsed="false">
      <c r="A250" s="4"/>
      <c r="B250" s="4"/>
      <c r="C250" s="4"/>
      <c r="D250" s="5"/>
      <c r="E250" s="5"/>
      <c r="F250" s="6"/>
      <c r="G250" s="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</row>
    <row r="251" customFormat="false" ht="13.5" hidden="false" customHeight="true" outlineLevel="0" collapsed="false">
      <c r="A251" s="4"/>
      <c r="B251" s="4"/>
      <c r="C251" s="4"/>
      <c r="D251" s="5"/>
      <c r="E251" s="5"/>
      <c r="F251" s="6"/>
      <c r="G251" s="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</row>
    <row r="252" customFormat="false" ht="13.5" hidden="false" customHeight="true" outlineLevel="0" collapsed="false">
      <c r="A252" s="4"/>
      <c r="B252" s="4"/>
      <c r="C252" s="4"/>
      <c r="D252" s="5"/>
      <c r="E252" s="5"/>
      <c r="F252" s="6"/>
      <c r="G252" s="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</row>
    <row r="253" customFormat="false" ht="13.5" hidden="false" customHeight="true" outlineLevel="0" collapsed="false">
      <c r="A253" s="4"/>
      <c r="B253" s="4"/>
      <c r="C253" s="4"/>
      <c r="D253" s="5"/>
      <c r="E253" s="5"/>
      <c r="F253" s="6"/>
      <c r="G253" s="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</row>
    <row r="254" customFormat="false" ht="13.5" hidden="false" customHeight="true" outlineLevel="0" collapsed="false">
      <c r="A254" s="4"/>
      <c r="B254" s="4"/>
      <c r="C254" s="4"/>
      <c r="D254" s="5"/>
      <c r="E254" s="5"/>
      <c r="F254" s="6"/>
      <c r="G254" s="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</row>
    <row r="255" customFormat="false" ht="13.5" hidden="false" customHeight="true" outlineLevel="0" collapsed="false">
      <c r="A255" s="4"/>
      <c r="B255" s="4"/>
      <c r="C255" s="4"/>
      <c r="D255" s="5"/>
      <c r="E255" s="5"/>
      <c r="F255" s="6"/>
      <c r="G255" s="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</row>
    <row r="256" customFormat="false" ht="13.5" hidden="false" customHeight="true" outlineLevel="0" collapsed="false">
      <c r="A256" s="4"/>
      <c r="B256" s="4"/>
      <c r="C256" s="4"/>
      <c r="D256" s="5"/>
      <c r="E256" s="5"/>
      <c r="F256" s="6"/>
      <c r="G256" s="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</row>
    <row r="257" customFormat="false" ht="13.5" hidden="false" customHeight="true" outlineLevel="0" collapsed="false">
      <c r="A257" s="4"/>
      <c r="B257" s="4"/>
      <c r="C257" s="4"/>
      <c r="D257" s="5"/>
      <c r="E257" s="5"/>
      <c r="F257" s="6"/>
      <c r="G257" s="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</row>
    <row r="258" customFormat="false" ht="13.5" hidden="false" customHeight="true" outlineLevel="0" collapsed="false">
      <c r="A258" s="4"/>
      <c r="B258" s="4"/>
      <c r="C258" s="4"/>
      <c r="D258" s="5"/>
      <c r="E258" s="5"/>
      <c r="F258" s="6"/>
      <c r="G258" s="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</row>
    <row r="259" customFormat="false" ht="13.5" hidden="false" customHeight="true" outlineLevel="0" collapsed="false">
      <c r="A259" s="4"/>
      <c r="B259" s="4"/>
      <c r="C259" s="4"/>
      <c r="D259" s="5"/>
      <c r="E259" s="5"/>
      <c r="F259" s="6"/>
      <c r="G259" s="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</row>
    <row r="260" customFormat="false" ht="13.5" hidden="false" customHeight="true" outlineLevel="0" collapsed="false">
      <c r="A260" s="4"/>
      <c r="B260" s="4"/>
      <c r="C260" s="4"/>
      <c r="D260" s="5"/>
      <c r="E260" s="5"/>
      <c r="F260" s="6"/>
      <c r="G260" s="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</row>
    <row r="261" customFormat="false" ht="13.5" hidden="false" customHeight="true" outlineLevel="0" collapsed="false">
      <c r="A261" s="4"/>
      <c r="B261" s="4"/>
      <c r="C261" s="4"/>
      <c r="D261" s="5"/>
      <c r="E261" s="5"/>
      <c r="F261" s="6"/>
      <c r="G261" s="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</row>
    <row r="262" customFormat="false" ht="13.5" hidden="false" customHeight="true" outlineLevel="0" collapsed="false">
      <c r="A262" s="4"/>
      <c r="B262" s="4"/>
      <c r="C262" s="4"/>
      <c r="D262" s="5"/>
      <c r="E262" s="5"/>
      <c r="F262" s="6"/>
      <c r="G262" s="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</row>
    <row r="263" customFormat="false" ht="13.5" hidden="false" customHeight="true" outlineLevel="0" collapsed="false">
      <c r="A263" s="24"/>
      <c r="B263" s="24"/>
      <c r="C263" s="24"/>
      <c r="D263" s="24"/>
      <c r="E263" s="24"/>
      <c r="F263" s="6"/>
      <c r="G263" s="6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</row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30.29"/>
    <col collapsed="false" customWidth="true" hidden="false" outlineLevel="0" max="2" min="2" style="0" width="57.57"/>
    <col collapsed="false" customWidth="true" hidden="false" outlineLevel="0" max="3" min="3" style="0" width="53.29"/>
    <col collapsed="false" customWidth="true" hidden="false" outlineLevel="0" max="4" min="4" style="0" width="30.29"/>
    <col collapsed="false" customWidth="true" hidden="false" outlineLevel="0" max="5" min="5" style="0" width="60.3"/>
    <col collapsed="false" customWidth="true" hidden="false" outlineLevel="0" max="6" min="6" style="0" width="62.86"/>
    <col collapsed="false" customWidth="true" hidden="false" outlineLevel="0" max="26" min="7" style="0" width="14.57"/>
  </cols>
  <sheetData>
    <row r="1" customFormat="false" ht="21.75" hidden="false" customHeight="true" outlineLevel="0" collapsed="false">
      <c r="A1" s="25" t="s">
        <v>217</v>
      </c>
      <c r="B1" s="26" t="s">
        <v>1</v>
      </c>
      <c r="C1" s="27" t="s">
        <v>2</v>
      </c>
      <c r="D1" s="2" t="s">
        <v>3</v>
      </c>
      <c r="E1" s="28" t="s">
        <v>4</v>
      </c>
      <c r="F1" s="29" t="s">
        <v>5</v>
      </c>
      <c r="G1" s="29" t="s">
        <v>6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customFormat="false" ht="13.5" hidden="false" customHeight="true" outlineLevel="0" collapsed="false">
      <c r="A2" s="5"/>
      <c r="B2" s="4"/>
      <c r="C2" s="30"/>
      <c r="D2" s="5"/>
      <c r="E2" s="5"/>
      <c r="F2" s="6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Format="false" ht="13.5" hidden="false" customHeight="true" outlineLevel="0" collapsed="false">
      <c r="A3" s="5" t="s">
        <v>60</v>
      </c>
      <c r="B3" s="4" t="s">
        <v>218</v>
      </c>
      <c r="C3" s="4" t="s">
        <v>218</v>
      </c>
      <c r="D3" s="4" t="s">
        <v>219</v>
      </c>
      <c r="E3" s="5" t="str">
        <f aca="false">IFERROR(__xludf.dummyfunction("GOOGLETRANSLATE(C3, ""en"", ""gu"")"),"ખેતરનું તળાવ")</f>
        <v>ખેતરનું તળાવ</v>
      </c>
      <c r="F3" s="5" t="s">
        <v>220</v>
      </c>
      <c r="G3" s="24" t="str">
        <f aca="false">IFERROR(__xludf.dummyfunction("GOOGLETRANSLATE(C3,""en"",""or"")"),"ଚାଷ ପୋଖରୀ")</f>
        <v>ଚାଷ ପୋଖରୀ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customFormat="false" ht="13.5" hidden="false" customHeight="true" outlineLevel="0" collapsed="false">
      <c r="A4" s="5" t="s">
        <v>60</v>
      </c>
      <c r="B4" s="4" t="s">
        <v>221</v>
      </c>
      <c r="C4" s="4" t="s">
        <v>221</v>
      </c>
      <c r="D4" s="4" t="s">
        <v>222</v>
      </c>
      <c r="E4" s="5" t="str">
        <f aca="false">IFERROR(__xludf.dummyfunction("GOOGLETRANSLATE(C4, ""en"", ""gu"")"),"કોમ્યુનિટી પોન્ડ")</f>
        <v>કોમ્યુનિટી પોન્ડ</v>
      </c>
      <c r="F4" s="5" t="s">
        <v>223</v>
      </c>
      <c r="G4" s="24" t="str">
        <f aca="false">IFERROR(__xludf.dummyfunction("GOOGLETRANSLATE(C4,""en"",""or"")"),"ସମ୍ପ୍ରଦାୟ ପୋଖରୀ")</f>
        <v>ସମ୍ପ୍ରଦାୟ ପୋଖରୀ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customFormat="false" ht="13.5" hidden="false" customHeight="true" outlineLevel="0" collapsed="false">
      <c r="A5" s="5" t="s">
        <v>60</v>
      </c>
      <c r="B5" s="4" t="s">
        <v>224</v>
      </c>
      <c r="C5" s="4" t="s">
        <v>224</v>
      </c>
      <c r="D5" s="4" t="s">
        <v>225</v>
      </c>
      <c r="E5" s="5" t="str">
        <f aca="false">IFERROR(__xludf.dummyfunction("GOOGLETRANSLATE(C5, ""en"", ""gu"")"),"વિશાળ જળાશય")</f>
        <v>વિશાળ જળાશય</v>
      </c>
      <c r="F5" s="5" t="s">
        <v>226</v>
      </c>
      <c r="G5" s="24" t="str">
        <f aca="false">IFERROR(__xludf.dummyfunction("GOOGLETRANSLATE(C5,""en"",""or"")"),"ବଡ଼ ଜଳାଶୟ")</f>
        <v>ବଡ଼ ଜଳାଶୟ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customFormat="false" ht="13.5" hidden="false" customHeight="true" outlineLevel="0" collapsed="false">
      <c r="A6" s="5" t="s">
        <v>60</v>
      </c>
      <c r="B6" s="4" t="s">
        <v>227</v>
      </c>
      <c r="C6" s="4" t="s">
        <v>227</v>
      </c>
      <c r="D6" s="4" t="s">
        <v>228</v>
      </c>
      <c r="E6" s="5" t="str">
        <f aca="false">IFERROR(__xludf.dummyfunction("GOOGLETRANSLATE(C6, ""en"", ""gu"")"),"ચેનલ")</f>
        <v>ચેનલ</v>
      </c>
      <c r="F6" s="5" t="s">
        <v>229</v>
      </c>
      <c r="G6" s="24" t="str">
        <f aca="false">IFERROR(__xludf.dummyfunction("GOOGLETRANSLATE(C6,""en"",""or"")"),"କେନାଲ")</f>
        <v>କେନାଲ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customFormat="false" ht="13.5" hidden="false" customHeight="true" outlineLevel="0" collapsed="false">
      <c r="A7" s="5" t="s">
        <v>60</v>
      </c>
      <c r="B7" s="4" t="s">
        <v>230</v>
      </c>
      <c r="C7" s="4" t="s">
        <v>230</v>
      </c>
      <c r="D7" s="4" t="s">
        <v>231</v>
      </c>
      <c r="E7" s="5" t="str">
        <f aca="false">IFERROR(__xludf.dummyfunction("GOOGLETRANSLATE(C7, ""en"", ""gu"")"),"ચેક ડેમ")</f>
        <v>ચેક ડેમ</v>
      </c>
      <c r="F7" s="5" t="s">
        <v>232</v>
      </c>
      <c r="G7" s="24" t="str">
        <f aca="false">IFERROR(__xludf.dummyfunction("GOOGLETRANSLATE(C7,""en"",""or"")"),"ଚେକ୍ ଡ୍ୟାମ୍")</f>
        <v>ଚେକ୍ ଡ୍ୟାମ୍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customFormat="false" ht="13.5" hidden="false" customHeight="true" outlineLevel="0" collapsed="false">
      <c r="A8" s="5" t="s">
        <v>60</v>
      </c>
      <c r="B8" s="4" t="s">
        <v>233</v>
      </c>
      <c r="C8" s="4" t="s">
        <v>233</v>
      </c>
      <c r="D8" s="4" t="s">
        <v>234</v>
      </c>
      <c r="E8" s="5" t="str">
        <f aca="false">IFERROR(__xludf.dummyfunction("GOOGLETRANSLATE(C8, ""en"", ""gu"")"),"પરકોલેશન ટાંકી")</f>
        <v>પરકોલેશન ટાંકી</v>
      </c>
      <c r="F8" s="5" t="s">
        <v>235</v>
      </c>
      <c r="G8" s="24" t="str">
        <f aca="false">IFERROR(__xludf.dummyfunction("GOOGLETRANSLATE(C8,""en"",""or"")"),"ପର୍କୋଲେସନ୍ ଟାଙ୍କି")</f>
        <v>ପର୍କୋଲେସନ୍ ଟାଙ୍କି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customFormat="false" ht="13.5" hidden="false" customHeight="true" outlineLevel="0" collapsed="false">
      <c r="A9" s="5" t="s">
        <v>60</v>
      </c>
      <c r="B9" s="4" t="s">
        <v>236</v>
      </c>
      <c r="C9" s="4" t="s">
        <v>236</v>
      </c>
      <c r="D9" s="4" t="s">
        <v>237</v>
      </c>
      <c r="E9" s="5" t="str">
        <f aca="false">IFERROR(__xludf.dummyfunction("GOOGLETRANSLATE(C9, ""en"", ""gu"")"),"રોકફિલ ડેમ")</f>
        <v>રોકફિલ ડેમ</v>
      </c>
      <c r="F9" s="5" t="s">
        <v>238</v>
      </c>
      <c r="G9" s="24" t="str">
        <f aca="false">IFERROR(__xludf.dummyfunction("GOOGLETRANSLATE(C9,""en"",""or"")"),"ପଥର ପୂରଣ ବନ୍ଧ")</f>
        <v>ପଥର ପୂରଣ ବନ୍ଧ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customFormat="false" ht="13.5" hidden="false" customHeight="true" outlineLevel="0" collapsed="false">
      <c r="A10" s="5" t="s">
        <v>60</v>
      </c>
      <c r="B10" s="4" t="s">
        <v>239</v>
      </c>
      <c r="C10" s="4" t="s">
        <v>239</v>
      </c>
      <c r="D10" s="4" t="s">
        <v>240</v>
      </c>
      <c r="E10" s="5" t="str">
        <f aca="false">IFERROR(__xludf.dummyfunction("GOOGLETRANSLATE(C10, ""en"", ""gu"")"),"છૂટક પથ્થરનું માળખું")</f>
        <v>છૂટક પથ્થરનું માળખું</v>
      </c>
      <c r="F10" s="5" t="s">
        <v>241</v>
      </c>
      <c r="G10" s="24" t="str">
        <f aca="false">IFERROR(__xludf.dummyfunction("GOOGLETRANSLATE(C10,""en"",""or"")"),"ଢିଲା ବୋଲ୍ଡର ଗଠନ")</f>
        <v>ଢିଲା ବୋଲ୍ଡର ଗଠନ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customFormat="false" ht="13.5" hidden="false" customHeight="true" outlineLevel="0" collapsed="false">
      <c r="A11" s="5" t="s">
        <v>60</v>
      </c>
      <c r="B11" s="4" t="s">
        <v>242</v>
      </c>
      <c r="C11" s="4" t="s">
        <v>242</v>
      </c>
      <c r="D11" s="4" t="s">
        <v>243</v>
      </c>
      <c r="E11" s="5" t="str">
        <f aca="false">IFERROR(__xludf.dummyfunction("GOOGLETRANSLATE(C11, ""en"", ""gu"")"),"૫% મોડેલ માળખું")</f>
        <v>૫% મોડેલ માળખું</v>
      </c>
      <c r="F11" s="5" t="s">
        <v>244</v>
      </c>
      <c r="G11" s="24" t="str">
        <f aca="false">IFERROR(__xludf.dummyfunction("GOOGLETRANSLATE(C11,""en"",""or"")"),"୫% ମଡେଲ ଗଠନ")</f>
        <v>୫% ମଡେଲ ଗଠନ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customFormat="false" ht="13.5" hidden="false" customHeight="true" outlineLevel="0" collapsed="false">
      <c r="A12" s="5" t="s">
        <v>60</v>
      </c>
      <c r="B12" s="4" t="s">
        <v>245</v>
      </c>
      <c r="C12" s="4" t="s">
        <v>245</v>
      </c>
      <c r="D12" s="4" t="s">
        <v>246</v>
      </c>
      <c r="E12" s="5" t="str">
        <f aca="false">IFERROR(__xludf.dummyfunction("GOOGLETRANSLATE(C12, ""en"", ""gu"")"),"30-40 મોડેલ માળખું")</f>
        <v>30-40 મોડેલ માળખું</v>
      </c>
      <c r="F12" s="5" t="s">
        <v>247</v>
      </c>
      <c r="G12" s="24" t="str">
        <f aca="false">IFERROR(__xludf.dummyfunction("GOOGLETRANSLATE(C12,""en"",""or"")"),"30-40 ମଡେଲ୍ ଗଠନ")</f>
        <v>30-40 ମଡେଲ୍ ଗଠନ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customFormat="false" ht="13.5" hidden="false" customHeight="true" outlineLevel="0" collapsed="false">
      <c r="A13" s="5"/>
      <c r="B13" s="5"/>
      <c r="C13" s="5"/>
      <c r="D13" s="5"/>
      <c r="E13" s="5"/>
      <c r="F13" s="6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customFormat="false" ht="13.5" hidden="false" customHeight="true" outlineLevel="0" collapsed="false">
      <c r="A14" s="5" t="s">
        <v>248</v>
      </c>
      <c r="B14" s="5" t="s">
        <v>249</v>
      </c>
      <c r="C14" s="5" t="s">
        <v>249</v>
      </c>
      <c r="D14" s="4" t="s">
        <v>250</v>
      </c>
      <c r="E14" s="5" t="str">
        <f aca="false">IFERROR(__xludf.dummyfunction("GOOGLETRANSLATE(C14, ""en"", ""gu"")"),"હા")</f>
        <v>હા</v>
      </c>
      <c r="F14" s="5" t="s">
        <v>251</v>
      </c>
      <c r="G14" s="24" t="str">
        <f aca="false">IFERROR(__xludf.dummyfunction("GOOGLETRANSLATE(C14,""en"",""or"")"),"ହଁ")</f>
        <v>ହଁ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3.5" hidden="false" customHeight="true" outlineLevel="0" collapsed="false">
      <c r="A15" s="5" t="s">
        <v>248</v>
      </c>
      <c r="B15" s="5" t="s">
        <v>252</v>
      </c>
      <c r="C15" s="5" t="s">
        <v>252</v>
      </c>
      <c r="D15" s="4" t="s">
        <v>253</v>
      </c>
      <c r="E15" s="5" t="str">
        <f aca="false">IFERROR(__xludf.dummyfunction("GOOGLETRANSLATE(C15, ""en"", ""gu"")"),"ના")</f>
        <v>ના</v>
      </c>
      <c r="F15" s="5" t="s">
        <v>254</v>
      </c>
      <c r="G15" s="24" t="str">
        <f aca="false">IFERROR(__xludf.dummyfunction("GOOGLETRANSLATE(C15,""en"",""or"")"),"ନା")</f>
        <v>ନା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3.5" hidden="false" customHeight="true" outlineLevel="0" collapsed="false">
      <c r="A16" s="5"/>
      <c r="B16" s="5"/>
      <c r="C16" s="5"/>
      <c r="D16" s="5"/>
      <c r="E16" s="5"/>
      <c r="F16" s="6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3.5" hidden="false" customHeight="true" outlineLevel="0" collapsed="false">
      <c r="A17" s="5" t="s">
        <v>255</v>
      </c>
      <c r="B17" s="8" t="s">
        <v>256</v>
      </c>
      <c r="C17" s="9" t="s">
        <v>257</v>
      </c>
      <c r="D17" s="9" t="s">
        <v>258</v>
      </c>
      <c r="E17" s="9" t="str">
        <f aca="false">IFERROR(__xludf.dummyfunction("GOOGLETRANSLATE(C17, ""en"", ""gu"")"),"ડી સિટલીંગ
")</f>
        <v>ડી સિટલીંગ
</v>
      </c>
      <c r="F17" s="6" t="s">
        <v>259</v>
      </c>
      <c r="G17" s="4" t="str">
        <f aca="false">IFERROR(__xludf.dummyfunction("GOOGLETRANSLATE(C17,""en"",""or"")"),"ଡି ସିଟଲିଂ
")</f>
        <v>ଡି ସିଟଲିଂ
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customFormat="false" ht="13.5" hidden="false" customHeight="true" outlineLevel="0" collapsed="false">
      <c r="A18" s="5" t="s">
        <v>255</v>
      </c>
      <c r="B18" s="5" t="s">
        <v>260</v>
      </c>
      <c r="C18" s="5" t="s">
        <v>261</v>
      </c>
      <c r="D18" s="4" t="s">
        <v>262</v>
      </c>
      <c r="E18" s="5" t="str">
        <f aca="false">IFERROR(__xludf.dummyfunction("GOOGLETRANSLATE(C18, ""en"", ""gu"")"),"દરિયાકાંઠાના ધોવાણ નિયંત્રણ")</f>
        <v>દરિયાકાંઠાના ધોવાણ નિયંત્રણ</v>
      </c>
      <c r="F18" s="5" t="s">
        <v>263</v>
      </c>
      <c r="G18" s="24" t="str">
        <f aca="false">IFERROR(__xludf.dummyfunction("GOOGLETRANSLATE(C18,""en"",""or"")"),"କୂଳ କ୍ଷୟ ନିୟନ୍ତ୍ରଣ")</f>
        <v>କୂଳ କ୍ଷୟ ନିୟନ୍ତ୍ରଣ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customFormat="false" ht="13.5" hidden="false" customHeight="true" outlineLevel="0" collapsed="false">
      <c r="A19" s="5" t="s">
        <v>255</v>
      </c>
      <c r="B19" s="5" t="s">
        <v>264</v>
      </c>
      <c r="C19" s="5" t="s">
        <v>265</v>
      </c>
      <c r="D19" s="4" t="s">
        <v>266</v>
      </c>
      <c r="E19" s="5" t="str">
        <f aca="false">IFERROR(__xludf.dummyfunction("GOOGLETRANSLATE(C19, ""en"", ""gu"")"),"બંધ સમારકામ")</f>
        <v>બંધ સમારકામ</v>
      </c>
      <c r="F19" s="5" t="s">
        <v>267</v>
      </c>
      <c r="G19" s="24" t="str">
        <f aca="false">IFERROR(__xludf.dummyfunction("GOOGLETRANSLATE(C19,""en"",""or"")"),"ନଦୀବନ୍ଧ ମରାମତି")</f>
        <v>ନଦୀବନ୍ଧ ମରାମତି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customFormat="false" ht="13.5" hidden="false" customHeight="true" outlineLevel="0" collapsed="false">
      <c r="A20" s="5" t="s">
        <v>255</v>
      </c>
      <c r="B20" s="5" t="s">
        <v>268</v>
      </c>
      <c r="C20" s="5" t="s">
        <v>269</v>
      </c>
      <c r="D20" s="4" t="s">
        <v>270</v>
      </c>
      <c r="E20" s="5" t="str">
        <f aca="false">IFERROR(__xludf.dummyfunction("GOOGLETRANSLATE(C20, ""en"", ""gu"")"),"જળચર વનસ્પતિના અતિશય વિકાસને નિયંત્રિત કરવો")</f>
        <v>જળચર વનસ્પતિના અતિશય વિકાસને નિયંત્રિત કરવો</v>
      </c>
      <c r="F20" s="5" t="s">
        <v>271</v>
      </c>
      <c r="G20" s="24" t="str">
        <f aca="false">IFERROR(__xludf.dummyfunction("GOOGLETRANSLATE(C20,""en"",""or"")"),"ଜଳଚର ଉଦ୍ଭିଦର ଅତ୍ୟଧିକ ବୃଦ୍ଧି ନିୟନ୍ତ୍ରଣ କରିବା")</f>
        <v>ଜଳଚର ଉଦ୍ଭିଦର ଅତ୍ୟଧିକ ବୃଦ୍ଧି ନିୟନ୍ତ୍ରଣ କରିବା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customFormat="false" ht="13.5" hidden="false" customHeight="true" outlineLevel="0" collapsed="false">
      <c r="A21" s="5"/>
      <c r="B21" s="5"/>
      <c r="C21" s="5"/>
      <c r="D21" s="5"/>
      <c r="E21" s="5"/>
      <c r="F21" s="6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customFormat="false" ht="13.5" hidden="false" customHeight="true" outlineLevel="0" collapsed="false">
      <c r="A22" s="5" t="s">
        <v>272</v>
      </c>
      <c r="B22" s="5" t="s">
        <v>273</v>
      </c>
      <c r="C22" s="5" t="s">
        <v>274</v>
      </c>
      <c r="D22" s="4" t="s">
        <v>275</v>
      </c>
      <c r="E22" s="5" t="str">
        <f aca="false">IFERROR(__xludf.dummyfunction("GOOGLETRANSLATE(C22, ""en"", ""gu"")"),"બેડ લેવલીંગ")</f>
        <v>બેડ લેવલીંગ</v>
      </c>
      <c r="F22" s="5" t="s">
        <v>276</v>
      </c>
      <c r="G22" s="24" t="str">
        <f aca="false">IFERROR(__xludf.dummyfunction("GOOGLETRANSLATE(C22,""en"",""or"")"),"ବିଛଣା ସମତଳ କରିବା")</f>
        <v>ବିଛଣା ସମତଳ କରିବା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customFormat="false" ht="13.5" hidden="false" customHeight="true" outlineLevel="0" collapsed="false">
      <c r="A23" s="5" t="s">
        <v>272</v>
      </c>
      <c r="B23" s="5" t="s">
        <v>277</v>
      </c>
      <c r="C23" s="5" t="s">
        <v>278</v>
      </c>
      <c r="D23" s="4" t="s">
        <v>279</v>
      </c>
      <c r="E23" s="5" t="str">
        <f aca="false">IFERROR(__xludf.dummyfunction("GOOGLETRANSLATE(C23, ""en"", ""gu"")"),"અસ્તર સમારકામ")</f>
        <v>અસ્તર સમારકામ</v>
      </c>
      <c r="F23" s="5" t="s">
        <v>280</v>
      </c>
      <c r="G23" s="24" t="str">
        <f aca="false">IFERROR(__xludf.dummyfunction("GOOGLETRANSLATE(C23,""en"",""or"")"),"ଲାଇନିଂ ମରାମତି")</f>
        <v>ଲାଇନିଂ ମରାମତି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customFormat="false" ht="13.5" hidden="false" customHeight="true" outlineLevel="0" collapsed="false">
      <c r="A24" s="5" t="s">
        <v>272</v>
      </c>
      <c r="B24" s="5" t="s">
        <v>281</v>
      </c>
      <c r="C24" s="4" t="s">
        <v>282</v>
      </c>
      <c r="D24" s="4" t="s">
        <v>283</v>
      </c>
      <c r="E24" s="5" t="str">
        <f aca="false">IFERROR(__xludf.dummyfunction("GOOGLETRANSLATE(C24, ""en"", ""gu"")"),"પાણીના પ્રવાહને અવરોધતા કાટમાળ, વનસ્પતિ અથવા અન્ય અવરોધોને દૂર કરવા.")</f>
        <v>પાણીના પ્રવાહને અવરોધતા કાટમાળ, વનસ્પતિ અથવા અન્ય અવરોધોને દૂર કરવા.</v>
      </c>
      <c r="F24" s="5" t="s">
        <v>284</v>
      </c>
      <c r="G24" s="24" t="str">
        <f aca="false">IFERROR(__xludf.dummyfunction("GOOGLETRANSLATE(C24,""en"",""or"")"),"ଜଳ ପ୍ରବାହକୁ ବାଧା ଦେଉଥିବା ଅଳିଆ, ଗଛଲତା କିମ୍ବା ଅନ୍ୟାନ୍ୟ ପ୍ରତିବନ୍ଧକ ସଫା କରିବା")</f>
        <v>ଜଳ ପ୍ରବାହକୁ ବାଧା ଦେଉଥିବା ଅଳିଆ, ଗଛଲତା କିମ୍ବା ଅନ୍ୟାନ୍ୟ ପ୍ରତିବନ୍ଧକ ସଫା କରିବା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customFormat="false" ht="13.5" hidden="false" customHeight="true" outlineLevel="0" collapsed="false">
      <c r="A25" s="5" t="s">
        <v>272</v>
      </c>
      <c r="B25" s="5" t="s">
        <v>285</v>
      </c>
      <c r="C25" s="5" t="s">
        <v>286</v>
      </c>
      <c r="D25" s="4" t="s">
        <v>287</v>
      </c>
      <c r="E25" s="5" t="str">
        <f aca="false">IFERROR(__xludf.dummyfunction("GOOGLETRANSLATE(C25, ""en"", ""gu"")"),"દરવાજા અને વાલ્વની જાળવણી")</f>
        <v>દરવાજા અને વાલ્વની જાળવણી</v>
      </c>
      <c r="F25" s="5" t="s">
        <v>288</v>
      </c>
      <c r="G25" s="24" t="str">
        <f aca="false">IFERROR(__xludf.dummyfunction("GOOGLETRANSLATE(C25,""en"",""or"")"),"ଗେଟ୍ ଏବଂ ଭଲଭ୍ ରକ୍ଷଣାବେକ୍ଷଣ")</f>
        <v>ଗେଟ୍ ଏବଂ ଭଲଭ୍ ରକ୍ଷଣାବେକ୍ଷଣ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customFormat="false" ht="13.5" hidden="false" customHeight="true" outlineLevel="0" collapsed="false">
      <c r="A26" s="5"/>
      <c r="B26" s="5"/>
      <c r="C26" s="5"/>
      <c r="D26" s="5"/>
      <c r="E26" s="5"/>
      <c r="F26" s="6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customFormat="false" ht="13.5" hidden="false" customHeight="true" outlineLevel="0" collapsed="false">
      <c r="A27" s="5" t="s">
        <v>289</v>
      </c>
      <c r="B27" s="5" t="s">
        <v>290</v>
      </c>
      <c r="C27" s="4" t="s">
        <v>291</v>
      </c>
      <c r="D27" s="4" t="s">
        <v>292</v>
      </c>
      <c r="E27" s="4" t="str">
        <f aca="false">IFERROR(__xludf.dummyfunction("GOOGLETRANSLATE(C27, ""en"", ""gu"")"),"ધોવાણ અટકાવવા માટે નહેરના કિનારાઓને સ્થિર કરવા
")</f>
        <v>ધોવાણ અટકાવવા માટે નહેરના કિનારાઓને સ્થિર કરવા
</v>
      </c>
      <c r="F27" s="4" t="s">
        <v>293</v>
      </c>
      <c r="G27" s="4" t="str">
        <f aca="false">IFERROR(__xludf.dummyfunction("GOOGLETRANSLATE(C27,""en"",""or"")"),"କ୍ଷୟ ରୋକିବା ପାଇଁ କେନାଲ କୂଳକୁ ସ୍ଥିର କରିବା
")</f>
        <v>କ୍ଷୟ ରୋକିବା ପାଇଁ କେନାଲ କୂଳକୁ ସ୍ଥିର କରିବା
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customFormat="false" ht="13.5" hidden="false" customHeight="true" outlineLevel="0" collapsed="false">
      <c r="A28" s="5" t="s">
        <v>289</v>
      </c>
      <c r="B28" s="5" t="s">
        <v>277</v>
      </c>
      <c r="C28" s="5" t="s">
        <v>278</v>
      </c>
      <c r="D28" s="4" t="s">
        <v>279</v>
      </c>
      <c r="E28" s="5" t="str">
        <f aca="false">IFERROR(__xludf.dummyfunction("GOOGLETRANSLATE(C28, ""en"", ""gu"")"),"અસ્તર સમારકામ")</f>
        <v>અસ્તર સમારકામ</v>
      </c>
      <c r="F28" s="5" t="s">
        <v>280</v>
      </c>
      <c r="G28" s="24" t="str">
        <f aca="false">IFERROR(__xludf.dummyfunction("GOOGLETRANSLATE(C28,""en"",""or"")"),"ଲାଇନିଂ ମରାମତି")</f>
        <v>ଲାଇନିଂ ମରାମତି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customFormat="false" ht="13.5" hidden="false" customHeight="true" outlineLevel="0" collapsed="false">
      <c r="A29" s="5" t="s">
        <v>289</v>
      </c>
      <c r="B29" s="5" t="s">
        <v>294</v>
      </c>
      <c r="C29" s="5" t="s">
        <v>294</v>
      </c>
      <c r="D29" s="4" t="s">
        <v>295</v>
      </c>
      <c r="E29" s="5" t="str">
        <f aca="false">IFERROR(__xludf.dummyfunction("GOOGLETRANSLATE(C29, ""en"", ""gu"")"),"ડિસિલ્ટિંગ")</f>
        <v>ડિસિલ્ટિંગ</v>
      </c>
      <c r="F29" s="5" t="s">
        <v>296</v>
      </c>
      <c r="G29" s="24" t="str">
        <f aca="false">IFERROR(__xludf.dummyfunction("GOOGLETRANSLATE(C29,""en"",""or"")"),"ଡିସିଲ୍ଟିଂ")</f>
        <v>ଡିସିଲ୍ଟିଂ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customFormat="false" ht="13.5" hidden="false" customHeight="true" outlineLevel="0" collapsed="false">
      <c r="A30" s="5" t="s">
        <v>289</v>
      </c>
      <c r="B30" s="5" t="s">
        <v>297</v>
      </c>
      <c r="C30" s="5" t="s">
        <v>298</v>
      </c>
      <c r="D30" s="4" t="s">
        <v>299</v>
      </c>
      <c r="E30" s="5" t="str">
        <f aca="false">IFERROR(__xludf.dummyfunction("GOOGLETRANSLATE(C30, ""en"", ""gu"")"),"માળખાકીય સમારકામ")</f>
        <v>માળખાકીય સમારકામ</v>
      </c>
      <c r="F30" s="5" t="s">
        <v>300</v>
      </c>
      <c r="G30" s="24" t="str">
        <f aca="false">IFERROR(__xludf.dummyfunction("GOOGLETRANSLATE(C30,""en"",""or"")"),"ଗଠନମୂଳକ ମରାମତି")</f>
        <v>ଗଠନମୂଳକ ମରାମତି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customFormat="false" ht="13.5" hidden="false" customHeight="true" outlineLevel="0" collapsed="false">
      <c r="A31" s="5"/>
      <c r="B31" s="5"/>
      <c r="C31" s="5"/>
      <c r="D31" s="5"/>
      <c r="E31" s="5"/>
      <c r="F31" s="6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customFormat="false" ht="13.5" hidden="false" customHeight="true" outlineLevel="0" collapsed="false">
      <c r="A32" s="5" t="s">
        <v>301</v>
      </c>
      <c r="B32" s="8" t="s">
        <v>256</v>
      </c>
      <c r="C32" s="9" t="s">
        <v>257</v>
      </c>
      <c r="D32" s="9" t="s">
        <v>258</v>
      </c>
      <c r="E32" s="9" t="str">
        <f aca="false">IFERROR(__xludf.dummyfunction("GOOGLETRANSLATE(C32, ""en"", ""gu"")"),"ડી સિટલીંગ
")</f>
        <v>ડી સિટલીંગ
</v>
      </c>
      <c r="F32" s="6" t="s">
        <v>259</v>
      </c>
      <c r="G32" s="4" t="str">
        <f aca="false">IFERROR(__xludf.dummyfunction("GOOGLETRANSLATE(C32,""en"",""or"")"),"ଡି ସିଟଲିଂ
")</f>
        <v>ଡି ସିଟଲିଂ
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customFormat="false" ht="13.5" hidden="false" customHeight="true" outlineLevel="0" collapsed="false">
      <c r="A33" s="5" t="s">
        <v>301</v>
      </c>
      <c r="B33" s="4" t="s">
        <v>302</v>
      </c>
      <c r="C33" s="4" t="s">
        <v>303</v>
      </c>
      <c r="D33" s="4" t="s">
        <v>304</v>
      </c>
      <c r="E33" s="5" t="str">
        <f aca="false">IFERROR(__xludf.dummyfunction("GOOGLETRANSLATE(C33, ""en"", ""gu"")"),"પાળાઓમાં તિરાડો અથવા નુકસાનનું સમારકામ")</f>
        <v>પાળાઓમાં તિરાડો અથવા નુકસાનનું સમારકામ</v>
      </c>
      <c r="F33" s="5" t="s">
        <v>305</v>
      </c>
      <c r="G33" s="24" t="str">
        <f aca="false">IFERROR(__xludf.dummyfunction("GOOGLETRANSLATE(C33,""en"",""or"")"),"ବନ୍ଧରେ ଫାଟ କିମ୍ବା କ୍ଷତି ମରାମତି")</f>
        <v>ବନ୍ଧରେ ଫାଟ କିମ୍ବା କ୍ଷତି ମରାମତି</v>
      </c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customFormat="false" ht="13.5" hidden="false" customHeight="true" outlineLevel="0" collapsed="false">
      <c r="A34" s="5" t="s">
        <v>301</v>
      </c>
      <c r="B34" s="4" t="s">
        <v>306</v>
      </c>
      <c r="C34" s="4" t="s">
        <v>307</v>
      </c>
      <c r="D34" s="4" t="s">
        <v>308</v>
      </c>
      <c r="E34" s="5" t="str">
        <f aca="false">IFERROR(__xludf.dummyfunction("GOOGLETRANSLATE(C34, ""en"", ""gu"")"),"તળાવના તળિયામાં પાણીના ઝમણ અથવા લીકેજનું નિયંત્રણ")</f>
        <v>તળાવના તળિયામાં પાણીના ઝમણ અથવા લીકેજનું નિયંત્રણ</v>
      </c>
      <c r="F34" s="5" t="s">
        <v>309</v>
      </c>
      <c r="G34" s="24" t="str">
        <f aca="false">IFERROR(__xludf.dummyfunction("GOOGLETRANSLATE(C34,""en"",""or"")"),"ପୋଖରୀ ତଳିରେ ଜଳ ସ୍ରୋତ କିମ୍ବା ଲିକ୍ ନିୟନ୍ତ୍ରଣ କରିବା")</f>
        <v>ପୋଖରୀ ତଳିରେ ଜଳ ସ୍ରୋତ କିମ୍ବା ଲିକ୍ ନିୟନ୍ତ୍ରଣ କରିବା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customFormat="false" ht="13.5" hidden="false" customHeight="true" outlineLevel="0" collapsed="false">
      <c r="A35" s="5" t="s">
        <v>301</v>
      </c>
      <c r="B35" s="4" t="s">
        <v>310</v>
      </c>
      <c r="C35" s="4" t="s">
        <v>311</v>
      </c>
      <c r="D35" s="4" t="s">
        <v>312</v>
      </c>
      <c r="E35" s="5" t="str">
        <f aca="false">IFERROR(__xludf.dummyfunction("GOOGLETRANSLATE(C35, ""en"", ""gu"")"),"પાળા પર ધોવાણ નિયંત્રણ")</f>
        <v>પાળા પર ધોવાણ નિયંત્રણ</v>
      </c>
      <c r="F35" s="5" t="s">
        <v>313</v>
      </c>
      <c r="G35" s="24" t="str">
        <f aca="false">IFERROR(__xludf.dummyfunction("GOOGLETRANSLATE(C35,""en"",""or"")"),"ବନ୍ଧ ଉପରେ କ୍ଷୟ ନିୟନ୍ତ୍ରଣ")</f>
        <v>ବନ୍ଧ ଉପରେ କ୍ଷୟ ନିୟନ୍ତ୍ରଣ</v>
      </c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customFormat="false" ht="13.5" hidden="false" customHeight="true" outlineLevel="0" collapsed="false">
      <c r="A36" s="5" t="s">
        <v>301</v>
      </c>
      <c r="B36" s="4" t="s">
        <v>314</v>
      </c>
      <c r="C36" s="4" t="s">
        <v>315</v>
      </c>
      <c r="D36" s="4" t="s">
        <v>316</v>
      </c>
      <c r="E36" s="5" t="str">
        <f aca="false">IFERROR(__xludf.dummyfunction("GOOGLETRANSLATE(C36, ""en"", ""gu"")"),"અતિશય જળચર વનસ્પતિ વૃદ્ધિને સંબોધિત કરવી")</f>
        <v>અતિશય જળચર વનસ્પતિ વૃદ્ધિને સંબોધિત કરવી</v>
      </c>
      <c r="F36" s="5" t="s">
        <v>317</v>
      </c>
      <c r="G36" s="24" t="str">
        <f aca="false">IFERROR(__xludf.dummyfunction("GOOGLETRANSLATE(C36,""en"",""or"")"),"ଅତ୍ୟଧିକ ଜଳଚର ଉଦ୍ଭିଦ ବୃଦ୍ଧିକୁ ସମାଧାନ କରିବା")</f>
        <v>ଅତ୍ୟଧିକ ଜଳଚର ଉଦ୍ଭିଦ ବୃଦ୍ଧିକୁ ସମାଧାନ କରିବା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customFormat="false" ht="13.5" hidden="false" customHeight="true" outlineLevel="0" collapsed="false">
      <c r="A37" s="5"/>
      <c r="B37" s="5"/>
      <c r="C37" s="5"/>
      <c r="D37" s="5"/>
      <c r="E37" s="5"/>
      <c r="F37" s="6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customFormat="false" ht="13.5" hidden="false" customHeight="true" outlineLevel="0" collapsed="false">
      <c r="A38" s="5" t="s">
        <v>318</v>
      </c>
      <c r="B38" s="8" t="s">
        <v>256</v>
      </c>
      <c r="C38" s="9" t="s">
        <v>257</v>
      </c>
      <c r="D38" s="9" t="s">
        <v>258</v>
      </c>
      <c r="E38" s="9" t="str">
        <f aca="false">IFERROR(__xludf.dummyfunction("GOOGLETRANSLATE(C38, ""en"", ""gu"")"),"ડી સિટલીંગ
")</f>
        <v>ડી સિટલીંગ
</v>
      </c>
      <c r="F38" s="6" t="s">
        <v>259</v>
      </c>
      <c r="G38" s="4" t="str">
        <f aca="false">IFERROR(__xludf.dummyfunction("GOOGLETRANSLATE(C38,""en"",""or"")"),"ଡି ସିଟଲିଂ
")</f>
        <v>ଡି ସିଟଲିଂ
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customFormat="false" ht="13.5" hidden="false" customHeight="true" outlineLevel="0" collapsed="false">
      <c r="A39" s="5" t="s">
        <v>318</v>
      </c>
      <c r="B39" s="4" t="s">
        <v>260</v>
      </c>
      <c r="C39" s="4" t="s">
        <v>261</v>
      </c>
      <c r="D39" s="4" t="s">
        <v>262</v>
      </c>
      <c r="E39" s="5" t="str">
        <f aca="false">IFERROR(__xludf.dummyfunction("GOOGLETRANSLATE(C39, ""en"", ""gu"")"),"દરિયાકાંઠાના ધોવાણ નિયંત્રણ")</f>
        <v>દરિયાકાંઠાના ધોવાણ નિયંત્રણ</v>
      </c>
      <c r="F39" s="5" t="s">
        <v>263</v>
      </c>
      <c r="G39" s="24" t="str">
        <f aca="false">IFERROR(__xludf.dummyfunction("GOOGLETRANSLATE(C39,""en"",""or"")"),"କୂଳ କ୍ଷୟ ନିୟନ୍ତ୍ରଣ")</f>
        <v>କୂଳ କ୍ଷୟ ନିୟନ୍ତ୍ରଣ</v>
      </c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customFormat="false" ht="13.5" hidden="false" customHeight="true" outlineLevel="0" collapsed="false">
      <c r="A40" s="5" t="s">
        <v>318</v>
      </c>
      <c r="B40" s="4" t="s">
        <v>302</v>
      </c>
      <c r="C40" s="4" t="s">
        <v>303</v>
      </c>
      <c r="D40" s="4" t="s">
        <v>319</v>
      </c>
      <c r="E40" s="5" t="str">
        <f aca="false">IFERROR(__xludf.dummyfunction("GOOGLETRANSLATE(C40, ""en"", ""gu"")"),"પાળાઓમાં તિરાડો અથવા નુકસાનનું સમારકામ")</f>
        <v>પાળાઓમાં તિરાડો અથવા નુકસાનનું સમારકામ</v>
      </c>
      <c r="F40" s="5" t="s">
        <v>305</v>
      </c>
      <c r="G40" s="24" t="str">
        <f aca="false">IFERROR(__xludf.dummyfunction("GOOGLETRANSLATE(C40,""en"",""or"")"),"ବନ୍ଧରେ ଫାଟ କିମ୍ବା କ୍ଷତି ମରାମତି")</f>
        <v>ବନ୍ଧରେ ଫାଟ କିମ୍ବା କ୍ଷତି ମରାମତି</v>
      </c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customFormat="false" ht="13.5" hidden="false" customHeight="true" outlineLevel="0" collapsed="false">
      <c r="A41" s="5" t="s">
        <v>318</v>
      </c>
      <c r="B41" s="4" t="s">
        <v>320</v>
      </c>
      <c r="C41" s="4" t="s">
        <v>321</v>
      </c>
      <c r="D41" s="4" t="s">
        <v>316</v>
      </c>
      <c r="E41" s="5" t="str">
        <f aca="false">IFERROR(__xludf.dummyfunction("GOOGLETRANSLATE(C41, ""en"", ""gu"")"),"અતિશય જળચર વનસ્પતિ વૃદ્ધિને નિયંત્રિત કરવી")</f>
        <v>અતિશય જળચર વનસ્પતિ વૃદ્ધિને નિયંત્રિત કરવી</v>
      </c>
      <c r="F41" s="5" t="s">
        <v>322</v>
      </c>
      <c r="G41" s="24" t="str">
        <f aca="false">IFERROR(__xludf.dummyfunction("GOOGLETRANSLATE(C41,""en"",""or"")"),"ଅତ୍ୟଧିକ ଜଳୀୟ ଉଦ୍ଭିଦ ବୃଦ୍ଧିକୁ ନିୟନ୍ତ୍ରଣ କରିବା")</f>
        <v>ଅତ୍ୟଧିକ ଜଳୀୟ ଉଦ୍ଭିଦ ବୃଦ୍ଧିକୁ ନିୟନ୍ତ୍ରଣ କରିବା</v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customFormat="false" ht="13.5" hidden="false" customHeight="true" outlineLevel="0" collapsed="false">
      <c r="A42" s="5" t="s">
        <v>318</v>
      </c>
      <c r="B42" s="4" t="s">
        <v>323</v>
      </c>
      <c r="C42" s="4" t="s">
        <v>324</v>
      </c>
      <c r="D42" s="4" t="s">
        <v>325</v>
      </c>
      <c r="E42" s="5" t="str">
        <f aca="false">IFERROR(__xludf.dummyfunction("GOOGLETRANSLATE(C42, ""en"", ""gu"")"),"ઇનલેટ/આઉટલેટ સ્ટ્રક્ચર્સનું સમારકામ અથવા સફાઈ")</f>
        <v>ઇનલેટ/આઉટલેટ સ્ટ્રક્ચર્સનું સમારકામ અથવા સફાઈ</v>
      </c>
      <c r="F42" s="5" t="s">
        <v>326</v>
      </c>
      <c r="G42" s="24" t="str">
        <f aca="false">IFERROR(__xludf.dummyfunction("GOOGLETRANSLATE(C42,""en"",""or"")"),"ପ୍ରବେଶ/ନିର୍ବାହୀ ଢାଞ୍ଚାର ମରାମତି କିମ୍ବା ସଫା କରିବା")</f>
        <v>ପ୍ରବେଶ/ନିର୍ବାହୀ ଢାଞ୍ଚାର ମରାମତି କିମ୍ବା ସଫା କରିବା</v>
      </c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customFormat="false" ht="13.5" hidden="false" customHeight="true" outlineLevel="0" collapsed="false">
      <c r="A43" s="5"/>
      <c r="B43" s="5"/>
      <c r="C43" s="5"/>
      <c r="D43" s="5"/>
      <c r="E43" s="5"/>
      <c r="F43" s="6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customFormat="false" ht="13.5" hidden="false" customHeight="true" outlineLevel="0" collapsed="false">
      <c r="A44" s="5" t="s">
        <v>327</v>
      </c>
      <c r="B44" s="4" t="s">
        <v>328</v>
      </c>
      <c r="C44" s="4" t="s">
        <v>329</v>
      </c>
      <c r="D44" s="4" t="s">
        <v>330</v>
      </c>
      <c r="E44" s="5" t="str">
        <f aca="false">IFERROR(__xludf.dummyfunction("GOOGLETRANSLATE(C44, ""en"", ""gu"")"),"ચેક ડેમ પર ધોવાણ")</f>
        <v>ચેક ડેમ પર ધોવાણ</v>
      </c>
      <c r="F44" s="5" t="s">
        <v>331</v>
      </c>
      <c r="G44" s="24" t="str">
        <f aca="false">IFERROR(__xludf.dummyfunction("GOOGLETRANSLATE(C44,""en"",""or"")"),"ଚେକ୍ ଡ୍ୟାମରେ କ୍ଷୟ")</f>
        <v>ଚେକ୍ ଡ୍ୟାମରେ କ୍ଷୟ</v>
      </c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customFormat="false" ht="13.5" hidden="false" customHeight="true" outlineLevel="0" collapsed="false">
      <c r="A45" s="5" t="s">
        <v>327</v>
      </c>
      <c r="B45" s="8" t="s">
        <v>256</v>
      </c>
      <c r="C45" s="9" t="s">
        <v>257</v>
      </c>
      <c r="D45" s="9" t="s">
        <v>258</v>
      </c>
      <c r="E45" s="9" t="str">
        <f aca="false">IFERROR(__xludf.dummyfunction("GOOGLETRANSLATE(C45, ""en"", ""gu"")"),"ડી સિટલીંગ
")</f>
        <v>ડી સિટલીંગ
</v>
      </c>
      <c r="F45" s="6" t="s">
        <v>259</v>
      </c>
      <c r="G45" s="4" t="str">
        <f aca="false">IFERROR(__xludf.dummyfunction("GOOGLETRANSLATE(C45,""en"",""or"")"),"ଡି ସିଟଲିଂ
")</f>
        <v>ଡି ସିଟଲିଂ
</v>
      </c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customFormat="false" ht="13.5" hidden="false" customHeight="true" outlineLevel="0" collapsed="false">
      <c r="A46" s="5" t="s">
        <v>327</v>
      </c>
      <c r="B46" s="4" t="s">
        <v>332</v>
      </c>
      <c r="C46" s="4" t="s">
        <v>333</v>
      </c>
      <c r="D46" s="4" t="s">
        <v>334</v>
      </c>
      <c r="E46" s="5" t="str">
        <f aca="false">IFERROR(__xludf.dummyfunction("GOOGLETRANSLATE(C46, ""en"", ""gu"")"),"ચેક ડેમ પર માળખાકીય નુકસાન")</f>
        <v>ચેક ડેમ પર માળખાકીય નુકસાન</v>
      </c>
      <c r="F46" s="5" t="s">
        <v>335</v>
      </c>
      <c r="G46" s="24" t="str">
        <f aca="false">IFERROR(__xludf.dummyfunction("GOOGLETRANSLATE(C46,""en"",""or"")"),"ଚେକ୍ ଡ୍ୟାମରେ ନିର୍ମାଣଗତ କ୍ଷତି")</f>
        <v>ଚେକ୍ ଡ୍ୟାମରେ ନିର୍ମାଣଗତ କ୍ଷତି</v>
      </c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customFormat="false" ht="13.5" hidden="false" customHeight="true" outlineLevel="0" collapsed="false">
      <c r="A47" s="5"/>
      <c r="B47" s="5"/>
      <c r="C47" s="5"/>
      <c r="D47" s="5"/>
      <c r="E47" s="5"/>
      <c r="F47" s="6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customFormat="false" ht="13.5" hidden="false" customHeight="true" outlineLevel="0" collapsed="false">
      <c r="A48" s="5" t="s">
        <v>336</v>
      </c>
      <c r="B48" s="8" t="s">
        <v>256</v>
      </c>
      <c r="C48" s="9" t="s">
        <v>257</v>
      </c>
      <c r="D48" s="9" t="s">
        <v>258</v>
      </c>
      <c r="E48" s="9" t="str">
        <f aca="false">IFERROR(__xludf.dummyfunction("GOOGLETRANSLATE(C48, ""en"", ""gu"")"),"ડી સિટલીંગ
")</f>
        <v>ડી સિટલીંગ
</v>
      </c>
      <c r="F48" s="6" t="s">
        <v>259</v>
      </c>
      <c r="G48" s="4" t="str">
        <f aca="false">IFERROR(__xludf.dummyfunction("GOOGLETRANSLATE(C48,""en"",""or"")"),"ଡି ସିଟଲିଂ
")</f>
        <v>ଡି ସିଟଲିଂ
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customFormat="false" ht="13.5" hidden="false" customHeight="true" outlineLevel="0" collapsed="false">
      <c r="A49" s="5" t="s">
        <v>336</v>
      </c>
      <c r="B49" s="4" t="s">
        <v>337</v>
      </c>
      <c r="C49" s="4" t="s">
        <v>338</v>
      </c>
      <c r="D49" s="4" t="s">
        <v>339</v>
      </c>
      <c r="E49" s="5" t="str">
        <f aca="false">IFERROR(__xludf.dummyfunction("GOOGLETRANSLATE(C49, ""en"", ""gu"")"),"પાળાઓમાં ભંગાણ")</f>
        <v>પાળાઓમાં ભંગાણ</v>
      </c>
      <c r="F49" s="5" t="s">
        <v>340</v>
      </c>
      <c r="G49" s="24" t="str">
        <f aca="false">IFERROR(__xludf.dummyfunction("GOOGLETRANSLATE(C49,""en"",""or"")"),"ବନ୍ଧରେ ଫାଟ")</f>
        <v>ବନ୍ଧରେ ଫାଟ</v>
      </c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customFormat="false" ht="13.5" hidden="false" customHeight="true" outlineLevel="0" collapsed="false">
      <c r="A50" s="5" t="s">
        <v>336</v>
      </c>
      <c r="B50" s="4" t="s">
        <v>341</v>
      </c>
      <c r="C50" s="4" t="s">
        <v>342</v>
      </c>
      <c r="D50" s="4" t="s">
        <v>343</v>
      </c>
      <c r="E50" s="5" t="str">
        <f aca="false">IFERROR(__xludf.dummyfunction("GOOGLETRANSLATE(C50, ""en"", ""gu"")"),"ટાંકીના બંધ અથવા ઇનલેટ/આઉટલેટ પર ધોવાણ")</f>
        <v>ટાંકીના બંધ અથવા ઇનલેટ/આઉટલેટ પર ધોવાણ</v>
      </c>
      <c r="F50" s="5" t="s">
        <v>344</v>
      </c>
      <c r="G50" s="24" t="str">
        <f aca="false">IFERROR(__xludf.dummyfunction("GOOGLETRANSLATE(C50,""en"",""or"")"),"ଟ୍ୟାଙ୍କ ବନ୍ଧ କିମ୍ବା ପ୍ରବେଶ/ନିର୍ମାଣ ସ୍ଥାନରେ କ୍ଷୟ")</f>
        <v>ଟ୍ୟାଙ୍କ ବନ୍ଧ କିମ୍ବା ପ୍ରବେଶ/ନିର୍ମାଣ ସ୍ଥାନରେ କ୍ଷୟ</v>
      </c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customFormat="false" ht="13.5" hidden="false" customHeight="true" outlineLevel="0" collapsed="false">
      <c r="A51" s="5" t="s">
        <v>336</v>
      </c>
      <c r="B51" s="4" t="s">
        <v>345</v>
      </c>
      <c r="C51" s="4" t="s">
        <v>346</v>
      </c>
      <c r="D51" s="4" t="s">
        <v>347</v>
      </c>
      <c r="E51" s="5" t="str">
        <f aca="false">IFERROR(__xludf.dummyfunction("GOOGLETRANSLATE(C51, ""en"", ""gu"")"),"વનસ્પતિ વૃદ્ધિ પાણીના પ્રવેશને અવરોધે છે")</f>
        <v>વનસ્પતિ વૃદ્ધિ પાણીના પ્રવેશને અવરોધે છે</v>
      </c>
      <c r="F51" s="5" t="s">
        <v>348</v>
      </c>
      <c r="G51" s="24" t="str">
        <f aca="false">IFERROR(__xludf.dummyfunction("GOOGLETRANSLATE(C51,""en"",""or"")"),"ପାଣି ପ୍ରବେଶକୁ ବାଧା ଦେଉଥିବା ଗଛଲତା ବୃଦ୍ଧି")</f>
        <v>ପାଣି ପ୍ରବେଶକୁ ବାଧା ଦେଉଥିବା ଗଛଲତା ବୃଦ୍ଧି</v>
      </c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customFormat="false" ht="13.5" hidden="false" customHeight="true" outlineLevel="0" collapsed="false">
      <c r="A52" s="5" t="s">
        <v>336</v>
      </c>
      <c r="B52" s="4" t="s">
        <v>349</v>
      </c>
      <c r="C52" s="4" t="s">
        <v>350</v>
      </c>
      <c r="D52" s="4" t="s">
        <v>351</v>
      </c>
      <c r="E52" s="5" t="str">
        <f aca="false">IFERROR(__xludf.dummyfunction("GOOGLETRANSLATE(C52, ""en"", ""gu"")"),"સ્પીલવે અથવા આઉટલેટ સ્ટ્રક્ચરને નુકસાન")</f>
        <v>સ્પીલવે અથવા આઉટલેટ સ્ટ્રક્ચરને નુકસાન</v>
      </c>
      <c r="F52" s="5" t="s">
        <v>352</v>
      </c>
      <c r="G52" s="24" t="str">
        <f aca="false">IFERROR(__xludf.dummyfunction("GOOGLETRANSLATE(C52,""en"",""or"")"),"ସ୍ପିଲୱେ କିମ୍ବା ଆଉଟଲେଟ୍ ସଂରଚନାର କ୍ଷତି")</f>
        <v>ସ୍ପିଲୱେ କିମ୍ବା ଆଉଟଲେଟ୍ ସଂରଚନାର କ୍ଷତି</v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customFormat="false" ht="13.5" hidden="false" customHeight="true" outlineLevel="0" collapsed="false">
      <c r="A53" s="5"/>
      <c r="B53" s="5"/>
      <c r="C53" s="5"/>
      <c r="D53" s="5"/>
      <c r="E53" s="5"/>
      <c r="F53" s="6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customFormat="false" ht="13.5" hidden="false" customHeight="true" outlineLevel="0" collapsed="false">
      <c r="A54" s="5" t="s">
        <v>353</v>
      </c>
      <c r="B54" s="4" t="s">
        <v>354</v>
      </c>
      <c r="C54" s="4" t="s">
        <v>355</v>
      </c>
      <c r="D54" s="4" t="s">
        <v>356</v>
      </c>
      <c r="E54" s="5" t="str">
        <f aca="false">IFERROR(__xludf.dummyfunction("GOOGLETRANSLATE(C54, ""en"", ""gu"")"),"ખસી ગયેલા પથ્થરો")</f>
        <v>ખસી ગયેલા પથ્થરો</v>
      </c>
      <c r="F54" s="5" t="s">
        <v>357</v>
      </c>
      <c r="G54" s="24" t="str">
        <f aca="false">IFERROR(__xludf.dummyfunction("GOOGLETRANSLATE(C54,""en"",""or"")"),"ଖସଡ଼ାଯାଇଥିବା ପଥରଗୁଡ଼ିକ")</f>
        <v>ଖସଡ଼ାଯାଇଥିବା ପଥରଗୁଡ଼ିକ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customFormat="false" ht="13.5" hidden="false" customHeight="true" outlineLevel="0" collapsed="false">
      <c r="A55" s="5" t="s">
        <v>353</v>
      </c>
      <c r="B55" s="4" t="s">
        <v>358</v>
      </c>
      <c r="C55" s="4" t="s">
        <v>358</v>
      </c>
      <c r="D55" s="4" t="s">
        <v>359</v>
      </c>
      <c r="E55" s="5" t="str">
        <f aca="false">IFERROR(__xludf.dummyfunction("GOOGLETRANSLATE(C55, ""en"", ""gu"")"),"ગ્રાઉટિંગ")</f>
        <v>ગ્રાઉટિંગ</v>
      </c>
      <c r="F55" s="5" t="s">
        <v>360</v>
      </c>
      <c r="G55" s="24" t="str">
        <f aca="false">IFERROR(__xludf.dummyfunction("GOOGLETRANSLATE(C55,""en"",""or"")"),"ଗ୍ରାଉଟିଂ")</f>
        <v>ଗ୍ରାଉଟିଂ</v>
      </c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customFormat="false" ht="13.5" hidden="false" customHeight="true" outlineLevel="0" collapsed="false">
      <c r="A56" s="5" t="s">
        <v>353</v>
      </c>
      <c r="B56" s="4" t="s">
        <v>361</v>
      </c>
      <c r="C56" s="4" t="s">
        <v>362</v>
      </c>
      <c r="D56" s="4" t="s">
        <v>363</v>
      </c>
      <c r="E56" s="5" t="str">
        <f aca="false">IFERROR(__xludf.dummyfunction("GOOGLETRANSLATE(C56, ""en"", ""gu"")"),"પથ્થરની રચનાની આસપાસ ધોવાણ")</f>
        <v>પથ્થરની રચનાની આસપાસ ધોવાણ</v>
      </c>
      <c r="F56" s="5" t="s">
        <v>364</v>
      </c>
      <c r="G56" s="24" t="str">
        <f aca="false">IFERROR(__xludf.dummyfunction("GOOGLETRANSLATE(C56,""en"",""or"")"),"ପଥର ଗଠନ ଚାରିପାଖରେ କ୍ଷୟ")</f>
        <v>ପଥର ଗଠନ ଚାରିପାଖରେ କ୍ଷୟ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customFormat="false" ht="13.5" hidden="false" customHeight="true" outlineLevel="0" collapsed="false">
      <c r="A57" s="5"/>
      <c r="B57" s="5"/>
      <c r="C57" s="5"/>
      <c r="D57" s="5"/>
      <c r="E57" s="5"/>
      <c r="F57" s="6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customFormat="false" ht="13.5" hidden="false" customHeight="true" outlineLevel="0" collapsed="false">
      <c r="A58" s="5" t="s">
        <v>365</v>
      </c>
      <c r="B58" s="8" t="s">
        <v>256</v>
      </c>
      <c r="C58" s="9" t="s">
        <v>257</v>
      </c>
      <c r="D58" s="9" t="s">
        <v>258</v>
      </c>
      <c r="E58" s="9" t="str">
        <f aca="false">IFERROR(__xludf.dummyfunction("GOOGLETRANSLATE(C58, ""en"", ""gu"")"),"ડી સિટલીંગ
")</f>
        <v>ડી સિટલીંગ
</v>
      </c>
      <c r="F58" s="6" t="s">
        <v>259</v>
      </c>
      <c r="G58" s="4" t="str">
        <f aca="false">IFERROR(__xludf.dummyfunction("GOOGLETRANSLATE(C58,""en"",""or"")"),"ଡି ସିଟଲିଂ
")</f>
        <v>ଡି ସିଟଲିଂ
</v>
      </c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customFormat="false" ht="13.5" hidden="false" customHeight="true" outlineLevel="0" collapsed="false">
      <c r="A59" s="5" t="s">
        <v>365</v>
      </c>
      <c r="B59" s="4" t="s">
        <v>366</v>
      </c>
      <c r="C59" s="4" t="s">
        <v>367</v>
      </c>
      <c r="D59" s="4" t="s">
        <v>368</v>
      </c>
      <c r="E59" s="5" t="str">
        <f aca="false">IFERROR(__xludf.dummyfunction("GOOGLETRANSLATE(C59, ""en"", ""gu"")"),"છૂટા પડેલા અથવા છૂટા પડેલા ખડકો")</f>
        <v>છૂટા પડેલા અથવા છૂટા પડેલા ખડકો</v>
      </c>
      <c r="F59" s="5" t="s">
        <v>369</v>
      </c>
      <c r="G59" s="24" t="str">
        <f aca="false">IFERROR(__xludf.dummyfunction("GOOGLETRANSLATE(C59,""en"",""or"")"),"ଖାଲି କିମ୍ବା ଢିଲା ପଥର")</f>
        <v>ଖାଲି କିମ୍ବା ଢିଲା ପଥର</v>
      </c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customFormat="false" ht="13.5" hidden="false" customHeight="true" outlineLevel="0" collapsed="false">
      <c r="A60" s="5" t="s">
        <v>365</v>
      </c>
      <c r="B60" s="4" t="s">
        <v>370</v>
      </c>
      <c r="C60" s="4" t="s">
        <v>371</v>
      </c>
      <c r="D60" s="4" t="s">
        <v>372</v>
      </c>
      <c r="E60" s="5" t="str">
        <f aca="false">IFERROR(__xludf.dummyfunction("GOOGLETRANSLATE(C60, ""en"", ""gu"")"),"બંધના માળખાની આસપાસ અથવા નીચે ધોવાણ")</f>
        <v>બંધના માળખાની આસપાસ અથવા નીચે ધોવાણ</v>
      </c>
      <c r="F60" s="5" t="s">
        <v>373</v>
      </c>
      <c r="G60" s="24" t="str">
        <f aca="false">IFERROR(__xludf.dummyfunction("GOOGLETRANSLATE(C60,""en"",""or"")"),"ନଦୀବନ୍ଧ ଗଠନ ଚାରିପାଖରେ କିମ୍ବା ତଳେ କ୍ଷୟ")</f>
        <v>ନଦୀବନ୍ଧ ଗଠନ ଚାରିପାଖରେ କିମ୍ବା ତଳେ କ୍ଷୟ</v>
      </c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customFormat="false" ht="13.5" hidden="false" customHeight="true" outlineLevel="0" collapsed="false">
      <c r="A61" s="5"/>
      <c r="B61" s="5"/>
      <c r="C61" s="5"/>
      <c r="D61" s="5"/>
      <c r="E61" s="5"/>
      <c r="F61" s="6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customFormat="false" ht="13.5" hidden="false" customHeight="true" outlineLevel="0" collapsed="false">
      <c r="A62" s="5" t="s">
        <v>374</v>
      </c>
      <c r="B62" s="8" t="s">
        <v>256</v>
      </c>
      <c r="C62" s="9" t="s">
        <v>257</v>
      </c>
      <c r="D62" s="9" t="s">
        <v>258</v>
      </c>
      <c r="E62" s="9" t="str">
        <f aca="false">IFERROR(__xludf.dummyfunction("GOOGLETRANSLATE(C62, ""en"", ""gu"")"),"ડી સિટલીંગ
")</f>
        <v>ડી સિટલીંગ
</v>
      </c>
      <c r="F62" s="6" t="s">
        <v>259</v>
      </c>
      <c r="G62" s="4" t="str">
        <f aca="false">IFERROR(__xludf.dummyfunction("GOOGLETRANSLATE(C62,""en"",""or"")"),"ଡି ସିଟଲିଂ
")</f>
        <v>ଡି ସିଟଲିଂ
</v>
      </c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customFormat="false" ht="13.5" hidden="false" customHeight="true" outlineLevel="0" collapsed="false">
      <c r="A63" s="5" t="s">
        <v>374</v>
      </c>
      <c r="B63" s="4" t="s">
        <v>375</v>
      </c>
      <c r="C63" s="4" t="s">
        <v>376</v>
      </c>
      <c r="D63" s="4" t="s">
        <v>377</v>
      </c>
      <c r="E63" s="5" t="str">
        <f aca="false">IFERROR(__xludf.dummyfunction("GOOGLETRANSLATE(C63, ""en"", ""gu"")"),"પાળામાં ભંગાણ અથવા લીકેજ")</f>
        <v>પાળામાં ભંગાણ અથવા લીકેજ</v>
      </c>
      <c r="F63" s="5" t="s">
        <v>378</v>
      </c>
      <c r="G63" s="24" t="str">
        <f aca="false">IFERROR(__xludf.dummyfunction("GOOGLETRANSLATE(C63,""en"",""or"")"),"ନଦୀବନ୍ଧରେ ଫାଟ କିମ୍ବା ପାଣି ଲିକ୍ ହେବା")</f>
        <v>ନଦୀବନ୍ଧରେ ଫାଟ କିମ୍ବା ପାଣି ଲିକ୍ ହେବା</v>
      </c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customFormat="false" ht="13.5" hidden="false" customHeight="true" outlineLevel="0" collapsed="false">
      <c r="A64" s="5" t="s">
        <v>374</v>
      </c>
      <c r="B64" s="4" t="s">
        <v>379</v>
      </c>
      <c r="C64" s="4" t="s">
        <v>380</v>
      </c>
      <c r="D64" s="4" t="s">
        <v>381</v>
      </c>
      <c r="E64" s="5" t="str">
        <f aca="false">IFERROR(__xludf.dummyfunction("GOOGLETRANSLATE(C64, ""en"", ""gu"")"),"બાજુઓ અથવા પાયા પર ધોવાણ")</f>
        <v>બાજુઓ અથવા પાયા પર ધોવાણ</v>
      </c>
      <c r="F64" s="5" t="s">
        <v>382</v>
      </c>
      <c r="G64" s="24" t="str">
        <f aca="false">IFERROR(__xludf.dummyfunction("GOOGLETRANSLATE(C64,""en"",""or"")"),"ପାର୍ଶ୍ୱ କିମ୍ବା ମୂଳରେ କ୍ଷୟ")</f>
        <v>ପାର୍ଶ୍ୱ କିମ୍ବା ମୂଳରେ କ୍ଷୟ</v>
      </c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customFormat="false" ht="13.5" hidden="false" customHeight="true" outlineLevel="0" collapsed="false">
      <c r="A65" s="5"/>
      <c r="B65" s="5"/>
      <c r="C65" s="5"/>
      <c r="D65" s="5"/>
      <c r="E65" s="5"/>
      <c r="F65" s="6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customFormat="false" ht="13.5" hidden="false" customHeight="true" outlineLevel="0" collapsed="false">
      <c r="A66" s="5" t="s">
        <v>383</v>
      </c>
      <c r="B66" s="8" t="s">
        <v>256</v>
      </c>
      <c r="C66" s="9" t="s">
        <v>257</v>
      </c>
      <c r="D66" s="9" t="s">
        <v>258</v>
      </c>
      <c r="E66" s="9" t="str">
        <f aca="false">IFERROR(__xludf.dummyfunction("GOOGLETRANSLATE(C66, ""en"", ""gu"")"),"ડી સિટલીંગ
")</f>
        <v>ડી સિટલીંગ
</v>
      </c>
      <c r="F66" s="6" t="s">
        <v>259</v>
      </c>
      <c r="G66" s="4" t="str">
        <f aca="false">IFERROR(__xludf.dummyfunction("GOOGLETRANSLATE(C66,""en"",""or"")"),"ଡି ସିଟଲିଂ
")</f>
        <v>ଡି ସିଟଲିଂ
</v>
      </c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customFormat="false" ht="13.5" hidden="false" customHeight="true" outlineLevel="0" collapsed="false">
      <c r="A67" s="5" t="s">
        <v>383</v>
      </c>
      <c r="B67" s="4" t="s">
        <v>384</v>
      </c>
      <c r="C67" s="4" t="s">
        <v>385</v>
      </c>
      <c r="D67" s="4" t="s">
        <v>386</v>
      </c>
      <c r="E67" s="5" t="str">
        <f aca="false">IFERROR(__xludf.dummyfunction("GOOGLETRANSLATE(C67, ""en"", ""gu"")"),"બંધન અથવા માળખાની દિવાલોમાં ભંગાણ")</f>
        <v>બંધન અથવા માળખાની દિવાલોમાં ભંગાણ</v>
      </c>
      <c r="F67" s="5" t="s">
        <v>387</v>
      </c>
      <c r="G67" s="24" t="str">
        <f aca="false">IFERROR(__xludf.dummyfunction("GOOGLETRANSLATE(C67,""en"",""or"")"),"ବାଣ୍ଡିଂ କିମ୍ବା ଗଠନ କାନ୍ଥରେ ଫାଟ")</f>
        <v>ବାଣ୍ଡିଂ କିମ୍ବା ଗଠନ କାନ୍ଥରେ ଫାଟ</v>
      </c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customFormat="false" ht="13.5" hidden="false" customHeight="true" outlineLevel="0" collapsed="false">
      <c r="A68" s="5" t="s">
        <v>383</v>
      </c>
      <c r="B68" s="4" t="s">
        <v>388</v>
      </c>
      <c r="C68" s="4" t="s">
        <v>389</v>
      </c>
      <c r="D68" s="4" t="s">
        <v>390</v>
      </c>
      <c r="E68" s="5" t="str">
        <f aca="false">IFERROR(__xludf.dummyfunction("GOOGLETRANSLATE(C68, ""en"", ""gu"")"),"ખાઈઓ અથવા બંધો સાથે ધોવાણ")</f>
        <v>ખાઈઓ અથવા બંધો સાથે ધોવાણ</v>
      </c>
      <c r="F68" s="5" t="s">
        <v>391</v>
      </c>
      <c r="G68" s="24" t="str">
        <f aca="false">IFERROR(__xludf.dummyfunction("GOOGLETRANSLATE(C68,""en"",""or"")"),"ଖାଲ କିମ୍ବା ବନ୍ଧ ସହିତ କ୍ଷୟ")</f>
        <v>ଖାଲ କିମ୍ବା ବନ୍ଧ ସହିତ କ୍ଷୟ</v>
      </c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customFormat="false" ht="13.5" hidden="false" customHeight="true" outlineLevel="0" collapsed="false">
      <c r="A69" s="5"/>
      <c r="B69" s="5"/>
      <c r="C69" s="5"/>
      <c r="D69" s="5"/>
      <c r="E69" s="5"/>
      <c r="F69" s="6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customFormat="false" ht="13.5" hidden="false" customHeight="true" outlineLevel="0" collapsed="false">
      <c r="A70" s="5" t="s">
        <v>392</v>
      </c>
      <c r="B70" s="5" t="s">
        <v>393</v>
      </c>
      <c r="C70" s="5" t="s">
        <v>394</v>
      </c>
      <c r="D70" s="5" t="str">
        <f aca="false">IFERROR(__xludf.dummyfunction("GOOGLETRANSLATE(C70, ""en"", ""hi"")"),"सामुदायिक मांग")</f>
        <v>सामुदायिक मांग</v>
      </c>
      <c r="E70" s="5" t="str">
        <f aca="false">IFERROR(__xludf.dummyfunction("GOOGLETRANSLATE(C70, ""en"", ""gu"")"),"સમુદાય માંગ")</f>
        <v>સમુદાય માંગ</v>
      </c>
      <c r="F70" s="5" t="s">
        <v>395</v>
      </c>
      <c r="G70" s="24" t="str">
        <f aca="false">IFERROR(__xludf.dummyfunction("GOOGLETRANSLATE(C70,""en"",""or"")"),"ସମ୍ପ୍ରଦାୟ ଦାବି")</f>
        <v>ସମ୍ପ୍ରଦାୟ ଦାବି</v>
      </c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customFormat="false" ht="13.5" hidden="false" customHeight="true" outlineLevel="0" collapsed="false">
      <c r="A71" s="5" t="s">
        <v>392</v>
      </c>
      <c r="B71" s="5" t="s">
        <v>396</v>
      </c>
      <c r="C71" s="5" t="s">
        <v>397</v>
      </c>
      <c r="D71" s="5" t="str">
        <f aca="false">IFERROR(__xludf.dummyfunction("GOOGLETRANSLATE(C71, ""en"", ""hi"")"),"व्यक्तिगत मांग")</f>
        <v>व्यक्तिगत मांग</v>
      </c>
      <c r="E71" s="5" t="str">
        <f aca="false">IFERROR(__xludf.dummyfunction("GOOGLETRANSLATE(C71, ""en"", ""gu"")"),"વ્યક્તિગત માંગ")</f>
        <v>વ્યક્તિગત માંગ</v>
      </c>
      <c r="F71" s="5" t="s">
        <v>398</v>
      </c>
      <c r="G71" s="24" t="str">
        <f aca="false">IFERROR(__xludf.dummyfunction("GOOGLETRANSLATE(C71,""en"",""or"")"),"ବ୍ୟକ୍ତିଗତ ଚାହିଦା")</f>
        <v>ବ୍ୟକ୍ତିଗତ ଚାହିଦା</v>
      </c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customFormat="false" ht="13.5" hidden="false" customHeight="true" outlineLevel="0" collapsed="false">
      <c r="A72" s="5"/>
      <c r="B72" s="5"/>
      <c r="C72" s="5"/>
      <c r="D72" s="5"/>
      <c r="E72" s="5"/>
      <c r="F72" s="6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customFormat="false" ht="13.5" hidden="false" customHeight="true" outlineLevel="0" collapsed="false">
      <c r="A73" s="5" t="s">
        <v>399</v>
      </c>
      <c r="B73" s="5" t="s">
        <v>400</v>
      </c>
      <c r="C73" s="5" t="s">
        <v>400</v>
      </c>
      <c r="D73" s="5" t="str">
        <f aca="false">IFERROR(__xludf.dummyfunction("GOOGLETRANSLATE(C73, ""en"", ""hi"")"),"पुरुष ")</f>
        <v>पुरुष </v>
      </c>
      <c r="E73" s="5" t="str">
        <f aca="false">IFERROR(__xludf.dummyfunction("GOOGLETRANSLATE(C73, ""en"", ""gu"")"),"પુરુષ")</f>
        <v>પુરુષ</v>
      </c>
      <c r="F73" s="5" t="s">
        <v>401</v>
      </c>
      <c r="G73" s="24" t="str">
        <f aca="false">IFERROR(__xludf.dummyfunction("GOOGLETRANSLATE(C73,""en"",""or"")"),"ପୁରୁଷ")</f>
        <v>ପୁରୁଷ</v>
      </c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customFormat="false" ht="13.5" hidden="false" customHeight="true" outlineLevel="0" collapsed="false">
      <c r="A74" s="5" t="s">
        <v>399</v>
      </c>
      <c r="B74" s="5" t="s">
        <v>402</v>
      </c>
      <c r="C74" s="5" t="s">
        <v>402</v>
      </c>
      <c r="D74" s="5" t="str">
        <f aca="false">IFERROR(__xludf.dummyfunction("GOOGLETRANSLATE(C74, ""en"", ""hi"")"),"महिला")</f>
        <v>महिला</v>
      </c>
      <c r="E74" s="5" t="str">
        <f aca="false">IFERROR(__xludf.dummyfunction("GOOGLETRANSLATE(C74, ""en"", ""gu"")"),"સ્ત્રી")</f>
        <v>સ્ત્રી</v>
      </c>
      <c r="F74" s="5" t="s">
        <v>403</v>
      </c>
      <c r="G74" s="24" t="str">
        <f aca="false">IFERROR(__xludf.dummyfunction("GOOGLETRANSLATE(C74,""en"",""or"")"),"ମହିଳା")</f>
        <v>ମହିଳା</v>
      </c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customFormat="false" ht="13.5" hidden="false" customHeight="true" outlineLevel="0" collapsed="false">
      <c r="A75" s="5"/>
      <c r="B75" s="5"/>
      <c r="C75" s="5"/>
      <c r="D75" s="5"/>
      <c r="E75" s="5"/>
      <c r="F75" s="6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customFormat="false" ht="13.5" hidden="false" customHeight="true" outlineLevel="0" collapsed="false">
      <c r="A76" s="13" t="s">
        <v>404</v>
      </c>
      <c r="B76" s="6" t="s">
        <v>405</v>
      </c>
      <c r="C76" s="6" t="s">
        <v>405</v>
      </c>
      <c r="D76" s="6" t="s">
        <v>406</v>
      </c>
      <c r="E76" s="6" t="s">
        <v>407</v>
      </c>
      <c r="F76" s="6" t="s">
        <v>408</v>
      </c>
      <c r="G76" s="24" t="str">
        <f aca="false">IFERROR(__xludf.dummyfunction("GOOGLETRANSLATE(C76,""en"",""or"")"),"କଳା")</f>
        <v>କଳା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3.5" hidden="false" customHeight="true" outlineLevel="0" collapsed="false">
      <c r="A77" s="13" t="s">
        <v>404</v>
      </c>
      <c r="B77" s="6" t="s">
        <v>409</v>
      </c>
      <c r="C77" s="6" t="s">
        <v>409</v>
      </c>
      <c r="D77" s="6" t="s">
        <v>410</v>
      </c>
      <c r="E77" s="6" t="s">
        <v>411</v>
      </c>
      <c r="F77" s="6" t="s">
        <v>412</v>
      </c>
      <c r="G77" s="24" t="str">
        <f aca="false">IFERROR(__xludf.dummyfunction("GOOGLETRANSLATE(C77,""en"",""or"")"),"ଲାଲ")</f>
        <v>ଲାଲ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3.5" hidden="false" customHeight="true" outlineLevel="0" collapsed="false">
      <c r="A78" s="13" t="s">
        <v>404</v>
      </c>
      <c r="B78" s="6" t="s">
        <v>413</v>
      </c>
      <c r="C78" s="6" t="s">
        <v>413</v>
      </c>
      <c r="D78" s="6" t="s">
        <v>414</v>
      </c>
      <c r="E78" s="6" t="s">
        <v>415</v>
      </c>
      <c r="F78" s="6" t="s">
        <v>416</v>
      </c>
      <c r="G78" s="24" t="str">
        <f aca="false">IFERROR(__xludf.dummyfunction("GOOGLETRANSLATE(C78,""en"",""or"")"),"ଲାଟେରାଇଟ୍")</f>
        <v>ଲାଟେରାଇଟ୍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3.5" hidden="false" customHeight="true" outlineLevel="0" collapsed="false">
      <c r="A79" s="13" t="s">
        <v>404</v>
      </c>
      <c r="B79" s="6" t="s">
        <v>417</v>
      </c>
      <c r="C79" s="6" t="s">
        <v>417</v>
      </c>
      <c r="D79" s="6" t="s">
        <v>418</v>
      </c>
      <c r="E79" s="6" t="s">
        <v>419</v>
      </c>
      <c r="F79" s="6" t="s">
        <v>420</v>
      </c>
      <c r="G79" s="24" t="str">
        <f aca="false">IFERROR(__xludf.dummyfunction("GOOGLETRANSLATE(C79,""en"",""or"")"),"ଜଳପ୍ରବାହ")</f>
        <v>ଜଳପ୍ରବାହ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3.5" hidden="false" customHeight="true" outlineLevel="0" collapsed="false">
      <c r="A80" s="13" t="s">
        <v>404</v>
      </c>
      <c r="B80" s="6" t="s">
        <v>421</v>
      </c>
      <c r="C80" s="6" t="s">
        <v>421</v>
      </c>
      <c r="D80" s="6" t="s">
        <v>422</v>
      </c>
      <c r="E80" s="6" t="s">
        <v>423</v>
      </c>
      <c r="F80" s="6" t="s">
        <v>424</v>
      </c>
      <c r="G80" s="24" t="str">
        <f aca="false">IFERROR(__xludf.dummyfunction("GOOGLETRANSLATE(C80,""en"",""or"")"),"ବାଲିଆ")</f>
        <v>ବାଲିଆ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3.5" hidden="false" customHeight="true" outlineLevel="0" collapsed="false">
      <c r="A81" s="13" t="s">
        <v>404</v>
      </c>
      <c r="B81" s="6" t="s">
        <v>425</v>
      </c>
      <c r="C81" s="6" t="s">
        <v>425</v>
      </c>
      <c r="D81" s="6" t="s">
        <v>426</v>
      </c>
      <c r="E81" s="6" t="s">
        <v>427</v>
      </c>
      <c r="F81" s="6" t="s">
        <v>428</v>
      </c>
      <c r="G81" s="24" t="str">
        <f aca="false">IFERROR(__xludf.dummyfunction("GOOGLETRANSLATE(C81,""en"",""or"")"),"ମାଟି")</f>
        <v>ମାଟି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3.5" hidden="false" customHeight="true" outlineLevel="0" collapsed="false">
      <c r="A82" s="13" t="s">
        <v>404</v>
      </c>
      <c r="B82" s="6" t="s">
        <v>429</v>
      </c>
      <c r="C82" s="6" t="s">
        <v>429</v>
      </c>
      <c r="D82" s="6" t="s">
        <v>430</v>
      </c>
      <c r="E82" s="6" t="s">
        <v>431</v>
      </c>
      <c r="F82" s="6" t="s">
        <v>432</v>
      </c>
      <c r="G82" s="24" t="str">
        <f aca="false">IFERROR(__xludf.dummyfunction("GOOGLETRANSLATE(C82,""en"",""or"")"),"ରକ୍କା")</f>
        <v>ରକ୍କା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3.5" hidden="false" customHeight="true" outlineLevel="0" collapsed="false">
      <c r="A83" s="6"/>
      <c r="B83" s="6"/>
      <c r="C83" s="6"/>
      <c r="D83" s="6"/>
      <c r="E83" s="6"/>
      <c r="F83" s="6"/>
      <c r="G83" s="24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3.5" hidden="false" customHeight="true" outlineLevel="0" collapsed="false">
      <c r="A84" s="13" t="s">
        <v>433</v>
      </c>
      <c r="B84" s="6" t="s">
        <v>434</v>
      </c>
      <c r="C84" s="6" t="s">
        <v>434</v>
      </c>
      <c r="D84" s="6" t="s">
        <v>435</v>
      </c>
      <c r="E84" s="6" t="s">
        <v>436</v>
      </c>
      <c r="F84" s="6" t="s">
        <v>437</v>
      </c>
      <c r="G84" s="24" t="str">
        <f aca="false">IFERROR(__xludf.dummyfunction("GOOGLETRANSLATE(C84,""en"",""or"")"),"କମ୍")</f>
        <v>କମ୍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3.5" hidden="false" customHeight="true" outlineLevel="0" collapsed="false">
      <c r="A85" s="13" t="s">
        <v>433</v>
      </c>
      <c r="B85" s="6" t="s">
        <v>438</v>
      </c>
      <c r="C85" s="6" t="s">
        <v>438</v>
      </c>
      <c r="D85" s="6" t="s">
        <v>439</v>
      </c>
      <c r="E85" s="6" t="s">
        <v>440</v>
      </c>
      <c r="F85" s="6" t="s">
        <v>441</v>
      </c>
      <c r="G85" s="24" t="str">
        <f aca="false">IFERROR(__xludf.dummyfunction("GOOGLETRANSLATE(C85,""en"",""or"")"),"ମଧ୍ୟମ ଧରଣର")</f>
        <v>ମଧ୍ୟମ ଧରଣର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3.5" hidden="false" customHeight="true" outlineLevel="0" collapsed="false">
      <c r="A86" s="13" t="s">
        <v>433</v>
      </c>
      <c r="B86" s="6" t="s">
        <v>442</v>
      </c>
      <c r="C86" s="6" t="s">
        <v>442</v>
      </c>
      <c r="D86" s="6" t="s">
        <v>443</v>
      </c>
      <c r="E86" s="6" t="s">
        <v>444</v>
      </c>
      <c r="F86" s="6" t="s">
        <v>445</v>
      </c>
      <c r="G86" s="24" t="str">
        <f aca="false">IFERROR(__xludf.dummyfunction("GOOGLETRANSLATE(C86,""en"",""or"")"),"ଅଧିକ")</f>
        <v>ଅଧିକ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3.5" hidden="false" customHeight="true" outlineLevel="0" collapsed="false">
      <c r="A87" s="5"/>
      <c r="B87" s="5"/>
      <c r="C87" s="5"/>
      <c r="D87" s="5"/>
      <c r="E87" s="5"/>
      <c r="F87" s="6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customFormat="false" ht="13.5" hidden="false" customHeight="true" outlineLevel="0" collapsed="false">
      <c r="A88" s="5"/>
      <c r="B88" s="5"/>
      <c r="C88" s="5"/>
      <c r="D88" s="5"/>
      <c r="E88" s="5"/>
      <c r="F88" s="6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customFormat="false" ht="13.5" hidden="false" customHeight="true" outlineLevel="0" collapsed="false">
      <c r="A89" s="5"/>
      <c r="B89" s="5"/>
      <c r="C89" s="5"/>
      <c r="D89" s="5"/>
      <c r="E89" s="5"/>
      <c r="F89" s="6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customFormat="false" ht="13.5" hidden="false" customHeight="true" outlineLevel="0" collapsed="false">
      <c r="A90" s="5"/>
      <c r="B90" s="5"/>
      <c r="C90" s="5"/>
      <c r="D90" s="5"/>
      <c r="E90" s="5"/>
      <c r="F90" s="6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customFormat="false" ht="13.5" hidden="false" customHeight="true" outlineLevel="0" collapsed="false">
      <c r="A91" s="5"/>
      <c r="B91" s="5"/>
      <c r="C91" s="5"/>
      <c r="D91" s="5"/>
      <c r="E91" s="5"/>
      <c r="F91" s="6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customFormat="false" ht="13.5" hidden="false" customHeight="true" outlineLevel="0" collapsed="false">
      <c r="A92" s="5"/>
      <c r="B92" s="5"/>
      <c r="C92" s="5"/>
      <c r="D92" s="5"/>
      <c r="E92" s="5"/>
      <c r="F92" s="6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customFormat="false" ht="13.5" hidden="false" customHeight="true" outlineLevel="0" collapsed="false">
      <c r="A93" s="5"/>
      <c r="B93" s="5"/>
      <c r="C93" s="5"/>
      <c r="D93" s="5"/>
      <c r="E93" s="5"/>
      <c r="F93" s="6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customFormat="false" ht="13.5" hidden="false" customHeight="true" outlineLevel="0" collapsed="false">
      <c r="A94" s="5"/>
      <c r="B94" s="5"/>
      <c r="C94" s="5"/>
      <c r="D94" s="5"/>
      <c r="E94" s="5"/>
      <c r="F94" s="6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customFormat="false" ht="13.5" hidden="false" customHeight="true" outlineLevel="0" collapsed="false">
      <c r="A95" s="5"/>
      <c r="B95" s="5"/>
      <c r="C95" s="5"/>
      <c r="D95" s="5"/>
      <c r="E95" s="5"/>
      <c r="F95" s="6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customFormat="false" ht="13.5" hidden="false" customHeight="true" outlineLevel="0" collapsed="false">
      <c r="A96" s="5"/>
      <c r="B96" s="5"/>
      <c r="C96" s="5"/>
      <c r="D96" s="5"/>
      <c r="E96" s="5"/>
      <c r="F96" s="6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customFormat="false" ht="13.5" hidden="false" customHeight="true" outlineLevel="0" collapsed="false">
      <c r="A97" s="5"/>
      <c r="B97" s="5"/>
      <c r="C97" s="5"/>
      <c r="D97" s="5"/>
      <c r="E97" s="5"/>
      <c r="F97" s="6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customFormat="false" ht="13.5" hidden="false" customHeight="true" outlineLevel="0" collapsed="false">
      <c r="A98" s="5"/>
      <c r="B98" s="5"/>
      <c r="C98" s="5"/>
      <c r="D98" s="5"/>
      <c r="E98" s="5"/>
      <c r="F98" s="6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customFormat="false" ht="13.5" hidden="false" customHeight="true" outlineLevel="0" collapsed="false">
      <c r="A99" s="5"/>
      <c r="B99" s="5"/>
      <c r="C99" s="5"/>
      <c r="D99" s="5"/>
      <c r="E99" s="5"/>
      <c r="F99" s="6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customFormat="false" ht="13.5" hidden="false" customHeight="true" outlineLevel="0" collapsed="false">
      <c r="A100" s="5"/>
      <c r="B100" s="5"/>
      <c r="C100" s="5"/>
      <c r="D100" s="5"/>
      <c r="E100" s="5"/>
      <c r="F100" s="6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customFormat="false" ht="13.5" hidden="false" customHeight="true" outlineLevel="0" collapsed="false">
      <c r="A101" s="5"/>
      <c r="B101" s="5"/>
      <c r="C101" s="5"/>
      <c r="D101" s="5"/>
      <c r="E101" s="5"/>
      <c r="F101" s="6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customFormat="false" ht="13.5" hidden="false" customHeight="true" outlineLevel="0" collapsed="false">
      <c r="A102" s="5"/>
      <c r="B102" s="5"/>
      <c r="C102" s="5"/>
      <c r="D102" s="5"/>
      <c r="E102" s="5"/>
      <c r="F102" s="6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customFormat="false" ht="13.5" hidden="false" customHeight="true" outlineLevel="0" collapsed="false">
      <c r="A103" s="5"/>
      <c r="B103" s="5"/>
      <c r="C103" s="5"/>
      <c r="D103" s="5"/>
      <c r="E103" s="5"/>
      <c r="F103" s="6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customFormat="false" ht="13.5" hidden="false" customHeight="true" outlineLevel="0" collapsed="false">
      <c r="A104" s="5"/>
      <c r="B104" s="5"/>
      <c r="C104" s="5"/>
      <c r="D104" s="5"/>
      <c r="E104" s="5"/>
      <c r="F104" s="6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customFormat="false" ht="13.5" hidden="false" customHeight="true" outlineLevel="0" collapsed="false">
      <c r="A105" s="5"/>
      <c r="B105" s="5"/>
      <c r="C105" s="5"/>
      <c r="D105" s="5"/>
      <c r="E105" s="5"/>
      <c r="F105" s="6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customFormat="false" ht="13.5" hidden="false" customHeight="true" outlineLevel="0" collapsed="false">
      <c r="A106" s="5"/>
      <c r="B106" s="5"/>
      <c r="C106" s="5"/>
      <c r="D106" s="5"/>
      <c r="E106" s="5"/>
      <c r="F106" s="6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customFormat="false" ht="13.5" hidden="false" customHeight="true" outlineLevel="0" collapsed="false">
      <c r="A107" s="5"/>
      <c r="B107" s="5"/>
      <c r="C107" s="5"/>
      <c r="D107" s="5"/>
      <c r="E107" s="5"/>
      <c r="F107" s="6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customFormat="false" ht="13.5" hidden="false" customHeight="true" outlineLevel="0" collapsed="false">
      <c r="A108" s="5"/>
      <c r="B108" s="5"/>
      <c r="C108" s="5"/>
      <c r="D108" s="5"/>
      <c r="E108" s="5"/>
      <c r="F108" s="6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customFormat="false" ht="13.5" hidden="false" customHeight="true" outlineLevel="0" collapsed="false">
      <c r="A109" s="5"/>
      <c r="B109" s="5"/>
      <c r="C109" s="5"/>
      <c r="D109" s="5"/>
      <c r="E109" s="5"/>
      <c r="F109" s="6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customFormat="false" ht="13.5" hidden="false" customHeight="true" outlineLevel="0" collapsed="false">
      <c r="A110" s="5"/>
      <c r="B110" s="5"/>
      <c r="C110" s="5"/>
      <c r="D110" s="5"/>
      <c r="E110" s="5"/>
      <c r="F110" s="6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customFormat="false" ht="13.5" hidden="false" customHeight="true" outlineLevel="0" collapsed="false">
      <c r="A111" s="5"/>
      <c r="B111" s="5"/>
      <c r="C111" s="5"/>
      <c r="D111" s="5"/>
      <c r="E111" s="5"/>
      <c r="F111" s="6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customFormat="false" ht="13.5" hidden="false" customHeight="true" outlineLevel="0" collapsed="false">
      <c r="A112" s="5"/>
      <c r="B112" s="5"/>
      <c r="C112" s="5"/>
      <c r="D112" s="5"/>
      <c r="E112" s="5"/>
      <c r="F112" s="6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customFormat="false" ht="13.5" hidden="false" customHeight="true" outlineLevel="0" collapsed="false">
      <c r="A113" s="5"/>
      <c r="B113" s="5"/>
      <c r="C113" s="5"/>
      <c r="D113" s="5"/>
      <c r="E113" s="5"/>
      <c r="F113" s="6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customFormat="false" ht="13.5" hidden="false" customHeight="true" outlineLevel="0" collapsed="false">
      <c r="A114" s="5"/>
      <c r="B114" s="5"/>
      <c r="C114" s="5"/>
      <c r="D114" s="5"/>
      <c r="E114" s="5"/>
      <c r="F114" s="6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customFormat="false" ht="13.5" hidden="false" customHeight="true" outlineLevel="0" collapsed="false">
      <c r="A115" s="5"/>
      <c r="B115" s="5"/>
      <c r="C115" s="5"/>
      <c r="D115" s="5"/>
      <c r="E115" s="5"/>
      <c r="F115" s="6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customFormat="false" ht="13.5" hidden="false" customHeight="true" outlineLevel="0" collapsed="false">
      <c r="A116" s="5"/>
      <c r="B116" s="5"/>
      <c r="C116" s="5"/>
      <c r="D116" s="5"/>
      <c r="E116" s="5"/>
      <c r="F116" s="6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customFormat="false" ht="13.5" hidden="false" customHeight="true" outlineLevel="0" collapsed="false">
      <c r="A117" s="5"/>
      <c r="B117" s="5"/>
      <c r="C117" s="5"/>
      <c r="D117" s="5"/>
      <c r="E117" s="5"/>
      <c r="F117" s="6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customFormat="false" ht="13.5" hidden="false" customHeight="true" outlineLevel="0" collapsed="false">
      <c r="A118" s="5"/>
      <c r="B118" s="5"/>
      <c r="C118" s="5"/>
      <c r="D118" s="5"/>
      <c r="E118" s="5"/>
      <c r="F118" s="6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customFormat="false" ht="13.5" hidden="false" customHeight="true" outlineLevel="0" collapsed="false">
      <c r="A119" s="5"/>
      <c r="B119" s="5"/>
      <c r="C119" s="5"/>
      <c r="D119" s="5"/>
      <c r="E119" s="5"/>
      <c r="F119" s="6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customFormat="false" ht="13.5" hidden="false" customHeight="true" outlineLevel="0" collapsed="false">
      <c r="A120" s="5"/>
      <c r="B120" s="5"/>
      <c r="C120" s="5"/>
      <c r="D120" s="5"/>
      <c r="E120" s="5"/>
      <c r="F120" s="6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customFormat="false" ht="13.5" hidden="false" customHeight="true" outlineLevel="0" collapsed="false">
      <c r="A121" s="5"/>
      <c r="B121" s="5"/>
      <c r="C121" s="5"/>
      <c r="D121" s="5"/>
      <c r="E121" s="5"/>
      <c r="F121" s="6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customFormat="false" ht="13.5" hidden="false" customHeight="true" outlineLevel="0" collapsed="false">
      <c r="A122" s="5"/>
      <c r="B122" s="5"/>
      <c r="C122" s="5"/>
      <c r="D122" s="5"/>
      <c r="E122" s="5"/>
      <c r="F122" s="6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customFormat="false" ht="13.5" hidden="false" customHeight="true" outlineLevel="0" collapsed="false">
      <c r="A123" s="5"/>
      <c r="B123" s="5"/>
      <c r="C123" s="5"/>
      <c r="D123" s="5"/>
      <c r="E123" s="5"/>
      <c r="F123" s="6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customFormat="false" ht="13.5" hidden="false" customHeight="true" outlineLevel="0" collapsed="false">
      <c r="A124" s="5"/>
      <c r="B124" s="5"/>
      <c r="C124" s="5"/>
      <c r="D124" s="5"/>
      <c r="E124" s="5"/>
      <c r="F124" s="6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customFormat="false" ht="13.5" hidden="false" customHeight="true" outlineLevel="0" collapsed="false">
      <c r="A125" s="5"/>
      <c r="B125" s="5"/>
      <c r="C125" s="5"/>
      <c r="D125" s="5"/>
      <c r="E125" s="5"/>
      <c r="F125" s="6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customFormat="false" ht="13.5" hidden="false" customHeight="true" outlineLevel="0" collapsed="false">
      <c r="A126" s="5"/>
      <c r="B126" s="5"/>
      <c r="C126" s="5"/>
      <c r="D126" s="5"/>
      <c r="E126" s="5"/>
      <c r="F126" s="6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customFormat="false" ht="13.5" hidden="false" customHeight="true" outlineLevel="0" collapsed="false">
      <c r="A127" s="5"/>
      <c r="B127" s="5"/>
      <c r="C127" s="5"/>
      <c r="D127" s="5"/>
      <c r="E127" s="5"/>
      <c r="F127" s="6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customFormat="false" ht="13.5" hidden="false" customHeight="true" outlineLevel="0" collapsed="false">
      <c r="A128" s="5"/>
      <c r="B128" s="5"/>
      <c r="C128" s="5"/>
      <c r="D128" s="5"/>
      <c r="E128" s="5"/>
      <c r="F128" s="6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customFormat="false" ht="13.5" hidden="false" customHeight="true" outlineLevel="0" collapsed="false">
      <c r="A129" s="5"/>
      <c r="B129" s="5"/>
      <c r="C129" s="5"/>
      <c r="D129" s="5"/>
      <c r="E129" s="5"/>
      <c r="F129" s="6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customFormat="false" ht="13.5" hidden="false" customHeight="true" outlineLevel="0" collapsed="false">
      <c r="A130" s="5"/>
      <c r="B130" s="5"/>
      <c r="C130" s="5"/>
      <c r="D130" s="5"/>
      <c r="E130" s="5"/>
      <c r="F130" s="6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customFormat="false" ht="13.5" hidden="false" customHeight="true" outlineLevel="0" collapsed="false">
      <c r="A131" s="5"/>
      <c r="B131" s="5"/>
      <c r="C131" s="5"/>
      <c r="D131" s="5"/>
      <c r="E131" s="5"/>
      <c r="F131" s="6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customFormat="false" ht="13.5" hidden="false" customHeight="true" outlineLevel="0" collapsed="false">
      <c r="A132" s="5"/>
      <c r="B132" s="5"/>
      <c r="C132" s="5"/>
      <c r="D132" s="5"/>
      <c r="E132" s="5"/>
      <c r="F132" s="6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customFormat="false" ht="13.5" hidden="false" customHeight="true" outlineLevel="0" collapsed="false">
      <c r="A133" s="5"/>
      <c r="B133" s="5"/>
      <c r="C133" s="5"/>
      <c r="D133" s="5"/>
      <c r="E133" s="5"/>
      <c r="F133" s="6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customFormat="false" ht="13.5" hidden="false" customHeight="true" outlineLevel="0" collapsed="false">
      <c r="A134" s="5"/>
      <c r="B134" s="5"/>
      <c r="C134" s="5"/>
      <c r="D134" s="5"/>
      <c r="E134" s="5"/>
      <c r="F134" s="6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customFormat="false" ht="13.5" hidden="false" customHeight="true" outlineLevel="0" collapsed="false">
      <c r="A135" s="5"/>
      <c r="B135" s="5"/>
      <c r="C135" s="5"/>
      <c r="D135" s="5"/>
      <c r="E135" s="5"/>
      <c r="F135" s="6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customFormat="false" ht="13.5" hidden="false" customHeight="true" outlineLevel="0" collapsed="false">
      <c r="A136" s="5"/>
      <c r="B136" s="5"/>
      <c r="C136" s="5"/>
      <c r="D136" s="5"/>
      <c r="E136" s="5"/>
      <c r="F136" s="6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customFormat="false" ht="13.5" hidden="false" customHeight="true" outlineLevel="0" collapsed="false">
      <c r="A137" s="5"/>
      <c r="B137" s="5"/>
      <c r="C137" s="5"/>
      <c r="D137" s="5"/>
      <c r="E137" s="5"/>
      <c r="F137" s="6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customFormat="false" ht="13.5" hidden="false" customHeight="true" outlineLevel="0" collapsed="false">
      <c r="A138" s="5"/>
      <c r="B138" s="5"/>
      <c r="C138" s="5"/>
      <c r="D138" s="5"/>
      <c r="E138" s="5"/>
      <c r="F138" s="6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customFormat="false" ht="13.5" hidden="false" customHeight="true" outlineLevel="0" collapsed="false">
      <c r="A139" s="5"/>
      <c r="B139" s="5"/>
      <c r="C139" s="5"/>
      <c r="D139" s="5"/>
      <c r="E139" s="5"/>
      <c r="F139" s="6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customFormat="false" ht="13.5" hidden="false" customHeight="true" outlineLevel="0" collapsed="false">
      <c r="A140" s="5"/>
      <c r="B140" s="5"/>
      <c r="C140" s="5"/>
      <c r="D140" s="5"/>
      <c r="E140" s="5"/>
      <c r="F140" s="6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customFormat="false" ht="13.5" hidden="false" customHeight="true" outlineLevel="0" collapsed="false">
      <c r="A141" s="5"/>
      <c r="B141" s="5"/>
      <c r="C141" s="5"/>
      <c r="D141" s="5"/>
      <c r="E141" s="5"/>
      <c r="F141" s="6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customFormat="false" ht="13.5" hidden="false" customHeight="true" outlineLevel="0" collapsed="false">
      <c r="A142" s="5"/>
      <c r="B142" s="5"/>
      <c r="C142" s="5"/>
      <c r="D142" s="5"/>
      <c r="E142" s="5"/>
      <c r="F142" s="6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customFormat="false" ht="13.5" hidden="false" customHeight="true" outlineLevel="0" collapsed="false">
      <c r="A143" s="5"/>
      <c r="B143" s="5"/>
      <c r="C143" s="5"/>
      <c r="D143" s="5"/>
      <c r="E143" s="5"/>
      <c r="F143" s="6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customFormat="false" ht="13.5" hidden="false" customHeight="true" outlineLevel="0" collapsed="false">
      <c r="A144" s="5"/>
      <c r="B144" s="5"/>
      <c r="C144" s="5"/>
      <c r="D144" s="5"/>
      <c r="E144" s="5"/>
      <c r="F144" s="6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customFormat="false" ht="13.5" hidden="false" customHeight="true" outlineLevel="0" collapsed="false">
      <c r="A145" s="5"/>
      <c r="B145" s="5"/>
      <c r="C145" s="5"/>
      <c r="D145" s="5"/>
      <c r="E145" s="5"/>
      <c r="F145" s="6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customFormat="false" ht="13.5" hidden="false" customHeight="true" outlineLevel="0" collapsed="false">
      <c r="A146" s="5"/>
      <c r="B146" s="5"/>
      <c r="C146" s="5"/>
      <c r="D146" s="5"/>
      <c r="E146" s="5"/>
      <c r="F146" s="6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customFormat="false" ht="13.5" hidden="false" customHeight="true" outlineLevel="0" collapsed="false">
      <c r="A147" s="5"/>
      <c r="B147" s="5"/>
      <c r="C147" s="5"/>
      <c r="D147" s="5"/>
      <c r="E147" s="5"/>
      <c r="F147" s="6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customFormat="false" ht="13.5" hidden="false" customHeight="true" outlineLevel="0" collapsed="false">
      <c r="A148" s="5"/>
      <c r="B148" s="5"/>
      <c r="C148" s="5"/>
      <c r="D148" s="5"/>
      <c r="E148" s="5"/>
      <c r="F148" s="6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customFormat="false" ht="13.5" hidden="false" customHeight="true" outlineLevel="0" collapsed="false">
      <c r="A149" s="5"/>
      <c r="B149" s="5"/>
      <c r="C149" s="5"/>
      <c r="D149" s="5"/>
      <c r="E149" s="5"/>
      <c r="F149" s="6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customFormat="false" ht="13.5" hidden="false" customHeight="true" outlineLevel="0" collapsed="false">
      <c r="A150" s="5"/>
      <c r="B150" s="5"/>
      <c r="C150" s="5"/>
      <c r="D150" s="5"/>
      <c r="E150" s="5"/>
      <c r="F150" s="6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customFormat="false" ht="13.5" hidden="false" customHeight="true" outlineLevel="0" collapsed="false">
      <c r="A151" s="5"/>
      <c r="B151" s="5"/>
      <c r="C151" s="5"/>
      <c r="D151" s="5"/>
      <c r="E151" s="5"/>
      <c r="F151" s="6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customFormat="false" ht="13.5" hidden="false" customHeight="true" outlineLevel="0" collapsed="false">
      <c r="A152" s="5"/>
      <c r="B152" s="5"/>
      <c r="C152" s="5"/>
      <c r="D152" s="5"/>
      <c r="E152" s="5"/>
      <c r="F152" s="6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customFormat="false" ht="13.5" hidden="false" customHeight="true" outlineLevel="0" collapsed="false">
      <c r="A153" s="5"/>
      <c r="B153" s="5"/>
      <c r="C153" s="5"/>
      <c r="D153" s="5"/>
      <c r="E153" s="5"/>
      <c r="F153" s="6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customFormat="false" ht="13.5" hidden="false" customHeight="true" outlineLevel="0" collapsed="false">
      <c r="A154" s="5"/>
      <c r="B154" s="5"/>
      <c r="C154" s="5"/>
      <c r="D154" s="5"/>
      <c r="E154" s="5"/>
      <c r="F154" s="6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customFormat="false" ht="13.5" hidden="false" customHeight="true" outlineLevel="0" collapsed="false">
      <c r="A155" s="5"/>
      <c r="B155" s="5"/>
      <c r="C155" s="5"/>
      <c r="D155" s="5"/>
      <c r="E155" s="5"/>
      <c r="F155" s="6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customFormat="false" ht="13.5" hidden="false" customHeight="true" outlineLevel="0" collapsed="false">
      <c r="A156" s="5"/>
      <c r="B156" s="5"/>
      <c r="C156" s="5"/>
      <c r="D156" s="5"/>
      <c r="E156" s="5"/>
      <c r="F156" s="6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customFormat="false" ht="13.5" hidden="false" customHeight="true" outlineLevel="0" collapsed="false">
      <c r="A157" s="5"/>
      <c r="B157" s="5"/>
      <c r="C157" s="5"/>
      <c r="D157" s="5"/>
      <c r="E157" s="5"/>
      <c r="F157" s="6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customFormat="false" ht="13.5" hidden="false" customHeight="true" outlineLevel="0" collapsed="false">
      <c r="A158" s="5"/>
      <c r="B158" s="5"/>
      <c r="C158" s="5"/>
      <c r="D158" s="5"/>
      <c r="E158" s="5"/>
      <c r="F158" s="6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customFormat="false" ht="13.5" hidden="false" customHeight="true" outlineLevel="0" collapsed="false">
      <c r="A159" s="5"/>
      <c r="B159" s="5"/>
      <c r="C159" s="5"/>
      <c r="D159" s="5"/>
      <c r="E159" s="5"/>
      <c r="F159" s="6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customFormat="false" ht="13.5" hidden="false" customHeight="true" outlineLevel="0" collapsed="false">
      <c r="A160" s="5"/>
      <c r="B160" s="5"/>
      <c r="C160" s="5"/>
      <c r="D160" s="5"/>
      <c r="E160" s="5"/>
      <c r="F160" s="6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customFormat="false" ht="13.5" hidden="false" customHeight="true" outlineLevel="0" collapsed="false">
      <c r="A161" s="5"/>
      <c r="B161" s="5"/>
      <c r="C161" s="5"/>
      <c r="D161" s="5"/>
      <c r="E161" s="5"/>
      <c r="F161" s="6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customFormat="false" ht="13.5" hidden="false" customHeight="true" outlineLevel="0" collapsed="false">
      <c r="A162" s="5"/>
      <c r="B162" s="5"/>
      <c r="C162" s="5"/>
      <c r="D162" s="5"/>
      <c r="E162" s="5"/>
      <c r="F162" s="6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customFormat="false" ht="13.5" hidden="false" customHeight="true" outlineLevel="0" collapsed="false">
      <c r="A163" s="5"/>
      <c r="B163" s="5"/>
      <c r="C163" s="5"/>
      <c r="D163" s="5"/>
      <c r="E163" s="5"/>
      <c r="F163" s="6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customFormat="false" ht="13.5" hidden="false" customHeight="true" outlineLevel="0" collapsed="false">
      <c r="A164" s="5"/>
      <c r="B164" s="5"/>
      <c r="C164" s="5"/>
      <c r="D164" s="5"/>
      <c r="E164" s="5"/>
      <c r="F164" s="6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customFormat="false" ht="13.5" hidden="false" customHeight="true" outlineLevel="0" collapsed="false">
      <c r="A165" s="5"/>
      <c r="B165" s="5"/>
      <c r="C165" s="5"/>
      <c r="D165" s="5"/>
      <c r="E165" s="5"/>
      <c r="F165" s="6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customFormat="false" ht="13.5" hidden="false" customHeight="true" outlineLevel="0" collapsed="false">
      <c r="A166" s="5"/>
      <c r="B166" s="5"/>
      <c r="C166" s="5"/>
      <c r="D166" s="5"/>
      <c r="E166" s="5"/>
      <c r="F166" s="6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customFormat="false" ht="13.5" hidden="false" customHeight="true" outlineLevel="0" collapsed="false">
      <c r="A167" s="5"/>
      <c r="B167" s="5"/>
      <c r="C167" s="5"/>
      <c r="D167" s="5"/>
      <c r="E167" s="5"/>
      <c r="F167" s="6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customFormat="false" ht="13.5" hidden="false" customHeight="true" outlineLevel="0" collapsed="false">
      <c r="A168" s="5"/>
      <c r="B168" s="5"/>
      <c r="C168" s="5"/>
      <c r="D168" s="5"/>
      <c r="E168" s="5"/>
      <c r="F168" s="6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customFormat="false" ht="13.5" hidden="false" customHeight="true" outlineLevel="0" collapsed="false">
      <c r="A169" s="5"/>
      <c r="B169" s="5"/>
      <c r="C169" s="5"/>
      <c r="D169" s="5"/>
      <c r="E169" s="5"/>
      <c r="F169" s="6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customFormat="false" ht="13.5" hidden="false" customHeight="true" outlineLevel="0" collapsed="false">
      <c r="A170" s="5"/>
      <c r="B170" s="5"/>
      <c r="C170" s="5"/>
      <c r="D170" s="5"/>
      <c r="E170" s="5"/>
      <c r="F170" s="6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customFormat="false" ht="13.5" hidden="false" customHeight="true" outlineLevel="0" collapsed="false">
      <c r="A171" s="5"/>
      <c r="B171" s="5"/>
      <c r="C171" s="5"/>
      <c r="D171" s="5"/>
      <c r="E171" s="5"/>
      <c r="F171" s="6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customFormat="false" ht="13.5" hidden="false" customHeight="true" outlineLevel="0" collapsed="false">
      <c r="A172" s="5"/>
      <c r="B172" s="5"/>
      <c r="C172" s="5"/>
      <c r="D172" s="5"/>
      <c r="E172" s="5"/>
      <c r="F172" s="6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customFormat="false" ht="13.5" hidden="false" customHeight="true" outlineLevel="0" collapsed="false">
      <c r="A173" s="5"/>
      <c r="B173" s="5"/>
      <c r="C173" s="5"/>
      <c r="D173" s="5"/>
      <c r="E173" s="5"/>
      <c r="F173" s="6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customFormat="false" ht="13.5" hidden="false" customHeight="true" outlineLevel="0" collapsed="false">
      <c r="A174" s="5"/>
      <c r="B174" s="5"/>
      <c r="C174" s="5"/>
      <c r="D174" s="5"/>
      <c r="E174" s="5"/>
      <c r="F174" s="6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customFormat="false" ht="13.5" hidden="false" customHeight="true" outlineLevel="0" collapsed="false">
      <c r="A175" s="5"/>
      <c r="B175" s="5"/>
      <c r="C175" s="5"/>
      <c r="D175" s="5"/>
      <c r="E175" s="5"/>
      <c r="F175" s="6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customFormat="false" ht="13.5" hidden="false" customHeight="true" outlineLevel="0" collapsed="false">
      <c r="A176" s="5"/>
      <c r="B176" s="5"/>
      <c r="C176" s="5"/>
      <c r="D176" s="5"/>
      <c r="E176" s="5"/>
      <c r="F176" s="6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customFormat="false" ht="13.5" hidden="false" customHeight="true" outlineLevel="0" collapsed="false">
      <c r="A177" s="5"/>
      <c r="B177" s="5"/>
      <c r="C177" s="5"/>
      <c r="D177" s="5"/>
      <c r="E177" s="5"/>
      <c r="F177" s="6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customFormat="false" ht="13.5" hidden="false" customHeight="true" outlineLevel="0" collapsed="false">
      <c r="A178" s="5"/>
      <c r="B178" s="5"/>
      <c r="C178" s="5"/>
      <c r="D178" s="5"/>
      <c r="E178" s="5"/>
      <c r="F178" s="6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customFormat="false" ht="13.5" hidden="false" customHeight="true" outlineLevel="0" collapsed="false">
      <c r="A179" s="5"/>
      <c r="B179" s="5"/>
      <c r="C179" s="5"/>
      <c r="D179" s="5"/>
      <c r="E179" s="5"/>
      <c r="F179" s="6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customFormat="false" ht="13.5" hidden="false" customHeight="true" outlineLevel="0" collapsed="false">
      <c r="A180" s="5"/>
      <c r="B180" s="5"/>
      <c r="C180" s="5"/>
      <c r="D180" s="5"/>
      <c r="E180" s="5"/>
      <c r="F180" s="6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customFormat="false" ht="13.5" hidden="false" customHeight="true" outlineLevel="0" collapsed="false">
      <c r="A181" s="5"/>
      <c r="B181" s="5"/>
      <c r="C181" s="5"/>
      <c r="D181" s="5"/>
      <c r="E181" s="5"/>
      <c r="F181" s="6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customFormat="false" ht="13.5" hidden="false" customHeight="true" outlineLevel="0" collapsed="false">
      <c r="A182" s="5"/>
      <c r="B182" s="5"/>
      <c r="C182" s="5"/>
      <c r="D182" s="5"/>
      <c r="E182" s="5"/>
      <c r="F182" s="6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customFormat="false" ht="13.5" hidden="false" customHeight="true" outlineLevel="0" collapsed="false">
      <c r="A183" s="5"/>
      <c r="B183" s="5"/>
      <c r="C183" s="5"/>
      <c r="D183" s="5"/>
      <c r="E183" s="5"/>
      <c r="F183" s="6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customFormat="false" ht="13.5" hidden="false" customHeight="true" outlineLevel="0" collapsed="false">
      <c r="A184" s="5"/>
      <c r="B184" s="5"/>
      <c r="C184" s="5"/>
      <c r="D184" s="5"/>
      <c r="E184" s="5"/>
      <c r="F184" s="6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customFormat="false" ht="13.5" hidden="false" customHeight="true" outlineLevel="0" collapsed="false">
      <c r="A185" s="5"/>
      <c r="B185" s="5"/>
      <c r="C185" s="5"/>
      <c r="D185" s="5"/>
      <c r="E185" s="5"/>
      <c r="F185" s="6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customFormat="false" ht="13.5" hidden="false" customHeight="true" outlineLevel="0" collapsed="false">
      <c r="A186" s="5"/>
      <c r="B186" s="5"/>
      <c r="C186" s="5"/>
      <c r="D186" s="5"/>
      <c r="E186" s="5"/>
      <c r="F186" s="6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customFormat="false" ht="13.5" hidden="false" customHeight="true" outlineLevel="0" collapsed="false">
      <c r="A187" s="5"/>
      <c r="B187" s="5"/>
      <c r="C187" s="5"/>
      <c r="D187" s="5"/>
      <c r="E187" s="5"/>
      <c r="F187" s="6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customFormat="false" ht="13.5" hidden="false" customHeight="true" outlineLevel="0" collapsed="false">
      <c r="A188" s="5"/>
      <c r="B188" s="5"/>
      <c r="C188" s="5"/>
      <c r="D188" s="5"/>
      <c r="E188" s="5"/>
      <c r="F188" s="6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customFormat="false" ht="13.5" hidden="false" customHeight="true" outlineLevel="0" collapsed="false">
      <c r="A189" s="5"/>
      <c r="B189" s="5"/>
      <c r="C189" s="5"/>
      <c r="D189" s="5"/>
      <c r="E189" s="5"/>
      <c r="F189" s="6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customFormat="false" ht="13.5" hidden="false" customHeight="true" outlineLevel="0" collapsed="false">
      <c r="A190" s="5"/>
      <c r="B190" s="5"/>
      <c r="C190" s="5"/>
      <c r="D190" s="5"/>
      <c r="E190" s="5"/>
      <c r="F190" s="6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customFormat="false" ht="13.5" hidden="false" customHeight="true" outlineLevel="0" collapsed="false">
      <c r="A191" s="5"/>
      <c r="B191" s="5"/>
      <c r="C191" s="5"/>
      <c r="D191" s="5"/>
      <c r="E191" s="5"/>
      <c r="F191" s="6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customFormat="false" ht="13.5" hidden="false" customHeight="true" outlineLevel="0" collapsed="false">
      <c r="A192" s="5"/>
      <c r="B192" s="5"/>
      <c r="C192" s="5"/>
      <c r="D192" s="5"/>
      <c r="E192" s="5"/>
      <c r="F192" s="6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customFormat="false" ht="13.5" hidden="false" customHeight="true" outlineLevel="0" collapsed="false">
      <c r="A193" s="5"/>
      <c r="B193" s="5"/>
      <c r="C193" s="5"/>
      <c r="D193" s="5"/>
      <c r="E193" s="5"/>
      <c r="F193" s="6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customFormat="false" ht="13.5" hidden="false" customHeight="true" outlineLevel="0" collapsed="false">
      <c r="A194" s="5"/>
      <c r="B194" s="5"/>
      <c r="C194" s="5"/>
      <c r="D194" s="5"/>
      <c r="E194" s="5"/>
      <c r="F194" s="6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customFormat="false" ht="13.5" hidden="false" customHeight="true" outlineLevel="0" collapsed="false">
      <c r="A195" s="5"/>
      <c r="B195" s="5"/>
      <c r="C195" s="5"/>
      <c r="D195" s="5"/>
      <c r="E195" s="5"/>
      <c r="F195" s="6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customFormat="false" ht="13.5" hidden="false" customHeight="true" outlineLevel="0" collapsed="false">
      <c r="A196" s="5"/>
      <c r="B196" s="5"/>
      <c r="C196" s="5"/>
      <c r="D196" s="5"/>
      <c r="E196" s="5"/>
      <c r="F196" s="6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customFormat="false" ht="13.5" hidden="false" customHeight="true" outlineLevel="0" collapsed="false">
      <c r="A197" s="5"/>
      <c r="B197" s="5"/>
      <c r="C197" s="5"/>
      <c r="D197" s="5"/>
      <c r="E197" s="5"/>
      <c r="F197" s="6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customFormat="false" ht="13.5" hidden="false" customHeight="true" outlineLevel="0" collapsed="false">
      <c r="A198" s="5"/>
      <c r="B198" s="5"/>
      <c r="C198" s="5"/>
      <c r="D198" s="5"/>
      <c r="E198" s="5"/>
      <c r="F198" s="6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customFormat="false" ht="13.5" hidden="false" customHeight="true" outlineLevel="0" collapsed="false">
      <c r="A199" s="5"/>
      <c r="B199" s="5"/>
      <c r="C199" s="5"/>
      <c r="D199" s="5"/>
      <c r="E199" s="5"/>
      <c r="F199" s="6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customFormat="false" ht="13.5" hidden="false" customHeight="true" outlineLevel="0" collapsed="false">
      <c r="A200" s="5"/>
      <c r="B200" s="5"/>
      <c r="C200" s="5"/>
      <c r="D200" s="5"/>
      <c r="E200" s="5"/>
      <c r="F200" s="6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customFormat="false" ht="13.5" hidden="false" customHeight="true" outlineLevel="0" collapsed="false">
      <c r="A201" s="5"/>
      <c r="B201" s="5"/>
      <c r="C201" s="5"/>
      <c r="D201" s="5"/>
      <c r="E201" s="5"/>
      <c r="F201" s="6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customFormat="false" ht="13.5" hidden="false" customHeight="true" outlineLevel="0" collapsed="false">
      <c r="A202" s="5"/>
      <c r="B202" s="5"/>
      <c r="C202" s="5"/>
      <c r="D202" s="5"/>
      <c r="E202" s="5"/>
      <c r="F202" s="6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customFormat="false" ht="13.5" hidden="false" customHeight="true" outlineLevel="0" collapsed="false">
      <c r="A203" s="5"/>
      <c r="B203" s="5"/>
      <c r="C203" s="5"/>
      <c r="D203" s="5"/>
      <c r="E203" s="5"/>
      <c r="F203" s="6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customFormat="false" ht="13.5" hidden="false" customHeight="true" outlineLevel="0" collapsed="false">
      <c r="A204" s="5"/>
      <c r="B204" s="5"/>
      <c r="C204" s="5"/>
      <c r="D204" s="5"/>
      <c r="E204" s="5"/>
      <c r="F204" s="6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customFormat="false" ht="13.5" hidden="false" customHeight="true" outlineLevel="0" collapsed="false">
      <c r="A205" s="5"/>
      <c r="B205" s="5"/>
      <c r="C205" s="5"/>
      <c r="D205" s="5"/>
      <c r="E205" s="5"/>
      <c r="F205" s="6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customFormat="false" ht="13.5" hidden="false" customHeight="true" outlineLevel="0" collapsed="false">
      <c r="A206" s="5"/>
      <c r="B206" s="5"/>
      <c r="C206" s="5"/>
      <c r="D206" s="5"/>
      <c r="E206" s="5"/>
      <c r="F206" s="6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customFormat="false" ht="13.5" hidden="false" customHeight="true" outlineLevel="0" collapsed="false">
      <c r="A207" s="5"/>
      <c r="B207" s="5"/>
      <c r="C207" s="5"/>
      <c r="D207" s="5"/>
      <c r="E207" s="5"/>
      <c r="F207" s="6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customFormat="false" ht="13.5" hidden="false" customHeight="true" outlineLevel="0" collapsed="false">
      <c r="A208" s="5"/>
      <c r="B208" s="5"/>
      <c r="C208" s="5"/>
      <c r="D208" s="5"/>
      <c r="E208" s="5"/>
      <c r="F208" s="6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customFormat="false" ht="13.5" hidden="false" customHeight="true" outlineLevel="0" collapsed="false">
      <c r="A209" s="5"/>
      <c r="B209" s="5"/>
      <c r="C209" s="5"/>
      <c r="D209" s="5"/>
      <c r="E209" s="5"/>
      <c r="F209" s="6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customFormat="false" ht="13.5" hidden="false" customHeight="true" outlineLevel="0" collapsed="false">
      <c r="A210" s="5"/>
      <c r="B210" s="5"/>
      <c r="C210" s="5"/>
      <c r="D210" s="5"/>
      <c r="E210" s="5"/>
      <c r="F210" s="6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customFormat="false" ht="13.5" hidden="false" customHeight="true" outlineLevel="0" collapsed="false">
      <c r="A211" s="5"/>
      <c r="B211" s="5"/>
      <c r="C211" s="5"/>
      <c r="D211" s="5"/>
      <c r="E211" s="5"/>
      <c r="F211" s="6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customFormat="false" ht="13.5" hidden="false" customHeight="true" outlineLevel="0" collapsed="false">
      <c r="A212" s="5"/>
      <c r="B212" s="5"/>
      <c r="C212" s="5"/>
      <c r="D212" s="5"/>
      <c r="E212" s="5"/>
      <c r="F212" s="6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customFormat="false" ht="13.5" hidden="false" customHeight="true" outlineLevel="0" collapsed="false">
      <c r="A213" s="5"/>
      <c r="B213" s="5"/>
      <c r="C213" s="5"/>
      <c r="D213" s="5"/>
      <c r="E213" s="5"/>
      <c r="F213" s="6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customFormat="false" ht="13.5" hidden="false" customHeight="true" outlineLevel="0" collapsed="false">
      <c r="A214" s="5"/>
      <c r="B214" s="5"/>
      <c r="C214" s="5"/>
      <c r="D214" s="5"/>
      <c r="E214" s="5"/>
      <c r="F214" s="6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customFormat="false" ht="13.5" hidden="false" customHeight="true" outlineLevel="0" collapsed="false">
      <c r="A215" s="5"/>
      <c r="B215" s="5"/>
      <c r="C215" s="5"/>
      <c r="D215" s="5"/>
      <c r="E215" s="5"/>
      <c r="F215" s="6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customFormat="false" ht="13.5" hidden="false" customHeight="true" outlineLevel="0" collapsed="false">
      <c r="A216" s="5"/>
      <c r="B216" s="5"/>
      <c r="C216" s="5"/>
      <c r="D216" s="5"/>
      <c r="E216" s="5"/>
      <c r="F216" s="6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customFormat="false" ht="13.5" hidden="false" customHeight="true" outlineLevel="0" collapsed="false">
      <c r="A217" s="5"/>
      <c r="B217" s="5"/>
      <c r="C217" s="5"/>
      <c r="D217" s="5"/>
      <c r="E217" s="5"/>
      <c r="F217" s="6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customFormat="false" ht="13.5" hidden="false" customHeight="true" outlineLevel="0" collapsed="false">
      <c r="A218" s="5"/>
      <c r="B218" s="5"/>
      <c r="C218" s="5"/>
      <c r="D218" s="5"/>
      <c r="E218" s="5"/>
      <c r="F218" s="6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customFormat="false" ht="13.5" hidden="false" customHeight="true" outlineLevel="0" collapsed="false">
      <c r="A219" s="5"/>
      <c r="B219" s="5"/>
      <c r="C219" s="5"/>
      <c r="D219" s="5"/>
      <c r="E219" s="5"/>
      <c r="F219" s="6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customFormat="false" ht="13.5" hidden="false" customHeight="true" outlineLevel="0" collapsed="false">
      <c r="A220" s="5"/>
      <c r="B220" s="5"/>
      <c r="C220" s="5"/>
      <c r="D220" s="5"/>
      <c r="E220" s="5"/>
      <c r="F220" s="6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customFormat="false" ht="13.5" hidden="false" customHeight="true" outlineLevel="0" collapsed="false">
      <c r="A221" s="5"/>
      <c r="B221" s="5"/>
      <c r="C221" s="5"/>
      <c r="D221" s="5"/>
      <c r="E221" s="5"/>
      <c r="F221" s="6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customFormat="false" ht="13.5" hidden="false" customHeight="true" outlineLevel="0" collapsed="false">
      <c r="A222" s="5"/>
      <c r="B222" s="5"/>
      <c r="C222" s="5"/>
      <c r="D222" s="5"/>
      <c r="E222" s="5"/>
      <c r="F222" s="6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customFormat="false" ht="13.5" hidden="false" customHeight="true" outlineLevel="0" collapsed="false">
      <c r="A223" s="5"/>
      <c r="B223" s="5"/>
      <c r="C223" s="5"/>
      <c r="D223" s="5"/>
      <c r="E223" s="5"/>
      <c r="F223" s="6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customFormat="false" ht="13.5" hidden="false" customHeight="true" outlineLevel="0" collapsed="false">
      <c r="A224" s="5"/>
      <c r="B224" s="5"/>
      <c r="C224" s="5"/>
      <c r="D224" s="5"/>
      <c r="E224" s="5"/>
      <c r="F224" s="6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customFormat="false" ht="13.5" hidden="false" customHeight="true" outlineLevel="0" collapsed="false">
      <c r="A225" s="5"/>
      <c r="B225" s="5"/>
      <c r="C225" s="5"/>
      <c r="D225" s="5"/>
      <c r="E225" s="5"/>
      <c r="F225" s="6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customFormat="false" ht="13.5" hidden="false" customHeight="true" outlineLevel="0" collapsed="false">
      <c r="A226" s="5"/>
      <c r="B226" s="5"/>
      <c r="C226" s="5"/>
      <c r="D226" s="5"/>
      <c r="E226" s="5"/>
      <c r="F226" s="6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customFormat="false" ht="13.5" hidden="false" customHeight="true" outlineLevel="0" collapsed="false">
      <c r="A227" s="5"/>
      <c r="B227" s="5"/>
      <c r="C227" s="5"/>
      <c r="D227" s="5"/>
      <c r="E227" s="5"/>
      <c r="F227" s="6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customFormat="false" ht="13.5" hidden="false" customHeight="true" outlineLevel="0" collapsed="false">
      <c r="A228" s="5"/>
      <c r="B228" s="5"/>
      <c r="C228" s="5"/>
      <c r="D228" s="5"/>
      <c r="E228" s="5"/>
      <c r="F228" s="6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customFormat="false" ht="13.5" hidden="false" customHeight="true" outlineLevel="0" collapsed="false">
      <c r="A229" s="5"/>
      <c r="B229" s="5"/>
      <c r="C229" s="5"/>
      <c r="D229" s="5"/>
      <c r="E229" s="5"/>
      <c r="F229" s="6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customFormat="false" ht="13.5" hidden="false" customHeight="true" outlineLevel="0" collapsed="false">
      <c r="A230" s="5"/>
      <c r="B230" s="5"/>
      <c r="C230" s="5"/>
      <c r="D230" s="5"/>
      <c r="E230" s="5"/>
      <c r="F230" s="6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customFormat="false" ht="13.5" hidden="false" customHeight="true" outlineLevel="0" collapsed="false">
      <c r="A231" s="5"/>
      <c r="B231" s="5"/>
      <c r="C231" s="5"/>
      <c r="D231" s="5"/>
      <c r="E231" s="5"/>
      <c r="F231" s="6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customFormat="false" ht="13.5" hidden="false" customHeight="true" outlineLevel="0" collapsed="false">
      <c r="A232" s="5"/>
      <c r="B232" s="5"/>
      <c r="C232" s="5"/>
      <c r="D232" s="5"/>
      <c r="E232" s="5"/>
      <c r="F232" s="6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customFormat="false" ht="13.5" hidden="false" customHeight="true" outlineLevel="0" collapsed="false">
      <c r="A233" s="5"/>
      <c r="B233" s="5"/>
      <c r="C233" s="5"/>
      <c r="D233" s="5"/>
      <c r="E233" s="5"/>
      <c r="F233" s="6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customFormat="false" ht="13.5" hidden="false" customHeight="true" outlineLevel="0" collapsed="false">
      <c r="A234" s="5"/>
      <c r="B234" s="5"/>
      <c r="C234" s="5"/>
      <c r="D234" s="5"/>
      <c r="E234" s="5"/>
      <c r="F234" s="6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customFormat="false" ht="13.5" hidden="false" customHeight="true" outlineLevel="0" collapsed="false">
      <c r="A235" s="5"/>
      <c r="B235" s="5"/>
      <c r="C235" s="5"/>
      <c r="D235" s="5"/>
      <c r="E235" s="5"/>
      <c r="F235" s="6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customFormat="false" ht="13.5" hidden="false" customHeight="true" outlineLevel="0" collapsed="false">
      <c r="A236" s="5"/>
      <c r="B236" s="5"/>
      <c r="C236" s="5"/>
      <c r="D236" s="5"/>
      <c r="E236" s="5"/>
      <c r="F236" s="6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customFormat="false" ht="13.5" hidden="false" customHeight="true" outlineLevel="0" collapsed="false">
      <c r="A237" s="5"/>
      <c r="B237" s="5"/>
      <c r="C237" s="5"/>
      <c r="D237" s="5"/>
      <c r="E237" s="5"/>
      <c r="F237" s="6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customFormat="false" ht="13.5" hidden="false" customHeight="true" outlineLevel="0" collapsed="false">
      <c r="A238" s="5"/>
      <c r="B238" s="5"/>
      <c r="C238" s="5"/>
      <c r="D238" s="5"/>
      <c r="E238" s="5"/>
      <c r="F238" s="6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customFormat="false" ht="13.5" hidden="false" customHeight="true" outlineLevel="0" collapsed="false">
      <c r="A239" s="5"/>
      <c r="B239" s="5"/>
      <c r="C239" s="5"/>
      <c r="D239" s="5"/>
      <c r="E239" s="5"/>
      <c r="F239" s="6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customFormat="false" ht="13.5" hidden="false" customHeight="true" outlineLevel="0" collapsed="false">
      <c r="A240" s="5"/>
      <c r="B240" s="5"/>
      <c r="C240" s="5"/>
      <c r="D240" s="5"/>
      <c r="E240" s="5"/>
      <c r="F240" s="6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customFormat="false" ht="13.5" hidden="false" customHeight="true" outlineLevel="0" collapsed="false">
      <c r="A241" s="5"/>
      <c r="B241" s="5"/>
      <c r="C241" s="5"/>
      <c r="D241" s="5"/>
      <c r="E241" s="5"/>
      <c r="F241" s="6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customFormat="false" ht="13.5" hidden="false" customHeight="true" outlineLevel="0" collapsed="false">
      <c r="A242" s="5"/>
      <c r="B242" s="5"/>
      <c r="C242" s="5"/>
      <c r="D242" s="5"/>
      <c r="E242" s="5"/>
      <c r="F242" s="6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customFormat="false" ht="13.5" hidden="false" customHeight="true" outlineLevel="0" collapsed="false">
      <c r="A243" s="5"/>
      <c r="B243" s="5"/>
      <c r="C243" s="5"/>
      <c r="D243" s="5"/>
      <c r="E243" s="5"/>
      <c r="F243" s="6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customFormat="false" ht="13.5" hidden="false" customHeight="true" outlineLevel="0" collapsed="false">
      <c r="A244" s="5"/>
      <c r="B244" s="5"/>
      <c r="C244" s="5"/>
      <c r="D244" s="5"/>
      <c r="E244" s="5"/>
      <c r="F244" s="6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customFormat="false" ht="13.5" hidden="false" customHeight="true" outlineLevel="0" collapsed="false">
      <c r="A245" s="5"/>
      <c r="B245" s="5"/>
      <c r="C245" s="5"/>
      <c r="D245" s="5"/>
      <c r="E245" s="5"/>
      <c r="F245" s="6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customFormat="false" ht="13.5" hidden="false" customHeight="true" outlineLevel="0" collapsed="false">
      <c r="A246" s="5"/>
      <c r="B246" s="5"/>
      <c r="C246" s="5"/>
      <c r="D246" s="5"/>
      <c r="E246" s="5"/>
      <c r="F246" s="6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customFormat="false" ht="13.5" hidden="false" customHeight="true" outlineLevel="0" collapsed="false">
      <c r="A247" s="5"/>
      <c r="B247" s="5"/>
      <c r="C247" s="5"/>
      <c r="D247" s="5"/>
      <c r="E247" s="5"/>
      <c r="F247" s="6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customFormat="false" ht="13.5" hidden="false" customHeight="true" outlineLevel="0" collapsed="false">
      <c r="A248" s="5"/>
      <c r="B248" s="5"/>
      <c r="C248" s="5"/>
      <c r="D248" s="5"/>
      <c r="E248" s="5"/>
      <c r="F248" s="6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customFormat="false" ht="13.5" hidden="false" customHeight="true" outlineLevel="0" collapsed="false">
      <c r="A249" s="5"/>
      <c r="B249" s="5"/>
      <c r="C249" s="5"/>
      <c r="D249" s="5"/>
      <c r="E249" s="5"/>
      <c r="F249" s="6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customFormat="false" ht="13.5" hidden="false" customHeight="true" outlineLevel="0" collapsed="false">
      <c r="A250" s="5"/>
      <c r="B250" s="5"/>
      <c r="C250" s="5"/>
      <c r="D250" s="5"/>
      <c r="E250" s="5"/>
      <c r="F250" s="6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customFormat="false" ht="13.5" hidden="false" customHeight="true" outlineLevel="0" collapsed="false">
      <c r="A251" s="5"/>
      <c r="B251" s="5"/>
      <c r="C251" s="5"/>
      <c r="D251" s="5"/>
      <c r="E251" s="5"/>
      <c r="F251" s="6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customFormat="false" ht="13.5" hidden="false" customHeight="true" outlineLevel="0" collapsed="false">
      <c r="A252" s="5"/>
      <c r="B252" s="5"/>
      <c r="C252" s="5"/>
      <c r="D252" s="5"/>
      <c r="E252" s="5"/>
      <c r="F252" s="6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customFormat="false" ht="13.5" hidden="false" customHeight="true" outlineLevel="0" collapsed="false">
      <c r="A253" s="5"/>
      <c r="B253" s="5"/>
      <c r="C253" s="5"/>
      <c r="D253" s="5"/>
      <c r="E253" s="5"/>
      <c r="F253" s="6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customFormat="false" ht="13.5" hidden="false" customHeight="true" outlineLevel="0" collapsed="false">
      <c r="A254" s="5"/>
      <c r="B254" s="5"/>
      <c r="C254" s="5"/>
      <c r="D254" s="5"/>
      <c r="E254" s="5"/>
      <c r="F254" s="6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customFormat="false" ht="13.5" hidden="false" customHeight="true" outlineLevel="0" collapsed="false">
      <c r="A255" s="5"/>
      <c r="B255" s="5"/>
      <c r="C255" s="5"/>
      <c r="D255" s="5"/>
      <c r="E255" s="5"/>
      <c r="F255" s="6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customFormat="false" ht="13.5" hidden="false" customHeight="true" outlineLevel="0" collapsed="false">
      <c r="A256" s="5"/>
      <c r="B256" s="5"/>
      <c r="C256" s="5"/>
      <c r="D256" s="5"/>
      <c r="E256" s="5"/>
      <c r="F256" s="6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customFormat="false" ht="13.5" hidden="false" customHeight="true" outlineLevel="0" collapsed="false">
      <c r="A257" s="5"/>
      <c r="B257" s="5"/>
      <c r="C257" s="5"/>
      <c r="D257" s="5"/>
      <c r="E257" s="5"/>
      <c r="F257" s="6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customFormat="false" ht="13.5" hidden="false" customHeight="true" outlineLevel="0" collapsed="false">
      <c r="A258" s="5"/>
      <c r="B258" s="5"/>
      <c r="C258" s="5"/>
      <c r="D258" s="5"/>
      <c r="E258" s="5"/>
      <c r="F258" s="6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customFormat="false" ht="13.5" hidden="false" customHeight="true" outlineLevel="0" collapsed="false">
      <c r="A259" s="5"/>
      <c r="B259" s="5"/>
      <c r="C259" s="5"/>
      <c r="D259" s="5"/>
      <c r="E259" s="5"/>
      <c r="F259" s="6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customFormat="false" ht="13.5" hidden="false" customHeight="true" outlineLevel="0" collapsed="false">
      <c r="A260" s="5"/>
      <c r="B260" s="5"/>
      <c r="C260" s="5"/>
      <c r="D260" s="5"/>
      <c r="E260" s="5"/>
      <c r="F260" s="6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customFormat="false" ht="13.5" hidden="false" customHeight="true" outlineLevel="0" collapsed="false">
      <c r="A261" s="5"/>
      <c r="B261" s="5"/>
      <c r="C261" s="5"/>
      <c r="D261" s="5"/>
      <c r="E261" s="5"/>
      <c r="F261" s="6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customFormat="false" ht="13.5" hidden="false" customHeight="true" outlineLevel="0" collapsed="false">
      <c r="A262" s="5"/>
      <c r="B262" s="5"/>
      <c r="C262" s="5"/>
      <c r="D262" s="5"/>
      <c r="E262" s="5"/>
      <c r="F262" s="6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customFormat="false" ht="13.5" hidden="false" customHeight="true" outlineLevel="0" collapsed="false">
      <c r="A263" s="5"/>
      <c r="B263" s="5"/>
      <c r="C263" s="5"/>
      <c r="D263" s="5"/>
      <c r="E263" s="5"/>
      <c r="F263" s="6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customFormat="false" ht="13.5" hidden="false" customHeight="true" outlineLevel="0" collapsed="false">
      <c r="A264" s="5"/>
      <c r="B264" s="5"/>
      <c r="C264" s="5"/>
      <c r="D264" s="5"/>
      <c r="E264" s="5"/>
      <c r="F264" s="6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customFormat="false" ht="13.5" hidden="false" customHeight="true" outlineLevel="0" collapsed="false">
      <c r="A265" s="5"/>
      <c r="B265" s="5"/>
      <c r="C265" s="5"/>
      <c r="D265" s="5"/>
      <c r="E265" s="5"/>
      <c r="F265" s="6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customFormat="false" ht="13.5" hidden="false" customHeight="true" outlineLevel="0" collapsed="false">
      <c r="A266" s="5"/>
      <c r="B266" s="5"/>
      <c r="C266" s="5"/>
      <c r="D266" s="5"/>
      <c r="E266" s="5"/>
      <c r="F266" s="6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customFormat="false" ht="13.5" hidden="false" customHeight="true" outlineLevel="0" collapsed="false">
      <c r="A267" s="5"/>
      <c r="B267" s="5"/>
      <c r="C267" s="5"/>
      <c r="D267" s="5"/>
      <c r="E267" s="5"/>
      <c r="F267" s="6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customFormat="false" ht="13.5" hidden="false" customHeight="true" outlineLevel="0" collapsed="false">
      <c r="A268" s="5"/>
      <c r="B268" s="5"/>
      <c r="C268" s="5"/>
      <c r="D268" s="5"/>
      <c r="E268" s="5"/>
      <c r="F268" s="6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customFormat="false" ht="13.5" hidden="false" customHeight="true" outlineLevel="0" collapsed="false">
      <c r="A269" s="24"/>
      <c r="B269" s="24"/>
      <c r="C269" s="24"/>
      <c r="D269" s="24"/>
      <c r="E269" s="24"/>
      <c r="F269" s="6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customFormat="false" ht="13.5" hidden="false" customHeight="true" outlineLevel="0" collapsed="false">
      <c r="A270" s="24"/>
      <c r="B270" s="24"/>
      <c r="C270" s="24"/>
      <c r="D270" s="24"/>
      <c r="E270" s="24"/>
      <c r="F270" s="6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customFormat="false" ht="13.5" hidden="false" customHeight="true" outlineLevel="0" collapsed="false">
      <c r="A271" s="24"/>
      <c r="B271" s="24"/>
      <c r="C271" s="24"/>
      <c r="D271" s="24"/>
      <c r="E271" s="24"/>
      <c r="F271" s="6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customFormat="false" ht="13.5" hidden="false" customHeight="true" outlineLevel="0" collapsed="false">
      <c r="A272" s="24"/>
      <c r="B272" s="24"/>
      <c r="C272" s="24"/>
      <c r="D272" s="24"/>
      <c r="E272" s="24"/>
      <c r="F272" s="6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customFormat="false" ht="13.5" hidden="false" customHeight="true" outlineLevel="0" collapsed="false">
      <c r="A273" s="24"/>
      <c r="B273" s="24"/>
      <c r="C273" s="24"/>
      <c r="D273" s="24"/>
      <c r="E273" s="24"/>
      <c r="F273" s="6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customFormat="false" ht="13.5" hidden="false" customHeight="true" outlineLevel="0" collapsed="false">
      <c r="A274" s="24"/>
      <c r="B274" s="24"/>
      <c r="C274" s="24"/>
      <c r="D274" s="24"/>
      <c r="E274" s="24"/>
      <c r="F274" s="6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customFormat="false" ht="13.5" hidden="false" customHeight="true" outlineLevel="0" collapsed="false">
      <c r="A275" s="24"/>
      <c r="B275" s="24"/>
      <c r="C275" s="24"/>
      <c r="D275" s="24"/>
      <c r="E275" s="24"/>
      <c r="F275" s="6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customFormat="false" ht="13.5" hidden="false" customHeight="true" outlineLevel="0" collapsed="false">
      <c r="A276" s="24"/>
      <c r="B276" s="24"/>
      <c r="C276" s="24"/>
      <c r="D276" s="24"/>
      <c r="E276" s="24"/>
      <c r="F276" s="6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customFormat="false" ht="13.5" hidden="false" customHeight="true" outlineLevel="0" collapsed="false">
      <c r="A277" s="24"/>
      <c r="B277" s="24"/>
      <c r="C277" s="24"/>
      <c r="D277" s="24"/>
      <c r="E277" s="24"/>
      <c r="F277" s="6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customFormat="false" ht="13.5" hidden="false" customHeight="true" outlineLevel="0" collapsed="false">
      <c r="A278" s="24"/>
      <c r="B278" s="24"/>
      <c r="C278" s="24"/>
      <c r="D278" s="24"/>
      <c r="E278" s="24"/>
      <c r="F278" s="6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customFormat="false" ht="13.5" hidden="false" customHeight="true" outlineLevel="0" collapsed="false">
      <c r="A279" s="24"/>
      <c r="B279" s="24"/>
      <c r="C279" s="24"/>
      <c r="D279" s="24"/>
      <c r="E279" s="24"/>
      <c r="F279" s="6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customFormat="false" ht="13.5" hidden="false" customHeight="true" outlineLevel="0" collapsed="false">
      <c r="A280" s="24"/>
      <c r="B280" s="24"/>
      <c r="C280" s="24"/>
      <c r="D280" s="24"/>
      <c r="E280" s="24"/>
      <c r="F280" s="6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customFormat="false" ht="13.5" hidden="false" customHeight="true" outlineLevel="0" collapsed="false">
      <c r="A281" s="24"/>
      <c r="B281" s="24"/>
      <c r="C281" s="24"/>
      <c r="D281" s="24"/>
      <c r="E281" s="24"/>
      <c r="F281" s="6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customFormat="false" ht="13.5" hidden="false" customHeight="true" outlineLevel="0" collapsed="false">
      <c r="A282" s="24"/>
      <c r="B282" s="24"/>
      <c r="C282" s="24"/>
      <c r="D282" s="24"/>
      <c r="E282" s="24"/>
      <c r="F282" s="6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customFormat="false" ht="13.5" hidden="false" customHeight="true" outlineLevel="0" collapsed="false">
      <c r="A283" s="24"/>
      <c r="B283" s="24"/>
      <c r="C283" s="24"/>
      <c r="D283" s="24"/>
      <c r="E283" s="24"/>
      <c r="F283" s="6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customFormat="false" ht="13.5" hidden="false" customHeight="true" outlineLevel="0" collapsed="false">
      <c r="A284" s="24"/>
      <c r="B284" s="24"/>
      <c r="C284" s="24"/>
      <c r="D284" s="24"/>
      <c r="E284" s="24"/>
      <c r="F284" s="6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customFormat="false" ht="13.5" hidden="false" customHeight="true" outlineLevel="0" collapsed="false">
      <c r="A285" s="24"/>
      <c r="B285" s="24"/>
      <c r="C285" s="24"/>
      <c r="D285" s="24"/>
      <c r="E285" s="24"/>
      <c r="F285" s="6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customFormat="false" ht="13.5" hidden="false" customHeight="true" outlineLevel="0" collapsed="false">
      <c r="A286" s="24"/>
      <c r="B286" s="24"/>
      <c r="C286" s="24"/>
      <c r="D286" s="24"/>
      <c r="E286" s="24"/>
      <c r="F286" s="6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69.43"/>
    <col collapsed="false" customWidth="true" hidden="false" outlineLevel="0" max="2" min="2" style="0" width="66.29"/>
    <col collapsed="false" customWidth="true" hidden="false" outlineLevel="0" max="3" min="3" style="0" width="24.71"/>
    <col collapsed="false" customWidth="true" hidden="false" outlineLevel="0" max="4" min="4" style="0" width="38.57"/>
    <col collapsed="false" customWidth="true" hidden="false" outlineLevel="0" max="6" min="5" style="0" width="9.14"/>
    <col collapsed="false" customWidth="true" hidden="false" outlineLevel="0" max="25" min="7" style="0" width="14.57"/>
  </cols>
  <sheetData>
    <row r="1" customFormat="false" ht="35.25" hidden="false" customHeight="true" outlineLevel="0" collapsed="false">
      <c r="A1" s="28" t="s">
        <v>446</v>
      </c>
      <c r="B1" s="28" t="s">
        <v>447</v>
      </c>
      <c r="C1" s="28" t="s">
        <v>448</v>
      </c>
      <c r="D1" s="31" t="s">
        <v>449</v>
      </c>
      <c r="E1" s="27" t="s">
        <v>450</v>
      </c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customFormat="false" ht="13.5" hidden="false" customHeight="true" outlineLevel="0" collapsed="false">
      <c r="A2" s="33" t="s">
        <v>451</v>
      </c>
      <c r="B2" s="34" t="s">
        <v>452</v>
      </c>
      <c r="C2" s="5" t="s">
        <v>453</v>
      </c>
      <c r="D2" s="5" t="s">
        <v>454</v>
      </c>
      <c r="E2" s="24" t="s">
        <v>455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Format="false" ht="13.5" hidden="false" customHeight="true" outlineLevel="0" collapsed="false">
      <c r="A3" s="5"/>
      <c r="B3" s="5"/>
      <c r="C3" s="5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customFormat="false" ht="13.5" hidden="false" customHeight="true" outlineLevel="0" collapsed="false">
      <c r="A4" s="5"/>
      <c r="B4" s="5"/>
      <c r="C4" s="5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customFormat="false" ht="13.5" hidden="false" customHeight="true" outlineLevel="0" collapsed="false">
      <c r="A5" s="5"/>
      <c r="B5" s="5"/>
      <c r="C5" s="5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customFormat="false" ht="13.5" hidden="false" customHeight="true" outlineLevel="0" collapsed="false">
      <c r="A6" s="5"/>
      <c r="B6" s="5"/>
      <c r="C6" s="5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customFormat="false" ht="13.5" hidden="false" customHeight="true" outlineLevel="0" collapsed="false">
      <c r="A7" s="5"/>
      <c r="B7" s="5"/>
      <c r="C7" s="5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customFormat="false" ht="13.5" hidden="false" customHeight="true" outlineLevel="0" collapsed="false">
      <c r="A8" s="5"/>
      <c r="B8" s="5"/>
      <c r="C8" s="5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customFormat="false" ht="13.5" hidden="false" customHeight="true" outlineLevel="0" collapsed="false">
      <c r="A9" s="5"/>
      <c r="B9" s="5"/>
      <c r="C9" s="5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customFormat="false" ht="13.5" hidden="false" customHeight="true" outlineLevel="0" collapsed="false">
      <c r="A10" s="5"/>
      <c r="B10" s="5"/>
      <c r="C10" s="5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customFormat="false" ht="13.5" hidden="false" customHeight="true" outlineLevel="0" collapsed="false">
      <c r="A11" s="5"/>
      <c r="B11" s="5"/>
      <c r="C11" s="5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customFormat="false" ht="13.5" hidden="false" customHeight="true" outlineLevel="0" collapsed="false">
      <c r="A12" s="5"/>
      <c r="B12" s="5"/>
      <c r="C12" s="5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customFormat="false" ht="13.5" hidden="false" customHeight="true" outlineLevel="0" collapsed="false">
      <c r="A13" s="5"/>
      <c r="B13" s="5"/>
      <c r="C13" s="5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customFormat="false" ht="13.5" hidden="false" customHeight="true" outlineLevel="0" collapsed="false">
      <c r="A14" s="5"/>
      <c r="B14" s="5"/>
      <c r="C14" s="5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3.5" hidden="false" customHeight="true" outlineLevel="0" collapsed="false">
      <c r="A15" s="5"/>
      <c r="B15" s="5"/>
      <c r="C15" s="5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3.5" hidden="false" customHeight="true" outlineLevel="0" collapsed="false">
      <c r="A16" s="5"/>
      <c r="B16" s="5"/>
      <c r="C16" s="5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3.5" hidden="false" customHeight="true" outlineLevel="0" collapsed="false">
      <c r="A17" s="5"/>
      <c r="B17" s="5"/>
      <c r="C17" s="5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customFormat="false" ht="13.5" hidden="false" customHeight="true" outlineLevel="0" collapsed="false">
      <c r="A18" s="5"/>
      <c r="B18" s="5"/>
      <c r="C18" s="5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customFormat="false" ht="13.5" hidden="false" customHeight="true" outlineLevel="0" collapsed="false">
      <c r="A19" s="5"/>
      <c r="B19" s="5"/>
      <c r="C19" s="5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customFormat="false" ht="13.5" hidden="false" customHeight="true" outlineLevel="0" collapsed="false">
      <c r="A20" s="5"/>
      <c r="B20" s="5"/>
      <c r="C20" s="5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customFormat="false" ht="13.5" hidden="false" customHeight="true" outlineLevel="0" collapsed="false">
      <c r="A21" s="5"/>
      <c r="B21" s="5"/>
      <c r="C21" s="5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customFormat="false" ht="13.5" hidden="false" customHeight="true" outlineLevel="0" collapsed="false">
      <c r="A22" s="5"/>
      <c r="B22" s="5"/>
      <c r="C22" s="5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customFormat="false" ht="13.5" hidden="false" customHeight="true" outlineLevel="0" collapsed="false">
      <c r="A23" s="5"/>
      <c r="B23" s="5"/>
      <c r="C23" s="5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customFormat="false" ht="13.5" hidden="false" customHeight="true" outlineLevel="0" collapsed="false">
      <c r="A24" s="5"/>
      <c r="B24" s="5"/>
      <c r="C24" s="5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customFormat="false" ht="13.5" hidden="false" customHeight="true" outlineLevel="0" collapsed="false">
      <c r="A25" s="5"/>
      <c r="B25" s="5"/>
      <c r="C25" s="5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customFormat="false" ht="13.5" hidden="false" customHeight="true" outlineLevel="0" collapsed="false">
      <c r="A26" s="5"/>
      <c r="B26" s="5"/>
      <c r="C26" s="5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customFormat="false" ht="13.5" hidden="false" customHeight="true" outlineLevel="0" collapsed="false">
      <c r="A27" s="5"/>
      <c r="B27" s="5"/>
      <c r="C27" s="5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customFormat="false" ht="13.5" hidden="false" customHeight="true" outlineLevel="0" collapsed="false">
      <c r="A28" s="5"/>
      <c r="B28" s="5"/>
      <c r="C28" s="5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customFormat="false" ht="13.5" hidden="false" customHeight="true" outlineLevel="0" collapsed="false">
      <c r="A29" s="5"/>
      <c r="B29" s="5"/>
      <c r="C29" s="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customFormat="false" ht="13.5" hidden="false" customHeight="true" outlineLevel="0" collapsed="false">
      <c r="A30" s="5"/>
      <c r="B30" s="5"/>
      <c r="C30" s="5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customFormat="false" ht="13.5" hidden="false" customHeight="true" outlineLevel="0" collapsed="false">
      <c r="A31" s="5"/>
      <c r="B31" s="5"/>
      <c r="C31" s="5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customFormat="false" ht="13.5" hidden="false" customHeight="true" outlineLevel="0" collapsed="false">
      <c r="A32" s="5"/>
      <c r="B32" s="5"/>
      <c r="C32" s="5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customFormat="false" ht="13.5" hidden="false" customHeight="true" outlineLevel="0" collapsed="false">
      <c r="A33" s="5"/>
      <c r="B33" s="5"/>
      <c r="C33" s="5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customFormat="false" ht="13.5" hidden="false" customHeight="true" outlineLevel="0" collapsed="false">
      <c r="A34" s="5"/>
      <c r="B34" s="5"/>
      <c r="C34" s="5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customFormat="false" ht="13.5" hidden="false" customHeight="true" outlineLevel="0" collapsed="false">
      <c r="A35" s="5"/>
      <c r="B35" s="5"/>
      <c r="C35" s="5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customFormat="false" ht="13.5" hidden="false" customHeight="true" outlineLevel="0" collapsed="false">
      <c r="A36" s="5"/>
      <c r="B36" s="5"/>
      <c r="C36" s="5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customFormat="false" ht="13.5" hidden="false" customHeight="true" outlineLevel="0" collapsed="false">
      <c r="A37" s="5"/>
      <c r="B37" s="5"/>
      <c r="C37" s="5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customFormat="false" ht="13.5" hidden="false" customHeight="true" outlineLevel="0" collapsed="false">
      <c r="A38" s="5"/>
      <c r="B38" s="5"/>
      <c r="C38" s="5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customFormat="false" ht="13.5" hidden="false" customHeight="true" outlineLevel="0" collapsed="false">
      <c r="A39" s="5"/>
      <c r="B39" s="5"/>
      <c r="C39" s="5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customFormat="false" ht="13.5" hidden="false" customHeight="true" outlineLevel="0" collapsed="false">
      <c r="A40" s="5"/>
      <c r="B40" s="5"/>
      <c r="C40" s="5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customFormat="false" ht="13.5" hidden="false" customHeight="true" outlineLevel="0" collapsed="false">
      <c r="A41" s="5"/>
      <c r="B41" s="5"/>
      <c r="C41" s="5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customFormat="false" ht="13.5" hidden="false" customHeight="true" outlineLevel="0" collapsed="false">
      <c r="A42" s="5"/>
      <c r="B42" s="5"/>
      <c r="C42" s="5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customFormat="false" ht="13.5" hidden="false" customHeight="true" outlineLevel="0" collapsed="false">
      <c r="A43" s="5"/>
      <c r="B43" s="5"/>
      <c r="C43" s="5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customFormat="false" ht="13.5" hidden="false" customHeight="true" outlineLevel="0" collapsed="false">
      <c r="A44" s="5"/>
      <c r="B44" s="5"/>
      <c r="C44" s="5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customFormat="false" ht="13.5" hidden="false" customHeight="true" outlineLevel="0" collapsed="false">
      <c r="A45" s="5"/>
      <c r="B45" s="5"/>
      <c r="C45" s="5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customFormat="false" ht="13.5" hidden="false" customHeight="true" outlineLevel="0" collapsed="false">
      <c r="A46" s="5"/>
      <c r="B46" s="5"/>
      <c r="C46" s="5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customFormat="false" ht="13.5" hidden="false" customHeight="true" outlineLevel="0" collapsed="false">
      <c r="A47" s="5"/>
      <c r="B47" s="5"/>
      <c r="C47" s="5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customFormat="false" ht="13.5" hidden="false" customHeight="true" outlineLevel="0" collapsed="false">
      <c r="A48" s="5"/>
      <c r="B48" s="5"/>
      <c r="C48" s="5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customFormat="false" ht="13.5" hidden="false" customHeight="true" outlineLevel="0" collapsed="false">
      <c r="A49" s="5"/>
      <c r="B49" s="5"/>
      <c r="C49" s="5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customFormat="false" ht="13.5" hidden="false" customHeight="true" outlineLevel="0" collapsed="false">
      <c r="A50" s="5"/>
      <c r="B50" s="5"/>
      <c r="C50" s="5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customFormat="false" ht="13.5" hidden="false" customHeight="true" outlineLevel="0" collapsed="false">
      <c r="A51" s="5"/>
      <c r="B51" s="5"/>
      <c r="C51" s="5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customFormat="false" ht="13.5" hidden="false" customHeight="true" outlineLevel="0" collapsed="false">
      <c r="A52" s="5"/>
      <c r="B52" s="5"/>
      <c r="C52" s="5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customFormat="false" ht="13.5" hidden="false" customHeight="true" outlineLevel="0" collapsed="false">
      <c r="A53" s="5"/>
      <c r="B53" s="5"/>
      <c r="C53" s="5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customFormat="false" ht="13.5" hidden="false" customHeight="true" outlineLevel="0" collapsed="false">
      <c r="A54" s="5"/>
      <c r="B54" s="5"/>
      <c r="C54" s="5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customFormat="false" ht="13.5" hidden="false" customHeight="true" outlineLevel="0" collapsed="false">
      <c r="A55" s="5"/>
      <c r="B55" s="5"/>
      <c r="C55" s="5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customFormat="false" ht="13.5" hidden="false" customHeight="true" outlineLevel="0" collapsed="false">
      <c r="A56" s="5"/>
      <c r="B56" s="5"/>
      <c r="C56" s="5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customFormat="false" ht="13.5" hidden="false" customHeight="true" outlineLevel="0" collapsed="false">
      <c r="A57" s="5"/>
      <c r="B57" s="5"/>
      <c r="C57" s="5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customFormat="false" ht="13.5" hidden="false" customHeight="true" outlineLevel="0" collapsed="false">
      <c r="A58" s="5"/>
      <c r="B58" s="5"/>
      <c r="C58" s="5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customFormat="false" ht="13.5" hidden="false" customHeight="true" outlineLevel="0" collapsed="false">
      <c r="A59" s="5"/>
      <c r="B59" s="5"/>
      <c r="C59" s="5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customFormat="false" ht="13.5" hidden="false" customHeight="true" outlineLevel="0" collapsed="false">
      <c r="A60" s="5"/>
      <c r="B60" s="5"/>
      <c r="C60" s="5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customFormat="false" ht="13.5" hidden="false" customHeight="true" outlineLevel="0" collapsed="false">
      <c r="A61" s="5"/>
      <c r="B61" s="5"/>
      <c r="C61" s="5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customFormat="false" ht="13.5" hidden="false" customHeight="true" outlineLevel="0" collapsed="false">
      <c r="A62" s="5"/>
      <c r="B62" s="5"/>
      <c r="C62" s="5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customFormat="false" ht="13.5" hidden="false" customHeight="true" outlineLevel="0" collapsed="false">
      <c r="A63" s="5"/>
      <c r="B63" s="5"/>
      <c r="C63" s="5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customFormat="false" ht="13.5" hidden="false" customHeight="true" outlineLevel="0" collapsed="false">
      <c r="A64" s="5"/>
      <c r="B64" s="5"/>
      <c r="C64" s="5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customFormat="false" ht="13.5" hidden="false" customHeight="true" outlineLevel="0" collapsed="false">
      <c r="A65" s="5"/>
      <c r="B65" s="5"/>
      <c r="C65" s="5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customFormat="false" ht="13.5" hidden="false" customHeight="true" outlineLevel="0" collapsed="false">
      <c r="A66" s="5"/>
      <c r="B66" s="5"/>
      <c r="C66" s="5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customFormat="false" ht="13.5" hidden="false" customHeight="true" outlineLevel="0" collapsed="false">
      <c r="A67" s="5"/>
      <c r="B67" s="5"/>
      <c r="C67" s="5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customFormat="false" ht="13.5" hidden="false" customHeight="true" outlineLevel="0" collapsed="false">
      <c r="A68" s="5"/>
      <c r="B68" s="5"/>
      <c r="C68" s="5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customFormat="false" ht="13.5" hidden="false" customHeight="true" outlineLevel="0" collapsed="false">
      <c r="A69" s="5"/>
      <c r="B69" s="5"/>
      <c r="C69" s="5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customFormat="false" ht="13.5" hidden="false" customHeight="true" outlineLevel="0" collapsed="false">
      <c r="A70" s="5"/>
      <c r="B70" s="5"/>
      <c r="C70" s="5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customFormat="false" ht="13.5" hidden="false" customHeight="true" outlineLevel="0" collapsed="false">
      <c r="A71" s="5"/>
      <c r="B71" s="5"/>
      <c r="C71" s="5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customFormat="false" ht="13.5" hidden="false" customHeight="true" outlineLevel="0" collapsed="false">
      <c r="A72" s="5"/>
      <c r="B72" s="5"/>
      <c r="C72" s="5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customFormat="false" ht="13.5" hidden="false" customHeight="true" outlineLevel="0" collapsed="false">
      <c r="A73" s="5"/>
      <c r="B73" s="5"/>
      <c r="C73" s="5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customFormat="false" ht="13.5" hidden="false" customHeight="true" outlineLevel="0" collapsed="false">
      <c r="A74" s="5"/>
      <c r="B74" s="5"/>
      <c r="C74" s="5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customFormat="false" ht="13.5" hidden="false" customHeight="true" outlineLevel="0" collapsed="false">
      <c r="A75" s="5"/>
      <c r="B75" s="5"/>
      <c r="C75" s="5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customFormat="false" ht="13.5" hidden="false" customHeight="true" outlineLevel="0" collapsed="false">
      <c r="A76" s="5"/>
      <c r="B76" s="5"/>
      <c r="C76" s="5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customFormat="false" ht="13.5" hidden="false" customHeight="true" outlineLevel="0" collapsed="false">
      <c r="A77" s="5"/>
      <c r="B77" s="5"/>
      <c r="C77" s="5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customFormat="false" ht="13.5" hidden="false" customHeight="true" outlineLevel="0" collapsed="false">
      <c r="A78" s="5"/>
      <c r="B78" s="5"/>
      <c r="C78" s="5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customFormat="false" ht="13.5" hidden="false" customHeight="true" outlineLevel="0" collapsed="false">
      <c r="A79" s="5"/>
      <c r="B79" s="5"/>
      <c r="C79" s="5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customFormat="false" ht="13.5" hidden="false" customHeight="true" outlineLevel="0" collapsed="false">
      <c r="A80" s="5"/>
      <c r="B80" s="5"/>
      <c r="C80" s="5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customFormat="false" ht="13.5" hidden="false" customHeight="true" outlineLevel="0" collapsed="false">
      <c r="A81" s="5"/>
      <c r="B81" s="5"/>
      <c r="C81" s="5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customFormat="false" ht="13.5" hidden="false" customHeight="true" outlineLevel="0" collapsed="false">
      <c r="A82" s="5"/>
      <c r="B82" s="5"/>
      <c r="C82" s="5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customFormat="false" ht="13.5" hidden="false" customHeight="true" outlineLevel="0" collapsed="false">
      <c r="A83" s="5"/>
      <c r="B83" s="5"/>
      <c r="C83" s="5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customFormat="false" ht="13.5" hidden="false" customHeight="true" outlineLevel="0" collapsed="false">
      <c r="A84" s="5"/>
      <c r="B84" s="5"/>
      <c r="C84" s="5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customFormat="false" ht="13.5" hidden="false" customHeight="true" outlineLevel="0" collapsed="false">
      <c r="A85" s="5"/>
      <c r="B85" s="5"/>
      <c r="C85" s="5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customFormat="false" ht="13.5" hidden="false" customHeight="true" outlineLevel="0" collapsed="false">
      <c r="A86" s="5"/>
      <c r="B86" s="5"/>
      <c r="C86" s="5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customFormat="false" ht="13.5" hidden="false" customHeight="true" outlineLevel="0" collapsed="false">
      <c r="A87" s="5"/>
      <c r="B87" s="5"/>
      <c r="C87" s="5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customFormat="false" ht="13.5" hidden="false" customHeight="true" outlineLevel="0" collapsed="false">
      <c r="A88" s="5"/>
      <c r="B88" s="5"/>
      <c r="C88" s="5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customFormat="false" ht="13.5" hidden="false" customHeight="true" outlineLevel="0" collapsed="false">
      <c r="A89" s="5"/>
      <c r="B89" s="5"/>
      <c r="C89" s="5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customFormat="false" ht="13.5" hidden="false" customHeight="true" outlineLevel="0" collapsed="false">
      <c r="A90" s="5"/>
      <c r="B90" s="5"/>
      <c r="C90" s="5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customFormat="false" ht="13.5" hidden="false" customHeight="true" outlineLevel="0" collapsed="false">
      <c r="A91" s="5"/>
      <c r="B91" s="5"/>
      <c r="C91" s="5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customFormat="false" ht="13.5" hidden="false" customHeight="true" outlineLevel="0" collapsed="false">
      <c r="A92" s="5"/>
      <c r="B92" s="5"/>
      <c r="C92" s="5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customFormat="false" ht="13.5" hidden="false" customHeight="true" outlineLevel="0" collapsed="false">
      <c r="A93" s="5"/>
      <c r="B93" s="5"/>
      <c r="C93" s="5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customFormat="false" ht="13.5" hidden="false" customHeight="true" outlineLevel="0" collapsed="false">
      <c r="A94" s="5"/>
      <c r="B94" s="5"/>
      <c r="C94" s="5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customFormat="false" ht="13.5" hidden="false" customHeight="true" outlineLevel="0" collapsed="false">
      <c r="A95" s="5"/>
      <c r="B95" s="5"/>
      <c r="C95" s="5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customFormat="false" ht="13.5" hidden="false" customHeight="true" outlineLevel="0" collapsed="false">
      <c r="A96" s="5"/>
      <c r="B96" s="5"/>
      <c r="C96" s="5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customFormat="false" ht="13.5" hidden="false" customHeight="true" outlineLevel="0" collapsed="false">
      <c r="A97" s="5"/>
      <c r="B97" s="5"/>
      <c r="C97" s="5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customFormat="false" ht="13.5" hidden="false" customHeight="true" outlineLevel="0" collapsed="false">
      <c r="A98" s="5"/>
      <c r="B98" s="5"/>
      <c r="C98" s="5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customFormat="false" ht="13.5" hidden="false" customHeight="true" outlineLevel="0" collapsed="false">
      <c r="A99" s="5"/>
      <c r="B99" s="5"/>
      <c r="C99" s="5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customFormat="false" ht="13.5" hidden="false" customHeight="true" outlineLevel="0" collapsed="false">
      <c r="A100" s="5"/>
      <c r="B100" s="5"/>
      <c r="C100" s="5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customFormat="false" ht="13.5" hidden="false" customHeight="true" outlineLevel="0" collapsed="false">
      <c r="A101" s="5"/>
      <c r="B101" s="5"/>
      <c r="C101" s="5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customFormat="false" ht="13.5" hidden="false" customHeight="true" outlineLevel="0" collapsed="false">
      <c r="A102" s="5"/>
      <c r="B102" s="5"/>
      <c r="C102" s="5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customFormat="false" ht="13.5" hidden="false" customHeight="true" outlineLevel="0" collapsed="false">
      <c r="A103" s="5"/>
      <c r="B103" s="5"/>
      <c r="C103" s="5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customFormat="false" ht="13.5" hidden="false" customHeight="true" outlineLevel="0" collapsed="false">
      <c r="A104" s="5"/>
      <c r="B104" s="5"/>
      <c r="C104" s="5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customFormat="false" ht="13.5" hidden="false" customHeight="true" outlineLevel="0" collapsed="false">
      <c r="A105" s="5"/>
      <c r="B105" s="5"/>
      <c r="C105" s="5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customFormat="false" ht="13.5" hidden="false" customHeight="true" outlineLevel="0" collapsed="false">
      <c r="A106" s="5"/>
      <c r="B106" s="5"/>
      <c r="C106" s="5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customFormat="false" ht="13.5" hidden="false" customHeight="true" outlineLevel="0" collapsed="false">
      <c r="A107" s="5"/>
      <c r="B107" s="5"/>
      <c r="C107" s="5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customFormat="false" ht="13.5" hidden="false" customHeight="true" outlineLevel="0" collapsed="false">
      <c r="A108" s="5"/>
      <c r="B108" s="5"/>
      <c r="C108" s="5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customFormat="false" ht="13.5" hidden="false" customHeight="true" outlineLevel="0" collapsed="false">
      <c r="A109" s="5"/>
      <c r="B109" s="5"/>
      <c r="C109" s="5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customFormat="false" ht="13.5" hidden="false" customHeight="true" outlineLevel="0" collapsed="false">
      <c r="A110" s="5"/>
      <c r="B110" s="5"/>
      <c r="C110" s="5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customFormat="false" ht="13.5" hidden="false" customHeight="true" outlineLevel="0" collapsed="false">
      <c r="A111" s="5"/>
      <c r="B111" s="5"/>
      <c r="C111" s="5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customFormat="false" ht="13.5" hidden="false" customHeight="true" outlineLevel="0" collapsed="false">
      <c r="A112" s="5"/>
      <c r="B112" s="5"/>
      <c r="C112" s="5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customFormat="false" ht="13.5" hidden="false" customHeight="true" outlineLevel="0" collapsed="false">
      <c r="A113" s="5"/>
      <c r="B113" s="5"/>
      <c r="C113" s="5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customFormat="false" ht="13.5" hidden="false" customHeight="true" outlineLevel="0" collapsed="false">
      <c r="A114" s="5"/>
      <c r="B114" s="5"/>
      <c r="C114" s="5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customFormat="false" ht="13.5" hidden="false" customHeight="true" outlineLevel="0" collapsed="false">
      <c r="A115" s="5"/>
      <c r="B115" s="5"/>
      <c r="C115" s="5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customFormat="false" ht="13.5" hidden="false" customHeight="true" outlineLevel="0" collapsed="false">
      <c r="A116" s="5"/>
      <c r="B116" s="5"/>
      <c r="C116" s="5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customFormat="false" ht="13.5" hidden="false" customHeight="true" outlineLevel="0" collapsed="false">
      <c r="A117" s="5"/>
      <c r="B117" s="5"/>
      <c r="C117" s="5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customFormat="false" ht="13.5" hidden="false" customHeight="true" outlineLevel="0" collapsed="false">
      <c r="A118" s="5"/>
      <c r="B118" s="5"/>
      <c r="C118" s="5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customFormat="false" ht="13.5" hidden="false" customHeight="true" outlineLevel="0" collapsed="false">
      <c r="A119" s="5"/>
      <c r="B119" s="5"/>
      <c r="C119" s="5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customFormat="false" ht="13.5" hidden="false" customHeight="true" outlineLevel="0" collapsed="false">
      <c r="A120" s="5"/>
      <c r="B120" s="5"/>
      <c r="C120" s="5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customFormat="false" ht="13.5" hidden="false" customHeight="true" outlineLevel="0" collapsed="false">
      <c r="A121" s="5"/>
      <c r="B121" s="5"/>
      <c r="C121" s="5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customFormat="false" ht="13.5" hidden="false" customHeight="true" outlineLevel="0" collapsed="false">
      <c r="A122" s="5"/>
      <c r="B122" s="5"/>
      <c r="C122" s="5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customFormat="false" ht="13.5" hidden="false" customHeight="true" outlineLevel="0" collapsed="false">
      <c r="A123" s="5"/>
      <c r="B123" s="5"/>
      <c r="C123" s="5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customFormat="false" ht="13.5" hidden="false" customHeight="true" outlineLevel="0" collapsed="false">
      <c r="A124" s="5"/>
      <c r="B124" s="5"/>
      <c r="C124" s="5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customFormat="false" ht="13.5" hidden="false" customHeight="true" outlineLevel="0" collapsed="false">
      <c r="A125" s="5"/>
      <c r="B125" s="5"/>
      <c r="C125" s="5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customFormat="false" ht="13.5" hidden="false" customHeight="true" outlineLevel="0" collapsed="false">
      <c r="A126" s="5"/>
      <c r="B126" s="5"/>
      <c r="C126" s="5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customFormat="false" ht="13.5" hidden="false" customHeight="true" outlineLevel="0" collapsed="false">
      <c r="A127" s="5"/>
      <c r="B127" s="5"/>
      <c r="C127" s="5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customFormat="false" ht="13.5" hidden="false" customHeight="true" outlineLevel="0" collapsed="false">
      <c r="A128" s="5"/>
      <c r="B128" s="5"/>
      <c r="C128" s="5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customFormat="false" ht="13.5" hidden="false" customHeight="true" outlineLevel="0" collapsed="false">
      <c r="A129" s="5"/>
      <c r="B129" s="5"/>
      <c r="C129" s="5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customFormat="false" ht="13.5" hidden="false" customHeight="true" outlineLevel="0" collapsed="false">
      <c r="A130" s="5"/>
      <c r="B130" s="5"/>
      <c r="C130" s="5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customFormat="false" ht="13.5" hidden="false" customHeight="true" outlineLevel="0" collapsed="false">
      <c r="A131" s="5"/>
      <c r="B131" s="5"/>
      <c r="C131" s="5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customFormat="false" ht="13.5" hidden="false" customHeight="true" outlineLevel="0" collapsed="false">
      <c r="A132" s="5"/>
      <c r="B132" s="5"/>
      <c r="C132" s="5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customFormat="false" ht="13.5" hidden="false" customHeight="true" outlineLevel="0" collapsed="false">
      <c r="A133" s="5"/>
      <c r="B133" s="5"/>
      <c r="C133" s="5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customFormat="false" ht="13.5" hidden="false" customHeight="true" outlineLevel="0" collapsed="false">
      <c r="A134" s="5"/>
      <c r="B134" s="5"/>
      <c r="C134" s="5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customFormat="false" ht="13.5" hidden="false" customHeight="true" outlineLevel="0" collapsed="false">
      <c r="A135" s="5"/>
      <c r="B135" s="5"/>
      <c r="C135" s="5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customFormat="false" ht="13.5" hidden="false" customHeight="true" outlineLevel="0" collapsed="false">
      <c r="A136" s="5"/>
      <c r="B136" s="5"/>
      <c r="C136" s="5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customFormat="false" ht="13.5" hidden="false" customHeight="true" outlineLevel="0" collapsed="false">
      <c r="A137" s="5"/>
      <c r="B137" s="5"/>
      <c r="C137" s="5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customFormat="false" ht="13.5" hidden="false" customHeight="true" outlineLevel="0" collapsed="false">
      <c r="A138" s="5"/>
      <c r="B138" s="5"/>
      <c r="C138" s="5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customFormat="false" ht="13.5" hidden="false" customHeight="true" outlineLevel="0" collapsed="false">
      <c r="A139" s="5"/>
      <c r="B139" s="5"/>
      <c r="C139" s="5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customFormat="false" ht="13.5" hidden="false" customHeight="true" outlineLevel="0" collapsed="false">
      <c r="A140" s="5"/>
      <c r="B140" s="5"/>
      <c r="C140" s="5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customFormat="false" ht="13.5" hidden="false" customHeight="true" outlineLevel="0" collapsed="false">
      <c r="A141" s="5"/>
      <c r="B141" s="5"/>
      <c r="C141" s="5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customFormat="false" ht="13.5" hidden="false" customHeight="true" outlineLevel="0" collapsed="false">
      <c r="A142" s="5"/>
      <c r="B142" s="5"/>
      <c r="C142" s="5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customFormat="false" ht="13.5" hidden="false" customHeight="true" outlineLevel="0" collapsed="false">
      <c r="A143" s="5"/>
      <c r="B143" s="5"/>
      <c r="C143" s="5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customFormat="false" ht="13.5" hidden="false" customHeight="true" outlineLevel="0" collapsed="false">
      <c r="A144" s="5"/>
      <c r="B144" s="5"/>
      <c r="C144" s="5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customFormat="false" ht="13.5" hidden="false" customHeight="true" outlineLevel="0" collapsed="false">
      <c r="A145" s="5"/>
      <c r="B145" s="5"/>
      <c r="C145" s="5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customFormat="false" ht="13.5" hidden="false" customHeight="true" outlineLevel="0" collapsed="false">
      <c r="A146" s="5"/>
      <c r="B146" s="5"/>
      <c r="C146" s="5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customFormat="false" ht="13.5" hidden="false" customHeight="true" outlineLevel="0" collapsed="false">
      <c r="A147" s="5"/>
      <c r="B147" s="5"/>
      <c r="C147" s="5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customFormat="false" ht="13.5" hidden="false" customHeight="true" outlineLevel="0" collapsed="false">
      <c r="A148" s="5"/>
      <c r="B148" s="5"/>
      <c r="C148" s="5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customFormat="false" ht="13.5" hidden="false" customHeight="true" outlineLevel="0" collapsed="false">
      <c r="A149" s="5"/>
      <c r="B149" s="5"/>
      <c r="C149" s="5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customFormat="false" ht="13.5" hidden="false" customHeight="true" outlineLevel="0" collapsed="false">
      <c r="A150" s="5"/>
      <c r="B150" s="5"/>
      <c r="C150" s="5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customFormat="false" ht="13.5" hidden="false" customHeight="true" outlineLevel="0" collapsed="false">
      <c r="A151" s="5"/>
      <c r="B151" s="5"/>
      <c r="C151" s="5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customFormat="false" ht="13.5" hidden="false" customHeight="true" outlineLevel="0" collapsed="false">
      <c r="A152" s="5"/>
      <c r="B152" s="5"/>
      <c r="C152" s="5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customFormat="false" ht="13.5" hidden="false" customHeight="true" outlineLevel="0" collapsed="false">
      <c r="A153" s="5"/>
      <c r="B153" s="5"/>
      <c r="C153" s="5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customFormat="false" ht="13.5" hidden="false" customHeight="true" outlineLevel="0" collapsed="false">
      <c r="A154" s="5"/>
      <c r="B154" s="5"/>
      <c r="C154" s="5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customFormat="false" ht="13.5" hidden="false" customHeight="true" outlineLevel="0" collapsed="false">
      <c r="A155" s="5"/>
      <c r="B155" s="5"/>
      <c r="C155" s="5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customFormat="false" ht="13.5" hidden="false" customHeight="true" outlineLevel="0" collapsed="false">
      <c r="A156" s="5"/>
      <c r="B156" s="5"/>
      <c r="C156" s="5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customFormat="false" ht="13.5" hidden="false" customHeight="true" outlineLevel="0" collapsed="false">
      <c r="A157" s="5"/>
      <c r="B157" s="5"/>
      <c r="C157" s="5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customFormat="false" ht="13.5" hidden="false" customHeight="true" outlineLevel="0" collapsed="false">
      <c r="A158" s="5"/>
      <c r="B158" s="5"/>
      <c r="C158" s="5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customFormat="false" ht="13.5" hidden="false" customHeight="true" outlineLevel="0" collapsed="false">
      <c r="A159" s="5"/>
      <c r="B159" s="5"/>
      <c r="C159" s="5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customFormat="false" ht="13.5" hidden="false" customHeight="true" outlineLevel="0" collapsed="false">
      <c r="A160" s="5"/>
      <c r="B160" s="5"/>
      <c r="C160" s="5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customFormat="false" ht="13.5" hidden="false" customHeight="true" outlineLevel="0" collapsed="false">
      <c r="A161" s="5"/>
      <c r="B161" s="5"/>
      <c r="C161" s="5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customFormat="false" ht="13.5" hidden="false" customHeight="true" outlineLevel="0" collapsed="false">
      <c r="A162" s="5"/>
      <c r="B162" s="5"/>
      <c r="C162" s="5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customFormat="false" ht="13.5" hidden="false" customHeight="true" outlineLevel="0" collapsed="false">
      <c r="A163" s="5"/>
      <c r="B163" s="5"/>
      <c r="C163" s="5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customFormat="false" ht="13.5" hidden="false" customHeight="true" outlineLevel="0" collapsed="false">
      <c r="A164" s="5"/>
      <c r="B164" s="5"/>
      <c r="C164" s="5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customFormat="false" ht="13.5" hidden="false" customHeight="true" outlineLevel="0" collapsed="false">
      <c r="A165" s="5"/>
      <c r="B165" s="5"/>
      <c r="C165" s="5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customFormat="false" ht="13.5" hidden="false" customHeight="true" outlineLevel="0" collapsed="false">
      <c r="A166" s="5"/>
      <c r="B166" s="5"/>
      <c r="C166" s="5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customFormat="false" ht="13.5" hidden="false" customHeight="true" outlineLevel="0" collapsed="false">
      <c r="A167" s="5"/>
      <c r="B167" s="5"/>
      <c r="C167" s="5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customFormat="false" ht="13.5" hidden="false" customHeight="true" outlineLevel="0" collapsed="false">
      <c r="A168" s="5"/>
      <c r="B168" s="5"/>
      <c r="C168" s="5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customFormat="false" ht="13.5" hidden="false" customHeight="true" outlineLevel="0" collapsed="false">
      <c r="A169" s="5"/>
      <c r="B169" s="5"/>
      <c r="C169" s="5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customFormat="false" ht="13.5" hidden="false" customHeight="true" outlineLevel="0" collapsed="false">
      <c r="A170" s="5"/>
      <c r="B170" s="5"/>
      <c r="C170" s="5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customFormat="false" ht="13.5" hidden="false" customHeight="true" outlineLevel="0" collapsed="false">
      <c r="A171" s="5"/>
      <c r="B171" s="5"/>
      <c r="C171" s="5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customFormat="false" ht="13.5" hidden="false" customHeight="true" outlineLevel="0" collapsed="false">
      <c r="A172" s="5"/>
      <c r="B172" s="5"/>
      <c r="C172" s="5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customFormat="false" ht="13.5" hidden="false" customHeight="true" outlineLevel="0" collapsed="false">
      <c r="A173" s="5"/>
      <c r="B173" s="5"/>
      <c r="C173" s="5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customFormat="false" ht="13.5" hidden="false" customHeight="true" outlineLevel="0" collapsed="false">
      <c r="A174" s="5"/>
      <c r="B174" s="5"/>
      <c r="C174" s="5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customFormat="false" ht="13.5" hidden="false" customHeight="true" outlineLevel="0" collapsed="false">
      <c r="A175" s="5"/>
      <c r="B175" s="5"/>
      <c r="C175" s="5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customFormat="false" ht="13.5" hidden="false" customHeight="true" outlineLevel="0" collapsed="false">
      <c r="A176" s="5"/>
      <c r="B176" s="5"/>
      <c r="C176" s="5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customFormat="false" ht="13.5" hidden="false" customHeight="true" outlineLevel="0" collapsed="false">
      <c r="A177" s="5"/>
      <c r="B177" s="5"/>
      <c r="C177" s="5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customFormat="false" ht="13.5" hidden="false" customHeight="true" outlineLevel="0" collapsed="false">
      <c r="A178" s="5"/>
      <c r="B178" s="5"/>
      <c r="C178" s="5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customFormat="false" ht="13.5" hidden="false" customHeight="true" outlineLevel="0" collapsed="false">
      <c r="A179" s="5"/>
      <c r="B179" s="5"/>
      <c r="C179" s="5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customFormat="false" ht="13.5" hidden="false" customHeight="true" outlineLevel="0" collapsed="false">
      <c r="A180" s="5"/>
      <c r="B180" s="5"/>
      <c r="C180" s="5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customFormat="false" ht="13.5" hidden="false" customHeight="true" outlineLevel="0" collapsed="false">
      <c r="A181" s="5"/>
      <c r="B181" s="5"/>
      <c r="C181" s="5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customFormat="false" ht="13.5" hidden="false" customHeight="true" outlineLevel="0" collapsed="false">
      <c r="A182" s="5"/>
      <c r="B182" s="5"/>
      <c r="C182" s="5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customFormat="false" ht="13.5" hidden="false" customHeight="true" outlineLevel="0" collapsed="false">
      <c r="A183" s="5"/>
      <c r="B183" s="5"/>
      <c r="C183" s="5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customFormat="false" ht="13.5" hidden="false" customHeight="true" outlineLevel="0" collapsed="false">
      <c r="A184" s="5"/>
      <c r="B184" s="5"/>
      <c r="C184" s="5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customFormat="false" ht="13.5" hidden="false" customHeight="true" outlineLevel="0" collapsed="false">
      <c r="A185" s="5"/>
      <c r="B185" s="5"/>
      <c r="C185" s="5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customFormat="false" ht="13.5" hidden="false" customHeight="true" outlineLevel="0" collapsed="false">
      <c r="A186" s="5"/>
      <c r="B186" s="5"/>
      <c r="C186" s="5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customFormat="false" ht="13.5" hidden="false" customHeight="true" outlineLevel="0" collapsed="false">
      <c r="A187" s="5"/>
      <c r="B187" s="5"/>
      <c r="C187" s="5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customFormat="false" ht="13.5" hidden="false" customHeight="true" outlineLevel="0" collapsed="false">
      <c r="A188" s="5"/>
      <c r="B188" s="5"/>
      <c r="C188" s="5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customFormat="false" ht="13.5" hidden="false" customHeight="true" outlineLevel="0" collapsed="false">
      <c r="A189" s="5"/>
      <c r="B189" s="5"/>
      <c r="C189" s="5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customFormat="false" ht="13.5" hidden="false" customHeight="true" outlineLevel="0" collapsed="false">
      <c r="A190" s="5"/>
      <c r="B190" s="5"/>
      <c r="C190" s="5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customFormat="false" ht="13.5" hidden="false" customHeight="true" outlineLevel="0" collapsed="false">
      <c r="A191" s="5"/>
      <c r="B191" s="5"/>
      <c r="C191" s="5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customFormat="false" ht="13.5" hidden="false" customHeight="true" outlineLevel="0" collapsed="false">
      <c r="A192" s="5"/>
      <c r="B192" s="5"/>
      <c r="C192" s="5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customFormat="false" ht="13.5" hidden="false" customHeight="true" outlineLevel="0" collapsed="false">
      <c r="A193" s="5"/>
      <c r="B193" s="5"/>
      <c r="C193" s="5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customFormat="false" ht="13.5" hidden="false" customHeight="true" outlineLevel="0" collapsed="false">
      <c r="A194" s="5"/>
      <c r="B194" s="5"/>
      <c r="C194" s="5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customFormat="false" ht="13.5" hidden="false" customHeight="true" outlineLevel="0" collapsed="false">
      <c r="A195" s="5"/>
      <c r="B195" s="5"/>
      <c r="C195" s="5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customFormat="false" ht="13.5" hidden="false" customHeight="true" outlineLevel="0" collapsed="false">
      <c r="A196" s="5"/>
      <c r="B196" s="5"/>
      <c r="C196" s="5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customFormat="false" ht="13.5" hidden="false" customHeight="true" outlineLevel="0" collapsed="false">
      <c r="A197" s="5"/>
      <c r="B197" s="5"/>
      <c r="C197" s="5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customFormat="false" ht="13.5" hidden="false" customHeight="true" outlineLevel="0" collapsed="false">
      <c r="A198" s="5"/>
      <c r="B198" s="5"/>
      <c r="C198" s="5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customFormat="false" ht="13.5" hidden="false" customHeight="true" outlineLevel="0" collapsed="false">
      <c r="A199" s="5"/>
      <c r="B199" s="5"/>
      <c r="C199" s="5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customFormat="false" ht="13.5" hidden="false" customHeight="true" outlineLevel="0" collapsed="false">
      <c r="A200" s="5"/>
      <c r="B200" s="5"/>
      <c r="C200" s="5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customFormat="false" ht="13.5" hidden="false" customHeight="true" outlineLevel="0" collapsed="false">
      <c r="A201" s="5"/>
      <c r="B201" s="5"/>
      <c r="C201" s="5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customFormat="false" ht="13.5" hidden="false" customHeight="true" outlineLevel="0" collapsed="false">
      <c r="A202" s="5"/>
      <c r="B202" s="5"/>
      <c r="C202" s="5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customFormat="false" ht="13.5" hidden="false" customHeight="true" outlineLevel="0" collapsed="false">
      <c r="A203" s="5"/>
      <c r="B203" s="5"/>
      <c r="C203" s="5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customFormat="false" ht="13.5" hidden="false" customHeight="true" outlineLevel="0" collapsed="false">
      <c r="A204" s="5"/>
      <c r="B204" s="5"/>
      <c r="C204" s="5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customFormat="false" ht="13.5" hidden="false" customHeight="true" outlineLevel="0" collapsed="false">
      <c r="A205" s="5"/>
      <c r="B205" s="5"/>
      <c r="C205" s="5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customFormat="false" ht="13.5" hidden="false" customHeight="true" outlineLevel="0" collapsed="false">
      <c r="A206" s="5"/>
      <c r="B206" s="5"/>
      <c r="C206" s="5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customFormat="false" ht="13.5" hidden="false" customHeight="true" outlineLevel="0" collapsed="false">
      <c r="A207" s="5"/>
      <c r="B207" s="5"/>
      <c r="C207" s="5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customFormat="false" ht="13.5" hidden="false" customHeight="true" outlineLevel="0" collapsed="false">
      <c r="A208" s="5"/>
      <c r="B208" s="5"/>
      <c r="C208" s="5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customFormat="false" ht="13.5" hidden="false" customHeight="true" outlineLevel="0" collapsed="false">
      <c r="A209" s="5"/>
      <c r="B209" s="5"/>
      <c r="C209" s="5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customFormat="false" ht="13.5" hidden="false" customHeight="true" outlineLevel="0" collapsed="false">
      <c r="A210" s="5"/>
      <c r="B210" s="5"/>
      <c r="C210" s="5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customFormat="false" ht="13.5" hidden="false" customHeight="true" outlineLevel="0" collapsed="false">
      <c r="A211" s="5"/>
      <c r="B211" s="5"/>
      <c r="C211" s="5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customFormat="false" ht="13.5" hidden="false" customHeight="true" outlineLevel="0" collapsed="false">
      <c r="A212" s="5"/>
      <c r="B212" s="5"/>
      <c r="C212" s="5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customFormat="false" ht="13.5" hidden="false" customHeight="true" outlineLevel="0" collapsed="false">
      <c r="A213" s="5"/>
      <c r="B213" s="5"/>
      <c r="C213" s="5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customFormat="false" ht="13.5" hidden="false" customHeight="true" outlineLevel="0" collapsed="false">
      <c r="A214" s="5"/>
      <c r="B214" s="5"/>
      <c r="C214" s="5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customFormat="false" ht="13.5" hidden="false" customHeight="true" outlineLevel="0" collapsed="false">
      <c r="A215" s="5"/>
      <c r="B215" s="5"/>
      <c r="C215" s="5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customFormat="false" ht="13.5" hidden="false" customHeight="true" outlineLevel="0" collapsed="false">
      <c r="A216" s="5"/>
      <c r="B216" s="5"/>
      <c r="C216" s="5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customFormat="false" ht="13.5" hidden="false" customHeight="true" outlineLevel="0" collapsed="false">
      <c r="A217" s="5"/>
      <c r="B217" s="5"/>
      <c r="C217" s="5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customFormat="false" ht="13.5" hidden="false" customHeight="true" outlineLevel="0" collapsed="false">
      <c r="A218" s="5"/>
      <c r="B218" s="5"/>
      <c r="C218" s="5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customFormat="false" ht="13.5" hidden="false" customHeight="true" outlineLevel="0" collapsed="false">
      <c r="A219" s="5"/>
      <c r="B219" s="5"/>
      <c r="C219" s="5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customFormat="false" ht="13.5" hidden="false" customHeight="true" outlineLevel="0" collapsed="false">
      <c r="A220" s="5"/>
      <c r="B220" s="5"/>
      <c r="C220" s="5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2026-05-04T15:11:39Z</dcterms:modified>
  <cp:revision>2</cp:revision>
  <dc:subject/>
  <dc:title/>
</cp:coreProperties>
</file>