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QhsdZ3yIdh7WMBXPBDBbAigA2ljjNKO0ZvgWQF0aPDM="/>
    </ext>
  </extLst>
</workbook>
</file>

<file path=xl/sharedStrings.xml><?xml version="1.0" encoding="utf-8"?>
<sst xmlns="http://schemas.openxmlformats.org/spreadsheetml/2006/main" count="463" uniqueCount="345">
  <si>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</si>
  <si>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</si>
  <si>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</si>
  <si>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</si>
  <si>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</si>
  <si>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</si>
  <si>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</si>
  <si>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relevant</t>
  </si>
  <si>
    <t>read_only</t>
  </si>
  <si>
    <t>calculation</t>
  </si>
  <si>
    <t>hint::English(en)</t>
  </si>
  <si>
    <t>hint::Hindi(hi)</t>
  </si>
  <si>
    <t>hint::Gujarati(gu)</t>
  </si>
  <si>
    <t>hint::Kannada(kn)</t>
  </si>
  <si>
    <t>appearance</t>
  </si>
  <si>
    <t>parameters</t>
  </si>
  <si>
    <t>required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</si>
  <si>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</si>
  <si>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</si>
  <si>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</si>
  <si>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</si>
  <si>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</si>
  <si>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start</t>
  </si>
  <si>
    <t>end</t>
  </si>
  <si>
    <t>today</t>
  </si>
  <si>
    <t>deviceid</t>
  </si>
  <si>
    <t>text</t>
  </si>
  <si>
    <t>beneficiary_settlement</t>
  </si>
  <si>
    <t>Name of Beneficiary's Settlement</t>
  </si>
  <si>
    <t>लाभ मिलने वाला टोला का नाम</t>
  </si>
  <si>
    <t>ಫಲಾನುಭವಿಯ ಇತ್ಯರ್ಥದ ಹೆಸರು</t>
  </si>
  <si>
    <t>yes</t>
  </si>
  <si>
    <t>select_one demand</t>
  </si>
  <si>
    <t>demand_type</t>
  </si>
  <si>
    <t>Type of demand</t>
  </si>
  <si>
    <t>ಬೇಡಿಕೆಯ ಪ್ರಕಾರ</t>
  </si>
  <si>
    <t>Beneficiary_Name</t>
  </si>
  <si>
    <t>Beneficiary's Name</t>
  </si>
  <si>
    <t>लाभार्थी का नाम</t>
  </si>
  <si>
    <t>ಫಲಾನುಭವಿಯ ಹೆಸರು</t>
  </si>
  <si>
    <t>${demand_type}='Individual_demand'</t>
  </si>
  <si>
    <t>ben_father</t>
  </si>
  <si>
    <t>Beneficiary's Father/Husband name</t>
  </si>
  <si>
    <t>लाभार्थी के पिता का नाम</t>
  </si>
  <si>
    <t>ಫಲಾನುಭವಿಯ ತಂದೆಯ ಹೆಸರು</t>
  </si>
  <si>
    <t xml:space="preserve">regex(., '[a-zA-Z]+') </t>
  </si>
  <si>
    <t>integer</t>
  </si>
  <si>
    <t>Beneficiary_Contact_Number</t>
  </si>
  <si>
    <t>Beneficiary's Contact Number</t>
  </si>
  <si>
    <t>लाभार्थी का फोन नंबर</t>
  </si>
  <si>
    <t>ಫಲಾನುಭವಿಯ ಸಂಪರ್ಕ ಸಂಖ್ಯೆ</t>
  </si>
  <si>
    <t>regex(., '^(\\+?91[ -]?)?0?[6-9][0-9]{2}[ -]?[0-9]{3}[ -]?[0-9]{4}$')</t>
  </si>
  <si>
    <t>Enter a phone number (format: 9876543210)</t>
  </si>
  <si>
    <t>select_one irrigation_structure</t>
  </si>
  <si>
    <t>select_one_irrigation_structure</t>
  </si>
  <si>
    <t xml:space="preserve">Select the type of repair maintenance required  in this irrigation structure ?
</t>
  </si>
  <si>
    <t>सिंचाई स्ट्रक्चर का प्रकार चुने</t>
  </si>
  <si>
    <t xml:space="preserve">ಈ ನೀರಾವರಿ ರಚನೆಯಲ್ಲಿ ಅಗತ್ಯವಿರುವ ದುರಸ್ತಿ ನಿರ್ವಹಣೆಯ ಪ್ರಕಾರವನ್ನು ಆಯ್ಕೆಮಾಡಿ?
</t>
  </si>
  <si>
    <t>${demand_type}='Individual_demand' or ${demand_type}='Community_demand'</t>
  </si>
  <si>
    <r>
      <rPr>
        <rFont val="Arial"/>
        <color theme="1"/>
        <sz val="11.0"/>
      </rPr>
      <t>select_multiple f</t>
    </r>
    <r>
      <rPr>
        <rFont val="Arial"/>
        <color rgb="FF333333"/>
        <sz val="11.0"/>
      </rPr>
      <t>arm_pond or_other</t>
    </r>
  </si>
  <si>
    <r>
      <rPr>
        <rFont val="Arial"/>
        <color theme="1"/>
        <sz val="11.0"/>
      </rPr>
      <t>select_one_f</t>
    </r>
    <r>
      <rPr>
        <rFont val="Arial"/>
        <color rgb="FF333333"/>
        <sz val="11.0"/>
      </rPr>
      <t>arm_pond</t>
    </r>
  </si>
  <si>
    <t>Select the type of repair maintenance required for farm pond?</t>
  </si>
  <si>
    <t>ಕೃಷಿ ಹೊಂಡಕ್ಕೆ ಅಗತ್ಯವಿರುವ ದುರಸ್ತಿ ನಿರ್ವಹಣೆಯ ಪ್ರಕಾರವನ್ನು ಆರಿಸಿ?</t>
  </si>
  <si>
    <r>
      <rPr>
        <rFont val="Arial"/>
        <color theme="1"/>
        <sz val="11.0"/>
      </rPr>
      <t>${select_one_irrigation_structure}=’</t>
    </r>
    <r>
      <rPr>
        <rFont val="Arial"/>
        <color rgb="FF333333"/>
        <sz val="11.0"/>
      </rPr>
      <t>Farm pond’</t>
    </r>
  </si>
  <si>
    <t>select_one Soil</t>
  </si>
  <si>
    <t>select_one_soil_fp</t>
  </si>
  <si>
    <t>Type of Soil</t>
  </si>
  <si>
    <t>मिट्टी का प्रकार</t>
  </si>
  <si>
    <t>માટીનો પ્રકાર</t>
  </si>
  <si>
    <t>ಮಣ್ಣಿನ ವಿಧ</t>
  </si>
  <si>
    <t>selected(${select_one_farm_pond}, ’De_sitling’)</t>
  </si>
  <si>
    <t>select_one silt</t>
  </si>
  <si>
    <t>Select_one_silt_fp</t>
  </si>
  <si>
    <t>Amount of Silt</t>
  </si>
  <si>
    <t>गाद का ढेर</t>
  </si>
  <si>
    <t>કાંપનો પર્વત</t>
  </si>
  <si>
    <t>ಸಿಲ್ಟ್ ಪರ್ವತ</t>
  </si>
  <si>
    <r>
      <rPr>
        <rFont val="Arial"/>
        <color rgb="FF000000"/>
        <sz val="11.0"/>
      </rPr>
      <t>select_multiple c</t>
    </r>
    <r>
      <rPr>
        <rFont val="Arial"/>
        <color rgb="FF333333"/>
        <sz val="11.0"/>
      </rPr>
      <t>ommunity_pond or_other</t>
    </r>
  </si>
  <si>
    <r>
      <rPr>
        <rFont val="Arial"/>
        <color rgb="FF000000"/>
        <sz val="11.0"/>
      </rPr>
      <t>select_one_c</t>
    </r>
    <r>
      <rPr>
        <rFont val="Arial"/>
        <color rgb="FF333333"/>
        <sz val="11.0"/>
      </rPr>
      <t>ommunity_pond</t>
    </r>
  </si>
  <si>
    <t>Select the type of repair maintenance required for community pond?</t>
  </si>
  <si>
    <t>ಸಮುದಾಯ ಕೊಳಕ್ಕೆ ಅಗತ್ಯವಿರುವ ದುರಸ್ತಿ ನಿರ್ವಹಣೆಯ ಪ್ರಕಾರವನ್ನು ಆರಿಸಿ?</t>
  </si>
  <si>
    <r>
      <rPr>
        <rFont val="Arial"/>
        <color theme="1"/>
        <sz val="11.0"/>
      </rPr>
      <t>${select_one_irrigation_structure}=’</t>
    </r>
    <r>
      <rPr>
        <rFont val="Arial"/>
        <color rgb="FF333333"/>
        <sz val="11.0"/>
      </rPr>
      <t>Community Pond’</t>
    </r>
  </si>
  <si>
    <t>select_one_soil_cp</t>
  </si>
  <si>
    <t>selected(${select_one_community_pond}, ’De_sitling’)</t>
  </si>
  <si>
    <t>Select_one_silt_cp</t>
  </si>
  <si>
    <r>
      <rPr>
        <rFont val="Arial"/>
        <color theme="1"/>
        <sz val="11.0"/>
      </rPr>
      <t>select_multiple w</t>
    </r>
    <r>
      <rPr>
        <rFont val="Arial"/>
        <color rgb="FF333333"/>
        <sz val="11.0"/>
      </rPr>
      <t>ell or_other</t>
    </r>
  </si>
  <si>
    <r>
      <rPr>
        <rFont val="Arial"/>
        <color theme="1"/>
        <sz val="11.0"/>
      </rPr>
      <t>select_one_w</t>
    </r>
    <r>
      <rPr>
        <rFont val="Arial"/>
        <color rgb="FF333333"/>
        <sz val="11.0"/>
      </rPr>
      <t>ell</t>
    </r>
  </si>
  <si>
    <t>Select the type of repair maintenance required for well?</t>
  </si>
  <si>
    <t>ಬಾವಿಗೆ ಅಗತ್ಯವಿರುವ ದುರಸ್ತಿ ನಿರ್ವಹಣೆಯ ಪ್ರಕಾರವನ್ನು ಆರಿಸಿ?</t>
  </si>
  <si>
    <r>
      <rPr>
        <rFont val="Arial"/>
        <color theme="1"/>
        <sz val="11.0"/>
      </rPr>
      <t>${select_one_irrigation_structure}=’</t>
    </r>
    <r>
      <rPr>
        <rFont val="Arial"/>
        <color rgb="FF333333"/>
        <sz val="11.0"/>
      </rPr>
      <t xml:space="preserve">Well’ </t>
    </r>
  </si>
  <si>
    <t>select_one_soil_well</t>
  </si>
  <si>
    <t>selected(${select_one_well}, ’De_sitling’)</t>
  </si>
  <si>
    <t>Select_one_silt_well</t>
  </si>
  <si>
    <t>select_multiple canal or_other</t>
  </si>
  <si>
    <t>select_one_canal</t>
  </si>
  <si>
    <t>Select the type of repair maintenance required for canal?</t>
  </si>
  <si>
    <t>ಕಾಲುವೆಗೆ ಅಗತ್ಯವಿರುವ ದುರಸ್ತಿ ನಿರ್ವಹಣೆಯ ಪ್ರಕಾರವನ್ನು ಆಯ್ಕೆಮಾಡಿ?</t>
  </si>
  <si>
    <r>
      <rPr>
        <rFont val="Arial"/>
        <color theme="1"/>
        <sz val="11.0"/>
      </rPr>
      <t>${select_one_irrigation_structure}=’Canal</t>
    </r>
    <r>
      <rPr>
        <rFont val="Arial"/>
        <color rgb="FF333333"/>
        <sz val="11.0"/>
      </rPr>
      <t xml:space="preserve">’ </t>
    </r>
  </si>
  <si>
    <t>select_one_soil_canal</t>
  </si>
  <si>
    <t>selected(${select_one_canal}, ’Desiliting’)</t>
  </si>
  <si>
    <t>Select_one_silt_canal</t>
  </si>
  <si>
    <r>
      <rPr>
        <rFont val="Arial"/>
        <color theme="1"/>
        <sz val="11.0"/>
      </rPr>
      <t>select_multiple f</t>
    </r>
    <r>
      <rPr>
        <rFont val="Arial"/>
        <color rgb="FF333333"/>
        <sz val="11.0"/>
      </rPr>
      <t>arm_bund or_other</t>
    </r>
  </si>
  <si>
    <t>select_one_farm_bund</t>
  </si>
  <si>
    <t>Select the type of repair maintenance required for farm bund?</t>
  </si>
  <si>
    <t>ಕೃಷಿ ಕಟ್ಟೆಗೆ ಅಗತ್ಯವಿರುವ ದುರಸ್ತಿ ನಿರ್ವಹಣೆಯ ಪ್ರಕಾರವನ್ನು ಆಯ್ಕೆಮಾಡಿ?</t>
  </si>
  <si>
    <r>
      <rPr>
        <rFont val="Arial"/>
        <color theme="1"/>
        <sz val="11.0"/>
      </rPr>
      <t>${select_one_irrigation_structure}=’</t>
    </r>
    <r>
      <rPr>
        <rFont val="Arial"/>
        <color rgb="FF333333"/>
        <sz val="11.0"/>
      </rPr>
      <t xml:space="preserve">Farm bund’ </t>
    </r>
  </si>
  <si>
    <t>image</t>
  </si>
  <si>
    <t>image_widget</t>
  </si>
  <si>
    <t>Photo of the area</t>
  </si>
  <si>
    <t xml:space="preserve">क्षेत्र का फोटो दें </t>
  </si>
  <si>
    <t>ಪ್ರದೇಶದ ಫೋಟೋ</t>
  </si>
  <si>
    <t>max-pixels=3000</t>
  </si>
  <si>
    <t>audio</t>
  </si>
  <si>
    <t>audio_record</t>
  </si>
  <si>
    <t>Record a message justifying the need for the maintenance of irrigation structure at this location:</t>
  </si>
  <si>
    <t>ಈ ಸ್ಥಳದಲ್ಲಿ ನೀರಾವರಿ ರಚನೆಯ ನಿರ್ವಹಣೆಯ ಅಗತ್ಯವನ್ನು ಸಮರ್ಥಿಸುವ ಸಂದೇಶವನ್ನು ರೆಕಾರ್ಡ್ ಮಾಡಿ:</t>
  </si>
  <si>
    <t>text_record</t>
  </si>
  <si>
    <t>If you cannot record, write down the justification for the need of maintenance of irrigation structure at this location</t>
  </si>
  <si>
    <t>false()</t>
  </si>
  <si>
    <t>note</t>
  </si>
  <si>
    <t>main_irr_note_1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</si>
  <si>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</si>
  <si>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</si>
  <si>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 ಈ ಅಂಶವನ್ನು ಮೀರಿ ಏನನ್ನೂ ಮಾರ್ಪಡಿಸಬೇಡಿ ಮತ್ತು ನಿಮ್ಮ ಫಾರ್ಮ್ ಡೇಟಾವನ್ನು ಸಲ್ಲಿಸಿ&lt;/span&gt;</t>
  </si>
  <si>
    <t>begin_group</t>
  </si>
  <si>
    <t>GPS_point</t>
  </si>
  <si>
    <t>Lat/Lon</t>
  </si>
  <si>
    <t>अक्षांश/देशांतर</t>
  </si>
  <si>
    <t>ಅಕ್ಷಾಂಶ/ಲೋನ್</t>
  </si>
  <si>
    <t>compact</t>
  </si>
  <si>
    <t>geopoint</t>
  </si>
  <si>
    <t>point_mapsappearance</t>
  </si>
  <si>
    <t>जियोपॉइंट</t>
  </si>
  <si>
    <t>maps</t>
  </si>
  <si>
    <t>end_group</t>
  </si>
  <si>
    <t>block_name</t>
  </si>
  <si>
    <t>Block name</t>
  </si>
  <si>
    <t>ब्लॉक का नाम</t>
  </si>
  <si>
    <t>ಬ್ಲಾಕ್ ಹೆಸರು</t>
  </si>
  <si>
    <t>plan_id</t>
  </si>
  <si>
    <t>Plan ID</t>
  </si>
  <si>
    <t>योजना का आईडी</t>
  </si>
  <si>
    <t>યોજનાનું ID</t>
  </si>
  <si>
    <t>ಯೋಜನೆ ಐಡಿ</t>
  </si>
  <si>
    <t>hidden</t>
  </si>
  <si>
    <t>plan_name</t>
  </si>
  <si>
    <t>Plan name</t>
  </si>
  <si>
    <t>योजना का नाम</t>
  </si>
  <si>
    <t>ಯೋಜನೆಯ ಹೆಸರು</t>
  </si>
  <si>
    <t>corresponding_work_id</t>
  </si>
  <si>
    <t>Corresponding Work ID</t>
  </si>
  <si>
    <t xml:space="preserve">सम्बंधित कार्य का आईडी </t>
  </si>
  <si>
    <t>ಸಂಬಂಧಿತ ಕೆಲಸದ ಐಡಿ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</si>
  <si>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</si>
  <si>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</si>
  <si>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</si>
  <si>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</si>
  <si>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work_id</t>
  </si>
  <si>
    <t>Work ID</t>
  </si>
  <si>
    <t>कार्य आईडी</t>
  </si>
  <si>
    <t>ಕೆಲಸದ ಐಡಿ</t>
  </si>
  <si>
    <t>once(uuid(10))</t>
  </si>
  <si>
    <t>list_name</t>
  </si>
  <si>
    <t>activities</t>
  </si>
  <si>
    <t>Yes</t>
  </si>
  <si>
    <t>हाँ</t>
  </si>
  <si>
    <t>ಹೌದು</t>
  </si>
  <si>
    <t>no</t>
  </si>
  <si>
    <t>No</t>
  </si>
  <si>
    <t>नहीं</t>
  </si>
  <si>
    <t>ಇಲ್ಲ</t>
  </si>
  <si>
    <t>irrigation_structure</t>
  </si>
  <si>
    <t>Farm pond</t>
  </si>
  <si>
    <t>खेत का तालाब</t>
  </si>
  <si>
    <t>ಕೃಷಿ ಹೊಂಡ</t>
  </si>
  <si>
    <t>Community Pond</t>
  </si>
  <si>
    <t>सामुदायिक तालाब</t>
  </si>
  <si>
    <t>ಸಮುದಾಯ ಕೊಳ</t>
  </si>
  <si>
    <t>Well</t>
  </si>
  <si>
    <t>कुँआ</t>
  </si>
  <si>
    <t>ಸರಿ</t>
  </si>
  <si>
    <t>Canal</t>
  </si>
  <si>
    <t>नहर</t>
  </si>
  <si>
    <t>ಕಾಲುವೆ</t>
  </si>
  <si>
    <t>Farm bund</t>
  </si>
  <si>
    <t>खेत का मेड़</t>
  </si>
  <si>
    <t>ಕೃಷಿ ಕಟ್ಟೆ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</si>
  <si>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arm_pond</t>
    </r>
  </si>
  <si>
    <t xml:space="preserve">De_sitling
</t>
  </si>
  <si>
    <t xml:space="preserve">De sitling
</t>
  </si>
  <si>
    <t>डी सिटलिंग</t>
  </si>
  <si>
    <t>ಡಿ ಸಿಟ್ಲಿಂಗ್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</si>
  <si>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arm_pond</t>
    </r>
  </si>
  <si>
    <t>Repairing_cracks_or_damage_in_embankments</t>
  </si>
  <si>
    <t>Repairing cracks or damage in embankments</t>
  </si>
  <si>
    <t>तटबंधों में दरारों या नुक़सान की मरम्मत</t>
  </si>
  <si>
    <t>ಒಡ್ಡುಗಳಲ್ಲಿನ ಬಿರುಕುಗಳು ಅಥವಾ ಹಾನಿಯನ್ನು ಸರಿಪಡಿಸುವುದು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</si>
  <si>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arm_pond</t>
    </r>
  </si>
  <si>
    <t>Controlling_seepage_or_leaks_in_the_pond_bed</t>
  </si>
  <si>
    <t>Controlling seepage or leaks in the pond bed</t>
  </si>
  <si>
    <t>तालाब तल में रिसाव या लीक को नियंत्रित करना</t>
  </si>
  <si>
    <t>ಕೊಳದ ತಳದಲ್ಲಿ ನೀರು ಸೋರುವಿಕೆ ಅಥವಾ ಸೋರಿಕೆಯನ್ನು ನಿಯಂತ್ರಿಸುವುದು.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</si>
  <si>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arm_pond</t>
    </r>
  </si>
  <si>
    <t>Erosion_control_on_embankments</t>
  </si>
  <si>
    <t>Erosion control on embankments</t>
  </si>
  <si>
    <t>तटबंधों पर कटाव नियंत्रण</t>
  </si>
  <si>
    <t>ಒಡ್ಡುಗಳ ಮೇಲಿನ ಸವೆತ ನಿಯಂತ್ರಣ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</si>
  <si>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arm_pond</t>
    </r>
  </si>
  <si>
    <t>Addressing_excessive_aquatic_vegetation_growth</t>
  </si>
  <si>
    <t>Addressing excessive aquatic vegetation growth</t>
  </si>
  <si>
    <t xml:space="preserve">अधिक जलीय पौधों की वृद्धि को रोकना </t>
  </si>
  <si>
    <t>ಅತಿಯಾದ ಜಲಸಸ್ಯಗಳ ಬೆಳವಣಿಗೆಯನ್ನು ತಡೆಗಟ್ಟುವುದು</t>
  </si>
  <si>
    <r>
      <rPr>
        <rFont val="Courier New"/>
        <color rgb="FF000000"/>
        <sz val="11.0"/>
      </rPr>
      <t>c</t>
    </r>
    <r>
      <rPr>
        <rFont val="Courier New"/>
        <color rgb="FF333333"/>
        <sz val="11.0"/>
      </rPr>
      <t>ommunity_pond</t>
    </r>
  </si>
  <si>
    <r>
      <rPr>
        <rFont val="Courier New"/>
        <color rgb="FF000000"/>
        <sz val="11.0"/>
      </rPr>
      <t>c</t>
    </r>
    <r>
      <rPr>
        <rFont val="Courier New"/>
        <color rgb="FF333333"/>
        <sz val="11.0"/>
      </rPr>
      <t>ommunity_pond</t>
    </r>
  </si>
  <si>
    <t>Shoreline_erosion_control</t>
  </si>
  <si>
    <t>Shoreline erosion control</t>
  </si>
  <si>
    <t xml:space="preserve">किनारे का कटाव रोकना </t>
  </si>
  <si>
    <t>ತೀರದ ಸವೆತ ನಿಯಂತ್ರಣ</t>
  </si>
  <si>
    <r>
      <rPr>
        <rFont val="Courier New"/>
        <color rgb="FF000000"/>
        <sz val="11.0"/>
      </rPr>
      <t>c</t>
    </r>
    <r>
      <rPr>
        <rFont val="Courier New"/>
        <color rgb="FF333333"/>
        <sz val="11.0"/>
      </rPr>
      <t>ommunity_pond</t>
    </r>
  </si>
  <si>
    <t>तटबंधों में दरारों या टूट की मरम्मत</t>
  </si>
  <si>
    <r>
      <rPr>
        <rFont val="Courier New"/>
        <color rgb="FF000000"/>
        <sz val="11.0"/>
      </rPr>
      <t>c</t>
    </r>
    <r>
      <rPr>
        <rFont val="Courier New"/>
        <color rgb="FF333333"/>
        <sz val="11.0"/>
      </rPr>
      <t>ommunity_pond</t>
    </r>
  </si>
  <si>
    <t>Controlling_excessive_aquatic_vegetation_growth</t>
  </si>
  <si>
    <t>Controlling excessive aquatic vegetation growth</t>
  </si>
  <si>
    <t>ಅತಿಯಾದ ಜಲಸಸ್ಯಗಳ ಬೆಳವಣಿಗೆಯನ್ನು ನಿಯಂತ್ರಿಸುವುದು</t>
  </si>
  <si>
    <r>
      <rPr>
        <rFont val="Courier New"/>
        <color rgb="FF000000"/>
        <sz val="11.0"/>
      </rPr>
      <t>c</t>
    </r>
    <r>
      <rPr>
        <rFont val="Courier New"/>
        <color rgb="FF333333"/>
        <sz val="11.0"/>
      </rPr>
      <t>ommunity_pond</t>
    </r>
  </si>
  <si>
    <t>Repair_or_cleaning_of_inlet_outlet_structures</t>
  </si>
  <si>
    <t>Repair or cleaning of inlet/outlet structures</t>
  </si>
  <si>
    <t>इनलेट/आउटलेट स्ट्रक्चर की मरम्मत या सफाई</t>
  </si>
  <si>
    <t>ಒಳಹರಿವು/ಹೊರಹರಿವಿನ ರಚನೆಗಳ ದುರಸ್ತಿ ಅಥವಾ ಶುಚಿಗೊಳಿಸುವಿಕೆ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</si>
  <si>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arm_bund</t>
    </r>
  </si>
  <si>
    <t>Repairing_cracks_or_breaches_in_the_bund</t>
  </si>
  <si>
    <t>Repairing cracks or breaches in the bund</t>
  </si>
  <si>
    <t>बांध में दरारों या टूट - फूट की मरम्मत करना</t>
  </si>
  <si>
    <t>ಏರಿನಲ್ಲಿರುವ ಬಿರುಕುಗಳು ಅಥವಾ ಬಿರುಕುಗಳನ್ನು ಸರಿಪಡಿಸುವುದು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</si>
  <si>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arm_bund</t>
    </r>
  </si>
  <si>
    <t>Strengthening_bund_structure_with_additional_soil_or_materials</t>
  </si>
  <si>
    <t>Strengthening bund structure with additional soil or materials</t>
  </si>
  <si>
    <t>अतिरिक्त मिट्टी या समान से बांध स्ट्रक्चर को मजबूत करना</t>
  </si>
  <si>
    <t>ಹೆಚ್ಚುವರಿ ಮಣ್ಣು ಅಥವಾ ಸಾಮಗ್ರಿಗಳಿಂದ ಕಟ್ಟೆ ರಚನೆಯನ್ನು ಬಲಪಡಿಸುವುದು.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</si>
  <si>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arm_bund</t>
    </r>
  </si>
  <si>
    <t>Leveling_and_reshaping_the_bund_for_better_water_retention</t>
  </si>
  <si>
    <t>Leveling and reshaping the bund for better water retention</t>
  </si>
  <si>
    <t>पानी को टिकाए रखने के लिए बांध को समतल करना और उसका आकार बदलना</t>
  </si>
  <si>
    <t>ಉತ್ತಮ ನೀರಿನ ಧಾರಣಕ್ಕಾಗಿ ಏರಿಯನ್ನು ಸಮತಟ್ಟು ಮಾಡುವುದು ಮತ್ತು ಮರುರೂಪಿಸುವುದು.</t>
  </si>
  <si>
    <r>
      <rPr>
        <rFont val="Courier New"/>
        <color theme="1"/>
        <sz val="11.0"/>
      </rPr>
      <t>f</t>
    </r>
    <r>
      <rPr>
        <rFont val="Courier New"/>
        <color rgb="FF333333"/>
        <sz val="11.0"/>
      </rPr>
      <t>arm_bund</t>
    </r>
  </si>
  <si>
    <t>Vegetative_stabilization_to_prevent_erosion</t>
  </si>
  <si>
    <t>Vegetative stabilization to prevent erosion</t>
  </si>
  <si>
    <t xml:space="preserve">कटाव को रोकने के लिए पौधों को उगने से रोकना </t>
  </si>
  <si>
    <t>ಸವೆತವನ್ನು ತಡೆಗಟ್ಟಲು ಸಸ್ಯಕ ಸ್ಥಿರೀಕರಣ</t>
  </si>
  <si>
    <r>
      <rPr>
        <rFont val="Courier New"/>
        <color theme="1"/>
        <sz val="11.0"/>
      </rPr>
      <t>w</t>
    </r>
    <r>
      <rPr>
        <rFont val="Courier New"/>
        <color rgb="FF333333"/>
        <sz val="11.0"/>
      </rPr>
      <t>ell</t>
    </r>
  </si>
  <si>
    <r>
      <rPr>
        <rFont val="Courier New"/>
        <color theme="1"/>
        <sz val="11.0"/>
      </rPr>
      <t>w</t>
    </r>
    <r>
      <rPr>
        <rFont val="Courier New"/>
        <color rgb="FF333333"/>
        <sz val="11.0"/>
      </rPr>
      <t>ell</t>
    </r>
  </si>
  <si>
    <t>Repairing_cracks_or_damage_to_well_walls</t>
  </si>
  <si>
    <t>Repairing cracks or damage to well walls</t>
  </si>
  <si>
    <t>कुंए के दीवारों के दरारों या टूट-फूट की मरम्मती करना</t>
  </si>
  <si>
    <t>ಬಾವಿ ಗೋಡೆಗಳಿಗೆ ಆಗಿರುವ ಬಿರುಕುಗಳು ಅಥವಾ ಹಾನಿಯನ್ನು ಸರಿಪಡಿಸುವುದು</t>
  </si>
  <si>
    <r>
      <rPr>
        <rFont val="Courier New"/>
        <color theme="1"/>
        <sz val="11.0"/>
      </rPr>
      <t>w</t>
    </r>
    <r>
      <rPr>
        <rFont val="Courier New"/>
        <color rgb="FF333333"/>
        <sz val="11.0"/>
      </rPr>
      <t>ell</t>
    </r>
  </si>
  <si>
    <t>Deepening_the_well_to_enhance_water_availability</t>
  </si>
  <si>
    <t>Deepening the well to enhance water availability</t>
  </si>
  <si>
    <t>पानी के स्तर को बढ़ाने के लिए कुंए को गहरा करना</t>
  </si>
  <si>
    <t>ನೀರಿನ ಲಭ್ಯತೆಯನ್ನು ಹೆಚ್ಚಿಸಲು ಬಾವಿಯನ್ನು ಆಳಗೊಳಿಸುವುದು</t>
  </si>
  <si>
    <r>
      <rPr>
        <rFont val="Courier New"/>
        <color theme="1"/>
        <sz val="11.0"/>
      </rPr>
      <t>w</t>
    </r>
    <r>
      <rPr>
        <rFont val="Courier New"/>
        <color rgb="FF333333"/>
        <sz val="11.0"/>
      </rPr>
      <t>ell</t>
    </r>
  </si>
  <si>
    <t>Repair_or_replacement_of_well_cover_or_structure</t>
  </si>
  <si>
    <t>Repair or replacement of well cover or structure</t>
  </si>
  <si>
    <t>कुंए के ढ़क्कन या स्ट्रक्चर को बदलना या मरम्मत करना</t>
  </si>
  <si>
    <t>ಬಾವಿಯ ಮುಚ್ಚಳ ಅಥವಾ ರಚನೆಯ ದುರಸ್ತಿ ಅಥವಾ ಬದಲಿ</t>
  </si>
  <si>
    <r>
      <rPr>
        <rFont val="Courier New"/>
        <color theme="1"/>
        <sz val="11.0"/>
      </rPr>
      <t>w</t>
    </r>
    <r>
      <rPr>
        <rFont val="Courier New"/>
        <color rgb="FF333333"/>
        <sz val="11.0"/>
      </rPr>
      <t>ell</t>
    </r>
  </si>
  <si>
    <t>Installing_or_repairing_pumping_mechanisms</t>
  </si>
  <si>
    <t>Installing or repairing pumping mechanisms</t>
  </si>
  <si>
    <t xml:space="preserve">पम्पिंग मशीन को लगाना या मरम्मत करना </t>
  </si>
  <si>
    <t>ಪಂಪಿಂಗ್ ಕಾರ್ಯವಿಧಾನಗಳನ್ನು ಸ್ಥಾಪಿಸುವುದು ಅಥವಾ ದುರಸ್ತಿ ಮಾಡುವುದು</t>
  </si>
  <si>
    <t>canal</t>
  </si>
  <si>
    <t>Stabilizing_canal_banks_to_prevent_erosion</t>
  </si>
  <si>
    <t>Stabilizing canal banks to prevent erosion</t>
  </si>
  <si>
    <t xml:space="preserve">कटाव को रोकने के लिए नहर के किनारों को मज़बूत करना </t>
  </si>
  <si>
    <t>ಸವೆತವನ್ನು ತಡೆಗಟ್ಟಲು ಕಾಲುವೆ ದಂಡೆಗಳನ್ನು ಸ್ಥಿರಗೊಳಿಸುವುದು.</t>
  </si>
  <si>
    <t>Lining_Repairs</t>
  </si>
  <si>
    <t>Lining Repairs</t>
  </si>
  <si>
    <t>परत की मरम्मत</t>
  </si>
  <si>
    <t>ಲೈನಿಂಗ್ ದುರಸ್ತಿಗಳು</t>
  </si>
  <si>
    <t>Desiliting</t>
  </si>
  <si>
    <t>ಡಿಸೈಲೈಟಿಂಗ್</t>
  </si>
  <si>
    <t>Structural_repairs</t>
  </si>
  <si>
    <t>Structural repairs</t>
  </si>
  <si>
    <t>स्ट्रक्चर की मरम्मत</t>
  </si>
  <si>
    <t>ರಚನಾತ್ಮಕ ದುರಸ್ತಿಗಳು</t>
  </si>
  <si>
    <t>demand</t>
  </si>
  <si>
    <t>Community_demand</t>
  </si>
  <si>
    <t>Community Demand</t>
  </si>
  <si>
    <t>ಸಮುದಾಯದ ಬೇಡಿಕೆ</t>
  </si>
  <si>
    <t>Individual_demand</t>
  </si>
  <si>
    <t>Individual Demand</t>
  </si>
  <si>
    <t>ವೈಯಕ್ತಿಕ ಬೇಡಿಕೆ</t>
  </si>
  <si>
    <t>Soil</t>
  </si>
  <si>
    <t>Black</t>
  </si>
  <si>
    <t>काला</t>
  </si>
  <si>
    <t>કાળો</t>
  </si>
  <si>
    <t>ಕಪ್ಪು</t>
  </si>
  <si>
    <t>Red</t>
  </si>
  <si>
    <t>लाल</t>
  </si>
  <si>
    <t>લાલ</t>
  </si>
  <si>
    <t>ಕೆಂಪು</t>
  </si>
  <si>
    <t>Laterite</t>
  </si>
  <si>
    <t>लैटेराइट</t>
  </si>
  <si>
    <t>લેટરાઇટ</t>
  </si>
  <si>
    <t>ಲ್ಯಾಟರೈಟ್</t>
  </si>
  <si>
    <t>Alluvial</t>
  </si>
  <si>
    <t>जलोढ़</t>
  </si>
  <si>
    <t>એલુવિયલ</t>
  </si>
  <si>
    <t>ಮೆಕ್ಕಲು</t>
  </si>
  <si>
    <t>Sandy</t>
  </si>
  <si>
    <t>रेतीला</t>
  </si>
  <si>
    <t>રેતાળ</t>
  </si>
  <si>
    <t>ಮರಳು</t>
  </si>
  <si>
    <t>Clay</t>
  </si>
  <si>
    <t>मिट्टी</t>
  </si>
  <si>
    <t>માટી</t>
  </si>
  <si>
    <t>ಜೇಡಿಮಣ್ಣು</t>
  </si>
  <si>
    <t>Rocky</t>
  </si>
  <si>
    <t>चट्टानी</t>
  </si>
  <si>
    <t>રોકી</t>
  </si>
  <si>
    <t>ರಾಕಿ</t>
  </si>
  <si>
    <t>silt</t>
  </si>
  <si>
    <t>Low</t>
  </si>
  <si>
    <t>कम</t>
  </si>
  <si>
    <t>નીચું</t>
  </si>
  <si>
    <t>ಕಡಿಮೆ</t>
  </si>
  <si>
    <t>Moderate</t>
  </si>
  <si>
    <t>मध्यम</t>
  </si>
  <si>
    <t>મધ્યમ</t>
  </si>
  <si>
    <t>ಮಧ್ಯಮ</t>
  </si>
  <si>
    <t>High</t>
  </si>
  <si>
    <t>ज़्यादा</t>
  </si>
  <si>
    <t>ઉચ્ચ</t>
  </si>
  <si>
    <t>ಹೆಚ್ಚು</t>
  </si>
  <si>
    <t>form_title</t>
  </si>
  <si>
    <t>form_id</t>
  </si>
  <si>
    <t>default_language</t>
  </si>
  <si>
    <t>instance_name</t>
  </si>
  <si>
    <t>version</t>
  </si>
  <si>
    <t>style</t>
  </si>
  <si>
    <t>Propose Maintenance On Existing Irrigation Structures</t>
  </si>
  <si>
    <t>Propose_Maintenance_on_Existing_Irrigation_Structures_V1.1.1</t>
  </si>
  <si>
    <t>Hindi(hi)</t>
  </si>
  <si>
    <t>concat(${work_id})</t>
  </si>
  <si>
    <t>2.1.1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</si>
</sst>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ourier New"/>
    </font>
    <font>
      <sz val="11.0"/>
      <color theme="1"/>
      <name val="Calibri"/>
    </font>
    <font>
      <sz val="11.0"/>
      <color rgb="FF000000"/>
      <name val="Arial"/>
    </font>
    <font>
      <color theme="1"/>
      <name val="Courier New"/>
    </font>
    <font>
      <color theme="1"/>
      <name val="Roboto"/>
    </font>
    <font>
      <b/>
      <color theme="1"/>
      <name val="Arial"/>
    </font>
    <font>
      <color theme="1"/>
      <name val="Calibri"/>
    </font>
    <font>
      <color rgb="FF000000"/>
      <name val="Inconsolata"/>
    </font>
    <font>
      <b/>
      <sz val="11.0"/>
      <color rgb="FF000000"/>
      <name val="Courier New"/>
    </font>
    <font>
      <sz val="11.0"/>
      <color rgb="FF000000"/>
      <name val="Courier New"/>
    </font>
    <font>
      <b/>
      <sz val="11.0"/>
      <color rgb="FF000000"/>
      <name val="Arial"/>
    </font>
    <font>
      <sz val="11.0"/>
      <color rgb="FF333333"/>
      <name val="Courier New"/>
    </font>
    <font>
      <sz val="11.0"/>
      <color rgb="FF333333"/>
      <name val="Arial"/>
    </font>
    <font>
      <b/>
      <sz val="10.0"/>
      <color theme="1"/>
      <name val="Courier New"/>
    </font>
    <font>
      <sz val="10.0"/>
      <color theme="1"/>
      <name val="Courier New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EF2CB"/>
        <bgColor rgb="FFFE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0"/>
    </xf>
    <xf borderId="0" fillId="0" fontId="3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3" fontId="7" numFmtId="0" xfId="0" applyFill="1" applyFont="1"/>
    <xf borderId="0" fillId="3" fontId="8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9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4" fontId="7" numFmtId="0" xfId="0" applyAlignment="1" applyFont="1">
      <alignment shrinkToFit="0" vertical="center" wrapText="1"/>
    </xf>
    <xf borderId="0" fillId="0" fontId="11" numFmtId="0" xfId="0" applyAlignment="1" applyFont="1">
      <alignment vertical="bottom"/>
    </xf>
    <xf borderId="1" fillId="5" fontId="7" numFmtId="0" xfId="0" applyAlignment="1" applyBorder="1" applyFill="1" applyFont="1">
      <alignment shrinkToFit="0" vertical="bottom" wrapText="0"/>
    </xf>
    <xf borderId="0" fillId="5" fontId="7" numFmtId="0" xfId="0" applyAlignment="1" applyFont="1">
      <alignment shrinkToFit="0" vertical="bottom" wrapText="0"/>
    </xf>
    <xf borderId="0" fillId="3" fontId="12" numFmtId="0" xfId="0" applyAlignment="1" applyFont="1">
      <alignment shrinkToFit="0" wrapText="0"/>
    </xf>
    <xf borderId="0" fillId="0" fontId="5" numFmtId="0" xfId="0" applyAlignment="1" applyFont="1">
      <alignment shrinkToFit="0" vertical="bottom" wrapText="1"/>
    </xf>
    <xf borderId="1" fillId="2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0" fillId="2" fontId="15" numFmtId="0" xfId="0" applyAlignment="1" applyFont="1">
      <alignment shrinkToFit="0" vertical="bottom" wrapText="1"/>
    </xf>
    <xf borderId="1" fillId="2" fontId="15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vertical="bottom"/>
    </xf>
    <xf borderId="1" fillId="2" fontId="15" numFmtId="0" xfId="0" applyAlignment="1" applyBorder="1" applyFont="1">
      <alignment readingOrder="0" shrinkToFit="0" vertical="bottom" wrapText="0"/>
    </xf>
    <xf borderId="0" fillId="0" fontId="5" numFmtId="0" xfId="0" applyFont="1"/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" fillId="2" fontId="18" numFmtId="0" xfId="0" applyAlignment="1" applyBorder="1" applyFont="1">
      <alignment shrinkToFit="0" vertical="bottom" wrapText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" width="30.0"/>
    <col customWidth="1" min="3" max="3" width="49.88"/>
    <col customWidth="1" min="4" max="7" width="67.13"/>
    <col customWidth="1" min="8" max="8" width="54.13"/>
    <col customWidth="1" min="9" max="9" width="11.88"/>
    <col customWidth="1" min="10" max="10" width="17.63"/>
    <col customWidth="1" min="11" max="14" width="18.0"/>
    <col customWidth="1" min="15" max="16" width="14.63"/>
    <col customWidth="1" min="17" max="17" width="11.88"/>
    <col customWidth="1" min="18" max="18" width="34.0"/>
    <col customWidth="1" min="19" max="19" width="33.25"/>
    <col customWidth="1" min="20" max="20" width="45.38"/>
    <col customWidth="1" min="21" max="21" width="36.88"/>
    <col customWidth="1" min="22" max="22" width="42.63"/>
    <col customWidth="1" min="23" max="42" width="11.8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5"/>
      <c r="AI1" s="5"/>
      <c r="AJ1" s="5"/>
      <c r="AK1" s="5"/>
      <c r="AL1" s="5"/>
      <c r="AM1" s="5"/>
      <c r="AN1" s="5"/>
      <c r="AO1" s="5"/>
      <c r="AP1" s="5"/>
    </row>
    <row r="2" ht="12.75" customHeight="1">
      <c r="A2" s="6" t="s">
        <v>22</v>
      </c>
      <c r="B2" s="6" t="s">
        <v>22</v>
      </c>
      <c r="C2" s="6"/>
      <c r="D2" s="7"/>
      <c r="E2" s="7"/>
      <c r="F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ht="12.75" customHeight="1">
      <c r="A3" s="6" t="s">
        <v>23</v>
      </c>
      <c r="B3" s="6" t="s">
        <v>23</v>
      </c>
      <c r="C3" s="6"/>
      <c r="D3" s="7"/>
      <c r="E3" s="7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ht="12.75" customHeight="1">
      <c r="A4" s="6" t="s">
        <v>24</v>
      </c>
      <c r="B4" s="6" t="s">
        <v>24</v>
      </c>
      <c r="C4" s="6"/>
      <c r="D4" s="7"/>
      <c r="E4" s="7"/>
      <c r="F4" s="8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12.75" customHeight="1">
      <c r="A5" s="6" t="s">
        <v>25</v>
      </c>
      <c r="B5" s="6" t="s">
        <v>25</v>
      </c>
      <c r="C5" s="6"/>
      <c r="D5" s="7"/>
      <c r="E5" s="7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ht="12.75" customHeight="1">
      <c r="A6" s="6"/>
      <c r="B6" s="6"/>
      <c r="C6" s="6"/>
      <c r="D6" s="7"/>
      <c r="E6" s="7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ht="12.75" customHeight="1">
      <c r="A7" s="9" t="s">
        <v>26</v>
      </c>
      <c r="B7" s="9" t="s">
        <v>27</v>
      </c>
      <c r="C7" s="9" t="s">
        <v>28</v>
      </c>
      <c r="D7" s="9" t="s">
        <v>29</v>
      </c>
      <c r="E7" s="9" t="str">
        <f>IFERROR(__xludf.DUMMYFUNCTION("GOOGLETRANSLATE(D7, ""hi"", ""gu"")"),"લાભાર્થી સમુદાયનું નામ")</f>
        <v>લાભાર્થી સમુદાયનું નામ</v>
      </c>
      <c r="F7" s="9" t="s">
        <v>30</v>
      </c>
      <c r="G7" s="9" t="str">
        <f>IFERROR(__xludf.DUMMYFUNCTION("GOOGLETRANSLATE(C7,""en"",""or"")"),"ହିତାଧିକାରୀଙ୍କ ବନ୍ଦୋବସ୍ତ ନାମ")</f>
        <v>ହିତାଧିକାରୀଙ୍କ ବନ୍ଦୋବସ୍ତ ନାମ</v>
      </c>
      <c r="H7" s="9"/>
      <c r="I7" s="9"/>
      <c r="J7" s="9"/>
      <c r="K7" s="9"/>
      <c r="L7" s="9"/>
      <c r="M7" s="9"/>
      <c r="N7" s="9"/>
      <c r="O7" s="9"/>
      <c r="P7" s="9"/>
      <c r="Q7" s="9" t="s">
        <v>31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ht="12.75" customHeight="1">
      <c r="A8" s="9" t="s">
        <v>32</v>
      </c>
      <c r="B8" s="9" t="s">
        <v>33</v>
      </c>
      <c r="C8" s="9" t="s">
        <v>34</v>
      </c>
      <c r="D8" s="9" t="str">
        <f>IFERROR(__xludf.DUMMYFUNCTION("GOOGLETRANSLATE(C8, ""en"", ""hi"")"),"मांग का प्रकार")</f>
        <v>मांग का प्रकार</v>
      </c>
      <c r="E8" s="9" t="str">
        <f>IFERROR(__xludf.DUMMYFUNCTION("GOOGLETRANSLATE(D8, ""hi"", ""gu"")"),"માંગનો પ્રકાર")</f>
        <v>માંગનો પ્રકાર</v>
      </c>
      <c r="F8" s="9" t="s">
        <v>35</v>
      </c>
      <c r="G8" s="9" t="str">
        <f>IFERROR(__xludf.DUMMYFUNCTION("GOOGLETRANSLATE(C8,""en"",""or"")"),"ଚାହିଦାର ପ୍ରକାର")</f>
        <v>ଚାହିଦାର ପ୍ରକାର</v>
      </c>
      <c r="H8" s="9"/>
      <c r="I8" s="9"/>
      <c r="J8" s="9"/>
      <c r="K8" s="9"/>
      <c r="L8" s="9"/>
      <c r="M8" s="9"/>
      <c r="N8" s="9"/>
      <c r="O8" s="9"/>
      <c r="P8" s="9"/>
      <c r="Q8" s="9" t="s">
        <v>31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ht="12.75" customHeight="1">
      <c r="A9" s="9" t="s">
        <v>26</v>
      </c>
      <c r="B9" s="9" t="s">
        <v>36</v>
      </c>
      <c r="C9" s="9" t="s">
        <v>37</v>
      </c>
      <c r="D9" s="9" t="s">
        <v>38</v>
      </c>
      <c r="E9" s="9" t="str">
        <f>IFERROR(__xludf.DUMMYFUNCTION("GOOGLETRANSLATE(D9, ""hi"", ""gu"")"),"લાભાર્થીનું નામ")</f>
        <v>લાભાર્થીનું નામ</v>
      </c>
      <c r="F9" s="9" t="s">
        <v>39</v>
      </c>
      <c r="G9" s="9" t="str">
        <f>IFERROR(__xludf.DUMMYFUNCTION("GOOGLETRANSLATE(C9,""en"",""or"")"),"ହିତାଧିକାରୀଙ୍କ ନାମ")</f>
        <v>ହିତାଧିକାରୀଙ୍କ ନାମ</v>
      </c>
      <c r="H9" s="9" t="s">
        <v>40</v>
      </c>
      <c r="I9" s="9"/>
      <c r="J9" s="9"/>
      <c r="K9" s="9"/>
      <c r="L9" s="9"/>
      <c r="M9" s="9"/>
      <c r="N9" s="9"/>
      <c r="O9" s="9"/>
      <c r="P9" s="9"/>
      <c r="Q9" s="9" t="s">
        <v>31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ht="12.75" customHeight="1">
      <c r="A10" s="10" t="s">
        <v>26</v>
      </c>
      <c r="B10" s="10" t="s">
        <v>41</v>
      </c>
      <c r="C10" s="9" t="s">
        <v>42</v>
      </c>
      <c r="D10" s="9" t="s">
        <v>43</v>
      </c>
      <c r="E10" s="9" t="str">
        <f>IFERROR(__xludf.DUMMYFUNCTION("GOOGLETRANSLATE(D10, ""hi"", ""gu"")"),"લાભાર્થીના પિતાનું નામ")</f>
        <v>લાભાર્થીના પિતાનું નામ</v>
      </c>
      <c r="F10" s="9" t="s">
        <v>44</v>
      </c>
      <c r="G10" s="9" t="str">
        <f>IFERROR(__xludf.DUMMYFUNCTION("GOOGLETRANSLATE(C10,""en"",""or"")"),"ହିତାଧିକାରୀଙ୍କ ପିତା/ସ୍ୱାମୀଙ୍କ ନାମ")</f>
        <v>ହିତାଧିକାରୀଙ୍କ ପିତା/ସ୍ୱାମୀଙ୍କ ନାମ</v>
      </c>
      <c r="H10" s="9" t="s">
        <v>40</v>
      </c>
      <c r="I10" s="11"/>
      <c r="J10" s="11"/>
      <c r="K10" s="11"/>
      <c r="L10" s="11"/>
      <c r="M10" s="11"/>
      <c r="N10" s="11"/>
      <c r="O10" s="11"/>
      <c r="P10" s="11"/>
      <c r="Q10" s="11" t="s">
        <v>31</v>
      </c>
      <c r="R10" s="9" t="s">
        <v>45</v>
      </c>
      <c r="S10" s="9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ht="12.75" customHeight="1">
      <c r="A11" s="9" t="s">
        <v>46</v>
      </c>
      <c r="B11" s="9" t="s">
        <v>47</v>
      </c>
      <c r="C11" s="9" t="s">
        <v>48</v>
      </c>
      <c r="D11" s="9" t="s">
        <v>49</v>
      </c>
      <c r="E11" s="9" t="str">
        <f>IFERROR(__xludf.DUMMYFUNCTION("GOOGLETRANSLATE(D11, ""hi"", ""gu"")"),"લાભાર્થીનો ફોન નંબર")</f>
        <v>લાભાર્થીનો ફોન નંબર</v>
      </c>
      <c r="F11" s="9" t="s">
        <v>50</v>
      </c>
      <c r="G11" s="9" t="str">
        <f>IFERROR(__xludf.DUMMYFUNCTION("GOOGLETRANSLATE(C11,""en"",""or"")"),"ହିତାଧିକାରୀଙ୍କ ଯୋଗାଯୋଗ ନମ୍ବର")</f>
        <v>ହିତାଧିକାରୀଙ୍କ ଯୋଗାଯୋଗ ନମ୍ବର</v>
      </c>
      <c r="H11" s="9" t="s">
        <v>40</v>
      </c>
      <c r="I11" s="9"/>
      <c r="J11" s="9"/>
      <c r="K11" s="9"/>
      <c r="L11" s="9"/>
      <c r="M11" s="9"/>
      <c r="N11" s="9"/>
      <c r="O11" s="9"/>
      <c r="P11" s="9"/>
      <c r="Q11" s="9"/>
      <c r="R11" s="12" t="s">
        <v>51</v>
      </c>
      <c r="S11" s="13" t="s">
        <v>52</v>
      </c>
      <c r="T11" s="13" t="str">
        <f>IFERROR(__xludf.DUMMYFUNCTION("GOOGLETRANSLATE(S11, ""en"", ""hi"")"),"फ़ोन नंबर दर्ज करें (फ़ॉर्मेट: 9876543210)")</f>
        <v>फ़ोन नंबर दर्ज करें (फ़ॉर्मेट: 9876543210)</v>
      </c>
      <c r="U11" s="13" t="str">
        <f>IFERROR(__xludf.DUMMYFUNCTION("GOOGLETRANSLATE(S11, ""en"", ""gu"")"),"ફોન નંબર દાખલ કરો (ફોર્મેટ: 9876543210)")</f>
        <v>ફોન નંબર દાખલ કરો (ફોર્મેટ: 9876543210)</v>
      </c>
      <c r="V11" s="9" t="str">
        <f>IFERROR(__xludf.DUMMYFUNCTION("GOOGLETRANSLATE(S11, ""en"", ""kn"")"),"ಫೋನ್ ಸಂಖ್ಯೆಯನ್ನು ನಮೂದಿಸಿ (ಸ್ವರೂಪ: 9876543210)")</f>
        <v>ಫೋನ್ ಸಂಖ್ಯೆಯನ್ನು ನಮೂದಿಸಿ (ಸ್ವರೂಪ: 9876543210)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>
      <c r="G12" s="9"/>
    </row>
    <row r="13" ht="12.75" customHeight="1">
      <c r="A13" s="6" t="s">
        <v>53</v>
      </c>
      <c r="B13" s="6" t="s">
        <v>54</v>
      </c>
      <c r="C13" s="9" t="s">
        <v>55</v>
      </c>
      <c r="D13" s="9" t="s">
        <v>56</v>
      </c>
      <c r="E13" s="9" t="str">
        <f>IFERROR(__xludf.DUMMYFUNCTION("GOOGLETRANSLATE(D13, ""hi"", ""gu"")"),"સિંચાઈ માળખાનો પ્રકાર પસંદ કરો")</f>
        <v>સિંચાઈ માળખાનો પ્રકાર પસંદ કરો</v>
      </c>
      <c r="F13" s="9" t="s">
        <v>57</v>
      </c>
      <c r="G13" s="9" t="str">
        <f>IFERROR(__xludf.DUMMYFUNCTION("GOOGLETRANSLATE(C13,""en"",""or"")"),"ଏହି ଜଳସେଚନ ଗଠନରେ ଆବଶ୍ୟକ ମରାମତି ରକ୍ଷଣାବେକ୍ଷଣର ପ୍ରକାର ଚୟନ କରନ୍ତୁ?
")</f>
        <v>ଏହି ଜଳସେଚନ ଗଠନରେ ଆବଶ୍ୟକ ମରାମତି ରକ୍ଷଣାବେକ୍ଷଣର ପ୍ରକାର ଚୟନ କରନ୍ତୁ?
</v>
      </c>
      <c r="H13" s="6" t="s">
        <v>58</v>
      </c>
      <c r="I13" s="6"/>
      <c r="J13" s="6"/>
      <c r="K13" s="6"/>
      <c r="L13" s="6"/>
      <c r="M13" s="6"/>
      <c r="N13" s="6"/>
      <c r="O13" s="6"/>
      <c r="P13" s="6"/>
      <c r="Q13" s="6" t="s">
        <v>31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ht="12.75" customHeight="1">
      <c r="A14" s="6"/>
      <c r="B14" s="6"/>
      <c r="C14" s="6"/>
      <c r="D14" s="7"/>
      <c r="E14" s="9"/>
      <c r="F14" s="8"/>
      <c r="G14" s="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ht="12.75" customHeight="1">
      <c r="A15" s="6"/>
      <c r="B15" s="6"/>
      <c r="C15" s="6"/>
      <c r="D15" s="7"/>
      <c r="E15" s="9"/>
      <c r="F15" s="8"/>
      <c r="G15" s="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ht="12.75" customHeight="1">
      <c r="A16" s="6" t="s">
        <v>59</v>
      </c>
      <c r="B16" s="7" t="s">
        <v>60</v>
      </c>
      <c r="C16" s="14" t="s">
        <v>61</v>
      </c>
      <c r="D16" s="9" t="str">
        <f>IFERROR(__xludf.DUMMYFUNCTION("GOOGLETRANSLATE(C16, ""en"", ""hi"")"),"फार्म पॉन्ड के लिए आवश्यक मरम्मत/रखरखाव का प्रकार चुनें?")</f>
        <v>फार्म पॉन्ड के लिए आवश्यक मरम्मत/रखरखाव का प्रकार चुनें?</v>
      </c>
      <c r="E16" s="9" t="str">
        <f>IFERROR(__xludf.DUMMYFUNCTION("GOOGLETRANSLATE(D16, ""hi"", ""gu"")"),"ખેત તળાવ માટે જરૂરી સમારકામ/જાળવણીનો પ્રકાર પસંદ કરો?")</f>
        <v>ખેત તળાવ માટે જરૂરી સમારકામ/જાળવણીનો પ્રકાર પસંદ કરો?</v>
      </c>
      <c r="F16" s="9" t="s">
        <v>62</v>
      </c>
      <c r="G16" s="9" t="str">
        <f>IFERROR(__xludf.DUMMYFUNCTION("GOOGLETRANSLATE(C16,""en"",""or"")"),"କୃଷି ପୋଖରୀ ପାଇଁ ଆବଶ୍ୟକ ମରାମତି ରକ୍ଷଣାବେକ୍ଷଣର ପ୍ରକାର ଚୟନ କରନ୍ତୁ?")</f>
        <v>କୃଷି ପୋଖରୀ ପାଇଁ ଆବଶ୍ୟକ ମରାମତି ରକ୍ଷଣାବେକ୍ଷଣର ପ୍ରକାର ଚୟନ କରନ୍ତୁ?</v>
      </c>
      <c r="H16" s="6" t="s">
        <v>63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ht="12.75" customHeight="1">
      <c r="A17" s="15" t="s">
        <v>64</v>
      </c>
      <c r="B17" s="15" t="s">
        <v>65</v>
      </c>
      <c r="C17" s="16" t="s">
        <v>66</v>
      </c>
      <c r="D17" s="17" t="s">
        <v>67</v>
      </c>
      <c r="E17" s="17" t="s">
        <v>68</v>
      </c>
      <c r="F17" s="17" t="s">
        <v>69</v>
      </c>
      <c r="G17" s="9" t="str">
        <f>IFERROR(__xludf.DUMMYFUNCTION("GOOGLETRANSLATE(C17,""en"",""or"")"),"ମାଟିର ପ୍ରକାର")</f>
        <v>ମାଟିର ପ୍ରକାର</v>
      </c>
      <c r="H17" s="18" t="s">
        <v>70</v>
      </c>
      <c r="I17" s="19"/>
      <c r="J17" s="19"/>
      <c r="K17" s="19"/>
      <c r="L17" s="19"/>
      <c r="M17" s="19"/>
      <c r="N17" s="19"/>
      <c r="O17" s="19"/>
      <c r="P17" s="19"/>
      <c r="Q17" s="20" t="s">
        <v>31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  <row r="18" ht="12.75" customHeight="1">
      <c r="A18" s="21" t="s">
        <v>71</v>
      </c>
      <c r="B18" s="15" t="s">
        <v>72</v>
      </c>
      <c r="C18" s="16" t="s">
        <v>73</v>
      </c>
      <c r="D18" s="17" t="s">
        <v>74</v>
      </c>
      <c r="E18" s="17" t="s">
        <v>75</v>
      </c>
      <c r="F18" s="17" t="s">
        <v>76</v>
      </c>
      <c r="G18" s="9" t="str">
        <f>IFERROR(__xludf.DUMMYFUNCTION("GOOGLETRANSLATE(C18,""en"",""or"")"),"ସିଲ୍ଟର ପରିମାଣ")</f>
        <v>ସିଲ୍ଟର ପରିମାଣ</v>
      </c>
      <c r="H18" s="18" t="s">
        <v>70</v>
      </c>
      <c r="I18" s="19"/>
      <c r="J18" s="19"/>
      <c r="K18" s="19"/>
      <c r="L18" s="19"/>
      <c r="M18" s="19"/>
      <c r="N18" s="19"/>
      <c r="O18" s="19"/>
      <c r="P18" s="19"/>
      <c r="Q18" s="20" t="s">
        <v>31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  <row r="19" ht="12.75" customHeight="1">
      <c r="A19" s="22" t="s">
        <v>77</v>
      </c>
      <c r="B19" s="22" t="s">
        <v>78</v>
      </c>
      <c r="C19" s="14" t="s">
        <v>79</v>
      </c>
      <c r="D19" s="9" t="str">
        <f>IFERROR(__xludf.DUMMYFUNCTION("GOOGLETRANSLATE(C19, ""en"", ""hi"")"),"सामुदायिक तालाब के लिए आवश्यक मरम्मत/रखरखाव का प्रकार चुनें?")</f>
        <v>सामुदायिक तालाब के लिए आवश्यक मरम्मत/रखरखाव का प्रकार चुनें?</v>
      </c>
      <c r="E19" s="9" t="str">
        <f>IFERROR(__xludf.DUMMYFUNCTION("GOOGLETRANSLATE(D19, ""hi"", ""gu"")"),"સામુદાયિક તળાવ માટે જરૂરી સમારકામ/જાળવણીનો પ્રકાર પસંદ કરો?")</f>
        <v>સામુદાયિક તળાવ માટે જરૂરી સમારકામ/જાળવણીનો પ્રકાર પસંદ કરો?</v>
      </c>
      <c r="F19" s="9" t="s">
        <v>80</v>
      </c>
      <c r="G19" s="9" t="str">
        <f>IFERROR(__xludf.DUMMYFUNCTION("GOOGLETRANSLATE(C19,""en"",""or"")"),"ସାମୁଦାୟିକ ପୋଖରୀ ପାଇଁ ଆବଶ୍ୟକ ମରାମତି ରକ୍ଷଣାବେକ୍ଷଣର ପ୍ରକାର ଚୟନ କରନ୍ତୁ?")</f>
        <v>ସାମୁଦାୟିକ ପୋଖରୀ ପାଇଁ ଆବଶ୍ୟକ ମରାମତି ରକ୍ଷଣାବେକ୍ଷଣର ପ୍ରକାର ଚୟନ କରନ୍ତୁ?</v>
      </c>
      <c r="H19" s="6" t="s">
        <v>81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ht="12.75" customHeight="1">
      <c r="A20" s="15" t="s">
        <v>64</v>
      </c>
      <c r="B20" s="15" t="s">
        <v>82</v>
      </c>
      <c r="C20" s="16" t="s">
        <v>66</v>
      </c>
      <c r="D20" s="17" t="s">
        <v>67</v>
      </c>
      <c r="E20" s="17" t="s">
        <v>68</v>
      </c>
      <c r="F20" s="17" t="s">
        <v>69</v>
      </c>
      <c r="G20" s="9" t="str">
        <f>IFERROR(__xludf.DUMMYFUNCTION("GOOGLETRANSLATE(C20,""en"",""or"")"),"ମାଟିର ପ୍ରକାର")</f>
        <v>ମାଟିର ପ୍ରକାର</v>
      </c>
      <c r="H20" s="18" t="s">
        <v>83</v>
      </c>
      <c r="I20" s="19"/>
      <c r="J20" s="19"/>
      <c r="K20" s="19"/>
      <c r="L20" s="19"/>
      <c r="M20" s="19"/>
      <c r="N20" s="19"/>
      <c r="O20" s="19"/>
      <c r="P20" s="19"/>
      <c r="Q20" s="20" t="s">
        <v>31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ht="12.75" customHeight="1">
      <c r="A21" s="21" t="s">
        <v>71</v>
      </c>
      <c r="B21" s="15" t="s">
        <v>84</v>
      </c>
      <c r="C21" s="16" t="s">
        <v>73</v>
      </c>
      <c r="D21" s="17" t="s">
        <v>74</v>
      </c>
      <c r="E21" s="17" t="s">
        <v>75</v>
      </c>
      <c r="F21" s="17" t="s">
        <v>76</v>
      </c>
      <c r="G21" s="9" t="str">
        <f>IFERROR(__xludf.DUMMYFUNCTION("GOOGLETRANSLATE(C21,""en"",""or"")"),"ସିଲ୍ଟର ପରିମାଣ")</f>
        <v>ସିଲ୍ଟର ପରିମାଣ</v>
      </c>
      <c r="H21" s="18" t="s">
        <v>83</v>
      </c>
      <c r="I21" s="19"/>
      <c r="J21" s="19"/>
      <c r="K21" s="19"/>
      <c r="L21" s="19"/>
      <c r="M21" s="19"/>
      <c r="N21" s="19"/>
      <c r="O21" s="19"/>
      <c r="P21" s="19"/>
      <c r="Q21" s="20" t="s">
        <v>31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 ht="12.75" customHeight="1">
      <c r="A22" s="6" t="s">
        <v>85</v>
      </c>
      <c r="B22" s="7" t="s">
        <v>86</v>
      </c>
      <c r="C22" s="14" t="s">
        <v>87</v>
      </c>
      <c r="D22" s="9" t="str">
        <f>IFERROR(__xludf.DUMMYFUNCTION("GOOGLETRANSLATE(C22, ""en"", ""hi"")"),"कुएं के लिए आवश्यक मरम्मत/रखरखाव का प्रकार चुनें?")</f>
        <v>कुएं के लिए आवश्यक मरम्मत/रखरखाव का प्रकार चुनें?</v>
      </c>
      <c r="E22" s="9" t="str">
        <f>IFERROR(__xludf.DUMMYFUNCTION("GOOGLETRANSLATE(D22, ""hi"", ""gu"")"),"કૂવા માટે કયા પ્રકારનું સમારકામ/જાળવણી જરૂરી છે તે પસંદ કરો?")</f>
        <v>કૂવા માટે કયા પ્રકારનું સમારકામ/જાળવણી જરૂરી છે તે પસંદ કરો?</v>
      </c>
      <c r="F22" s="9" t="s">
        <v>88</v>
      </c>
      <c r="G22" s="9" t="str">
        <f>IFERROR(__xludf.DUMMYFUNCTION("GOOGLETRANSLATE(C22,""en"",""or"")"),"କୂଅ ପାଇଁ ଆବଶ୍ୟକ ମରାମତି ରକ୍ଷଣାବେକ୍ଷଣର ପ୍ରକାର ଚୟନ କରନ୍ତୁ?")</f>
        <v>କୂଅ ପାଇଁ ଆବଶ୍ୟକ ମରାମତି ରକ୍ଷଣାବେକ୍ଷଣର ପ୍ରକାର ଚୟନ କରନ୍ତୁ?</v>
      </c>
      <c r="H22" s="6" t="s">
        <v>89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ht="12.75" customHeight="1">
      <c r="A23" s="15" t="s">
        <v>64</v>
      </c>
      <c r="B23" s="15" t="s">
        <v>90</v>
      </c>
      <c r="C23" s="16" t="s">
        <v>66</v>
      </c>
      <c r="D23" s="17" t="s">
        <v>67</v>
      </c>
      <c r="E23" s="17" t="s">
        <v>68</v>
      </c>
      <c r="F23" s="17" t="s">
        <v>69</v>
      </c>
      <c r="G23" s="9" t="str">
        <f>IFERROR(__xludf.DUMMYFUNCTION("GOOGLETRANSLATE(C23,""en"",""or"")"),"ମାଟିର ପ୍ରକାର")</f>
        <v>ମାଟିର ପ୍ରକାର</v>
      </c>
      <c r="H23" s="18" t="s">
        <v>91</v>
      </c>
      <c r="I23" s="19"/>
      <c r="J23" s="19"/>
      <c r="K23" s="19"/>
      <c r="L23" s="19"/>
      <c r="M23" s="19"/>
      <c r="N23" s="19"/>
      <c r="O23" s="19"/>
      <c r="P23" s="19"/>
      <c r="Q23" s="20" t="s">
        <v>31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</row>
    <row r="24" ht="12.75" customHeight="1">
      <c r="A24" s="21" t="s">
        <v>71</v>
      </c>
      <c r="B24" s="15" t="s">
        <v>92</v>
      </c>
      <c r="C24" s="16" t="s">
        <v>73</v>
      </c>
      <c r="D24" s="17" t="s">
        <v>74</v>
      </c>
      <c r="E24" s="17" t="s">
        <v>75</v>
      </c>
      <c r="F24" s="17" t="s">
        <v>76</v>
      </c>
      <c r="G24" s="9" t="str">
        <f>IFERROR(__xludf.DUMMYFUNCTION("GOOGLETRANSLATE(C24,""en"",""or"")"),"ସିଲ୍ଟର ପରିମାଣ")</f>
        <v>ସିଲ୍ଟର ପରିମାଣ</v>
      </c>
      <c r="H24" s="18" t="s">
        <v>91</v>
      </c>
      <c r="I24" s="19"/>
      <c r="J24" s="19"/>
      <c r="K24" s="19"/>
      <c r="L24" s="19"/>
      <c r="M24" s="19"/>
      <c r="N24" s="19"/>
      <c r="O24" s="19"/>
      <c r="P24" s="19"/>
      <c r="Q24" s="20" t="s">
        <v>31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</row>
    <row r="25" ht="12.75" customHeight="1">
      <c r="A25" s="6" t="s">
        <v>93</v>
      </c>
      <c r="B25" s="6" t="s">
        <v>94</v>
      </c>
      <c r="C25" s="14" t="s">
        <v>95</v>
      </c>
      <c r="D25" s="9" t="str">
        <f>IFERROR(__xludf.DUMMYFUNCTION("GOOGLETRANSLATE(C25, ""en"", ""hi"")"),"नहर के लिए आवश्यक मरम्मत/रखरखाव का प्रकार चुनें?")</f>
        <v>नहर के लिए आवश्यक मरम्मत/रखरखाव का प्रकार चुनें?</v>
      </c>
      <c r="E25" s="9" t="str">
        <f>IFERROR(__xludf.DUMMYFUNCTION("GOOGLETRANSLATE(D25, ""hi"", ""gu"")"),"નહેર માટે જરૂરી સમારકામ/જાળવણીનો પ્રકાર પસંદ કરો?")</f>
        <v>નહેર માટે જરૂરી સમારકામ/જાળવણીનો પ્રકાર પસંદ કરો?</v>
      </c>
      <c r="F25" s="9" t="s">
        <v>96</v>
      </c>
      <c r="G25" s="9" t="str">
        <f>IFERROR(__xludf.DUMMYFUNCTION("GOOGLETRANSLATE(C25,""en"",""or"")"),"କେନାଲ ପାଇଁ ଆବଶ୍ୟକ ମରାମତି ରକ୍ଷଣାବେକ୍ଷଣର ପ୍ରକାର ଚୟନ କରନ୍ତୁ?")</f>
        <v>କେନାଲ ପାଇଁ ଆବଶ୍ୟକ ମରାମତି ରକ୍ଷଣାବେକ୍ଷଣର ପ୍ରକାର ଚୟନ କରନ୍ତୁ?</v>
      </c>
      <c r="H25" s="6" t="s">
        <v>97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ht="12.75" customHeight="1">
      <c r="A26" s="15" t="s">
        <v>64</v>
      </c>
      <c r="B26" s="15" t="s">
        <v>98</v>
      </c>
      <c r="C26" s="16" t="s">
        <v>66</v>
      </c>
      <c r="D26" s="17" t="s">
        <v>67</v>
      </c>
      <c r="E26" s="17" t="s">
        <v>68</v>
      </c>
      <c r="F26" s="17" t="s">
        <v>69</v>
      </c>
      <c r="G26" s="9" t="str">
        <f>IFERROR(__xludf.DUMMYFUNCTION("GOOGLETRANSLATE(C26,""en"",""or"")"),"ମାଟିର ପ୍ରକାର")</f>
        <v>ମାଟିର ପ୍ରକାର</v>
      </c>
      <c r="H26" s="18" t="s">
        <v>99</v>
      </c>
      <c r="I26" s="19"/>
      <c r="J26" s="19"/>
      <c r="K26" s="19"/>
      <c r="L26" s="19"/>
      <c r="M26" s="19"/>
      <c r="N26" s="19"/>
      <c r="O26" s="19"/>
      <c r="P26" s="19"/>
      <c r="Q26" s="20" t="s">
        <v>31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  <row r="27" ht="12.75" customHeight="1">
      <c r="A27" s="21" t="s">
        <v>71</v>
      </c>
      <c r="B27" s="15" t="s">
        <v>100</v>
      </c>
      <c r="C27" s="16" t="s">
        <v>73</v>
      </c>
      <c r="D27" s="17" t="s">
        <v>74</v>
      </c>
      <c r="E27" s="17" t="s">
        <v>75</v>
      </c>
      <c r="F27" s="17" t="s">
        <v>76</v>
      </c>
      <c r="G27" s="9" t="str">
        <f>IFERROR(__xludf.DUMMYFUNCTION("GOOGLETRANSLATE(C27,""en"",""or"")"),"ସିଲ୍ଟର ପରିମାଣ")</f>
        <v>ସିଲ୍ଟର ପରିମାଣ</v>
      </c>
      <c r="H27" s="18" t="s">
        <v>99</v>
      </c>
      <c r="I27" s="19"/>
      <c r="J27" s="19"/>
      <c r="K27" s="19"/>
      <c r="L27" s="19"/>
      <c r="M27" s="19"/>
      <c r="N27" s="19"/>
      <c r="O27" s="19"/>
      <c r="P27" s="19"/>
      <c r="Q27" s="20" t="s">
        <v>31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  <row r="28" ht="12.75" customHeight="1">
      <c r="A28" s="6" t="s">
        <v>101</v>
      </c>
      <c r="B28" s="6" t="s">
        <v>102</v>
      </c>
      <c r="C28" s="14" t="s">
        <v>103</v>
      </c>
      <c r="D28" s="9" t="str">
        <f>IFERROR(__xludf.DUMMYFUNCTION("GOOGLETRANSLATE(C28, ""en"", ""hi"")"),"खेत की मेड़ के लिए आवश्यक मरम्मत रखरखाव का प्रकार चुनें?")</f>
        <v>खेत की मेड़ के लिए आवश्यक मरम्मत रखरखाव का प्रकार चुनें?</v>
      </c>
      <c r="E28" s="9" t="str">
        <f>IFERROR(__xludf.DUMMYFUNCTION("GOOGLETRANSLATE(D28, ""hi"", ""gu"")"),"ખેતર માટે જરૂરી સમારકામ જાળવણીનો પ્રકાર પસંદ કરો?")</f>
        <v>ખેતર માટે જરૂરી સમારકામ જાળવણીનો પ્રકાર પસંદ કરો?</v>
      </c>
      <c r="F28" s="9" t="s">
        <v>104</v>
      </c>
      <c r="G28" s="9" t="str">
        <f>IFERROR(__xludf.DUMMYFUNCTION("GOOGLETRANSLATE(C28,""en"",""or"")"),"ଫାର୍ମ ବନ୍ଧ ପାଇଁ ଆବଶ୍ୟକ ମରାମତି ରକ୍ଷଣାବେକ୍ଷଣର ପ୍ରକାର ଚୟନ କରନ୍ତୁ?")</f>
        <v>ଫାର୍ମ ବନ୍ଧ ପାଇଁ ଆବଶ୍ୟକ ମରାମତି ରକ୍ଷଣାବେକ୍ଷଣର ପ୍ରକାର ଚୟନ କରନ୍ତୁ?</v>
      </c>
      <c r="H28" s="6" t="s">
        <v>105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ht="12.75" customHeight="1">
      <c r="A29" s="6"/>
      <c r="B29" s="6"/>
      <c r="C29" s="6"/>
      <c r="D29" s="7"/>
      <c r="E29" s="9"/>
      <c r="F29" s="8"/>
      <c r="G29" s="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ht="12.75" customHeight="1">
      <c r="A30" s="9" t="s">
        <v>106</v>
      </c>
      <c r="B30" s="9" t="s">
        <v>107</v>
      </c>
      <c r="C30" s="9" t="s">
        <v>108</v>
      </c>
      <c r="D30" s="9" t="s">
        <v>109</v>
      </c>
      <c r="E30" s="9" t="str">
        <f>IFERROR(__xludf.DUMMYFUNCTION("GOOGLETRANSLATE(D30, ""hi"", ""gu"")"),"વિસ્તારનો ફોટો આપો")</f>
        <v>વિસ્તારનો ફોટો આપો</v>
      </c>
      <c r="F30" s="9" t="s">
        <v>110</v>
      </c>
      <c r="G30" s="9" t="str">
        <f>IFERROR(__xludf.DUMMYFUNCTION("GOOGLETRANSLATE(C30,""en"",""or"")"),"ଅଞ୍ଚଳର ଫଟୋ")</f>
        <v>ଅଞ୍ଚଳର ଫଟୋ</v>
      </c>
      <c r="H30" s="9"/>
      <c r="I30" s="9"/>
      <c r="J30" s="9"/>
      <c r="K30" s="9"/>
      <c r="L30" s="9"/>
      <c r="M30" s="9"/>
      <c r="N30" s="9"/>
      <c r="O30" s="9"/>
      <c r="P30" s="9" t="s">
        <v>111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ht="12.75" customHeight="1">
      <c r="A31" s="6" t="s">
        <v>112</v>
      </c>
      <c r="B31" s="23" t="s">
        <v>113</v>
      </c>
      <c r="C31" s="12" t="s">
        <v>114</v>
      </c>
      <c r="D31" s="12" t="str">
        <f>IFERROR(__xludf.DUMMYFUNCTION("GOOGLETRANSLATE(C31, ""en"", ""hi"")"),"इस स्थान पर सिंचाई संरचना के रखरखाव की आवश्यकता को उचित ठहराते हुए एक संदेश रिकॉर्ड करें:")</f>
        <v>इस स्थान पर सिंचाई संरचना के रखरखाव की आवश्यकता को उचित ठहराते हुए एक संदेश रिकॉर्ड करें:</v>
      </c>
      <c r="E31" s="9" t="str">
        <f>IFERROR(__xludf.DUMMYFUNCTION("GOOGLETRANSLATE(D31, ""hi"", ""gu"")"),"આ સ્થાન પર સિંચાઈ માળખાની જાળવણીની જરૂરિયાતને સમર્થન આપતો સંદેશ રેકોર્ડ કરો:")</f>
        <v>આ સ્થાન પર સિંચાઈ માળખાની જાળવણીની જરૂરિયાતને સમર્થન આપતો સંદેશ રેકોર્ડ કરો:</v>
      </c>
      <c r="F31" s="9" t="s">
        <v>115</v>
      </c>
      <c r="G31" s="9" t="str">
        <f>IFERROR(__xludf.DUMMYFUNCTION("GOOGLETRANSLATE(C31,""en"",""or"")"),"ଏହି ସ୍ଥାନରେ ଜଳସେଚନ ଗଠନର ରକ୍ଷଣାବେକ୍ଷଣର ଆବଶ୍ୟକତାକୁ ଯଥାର୍ଥ କରି ଏକ ବାର୍ତ୍ତା ରେକର୍ଡ କରନ୍ତୁ:")</f>
        <v>ଏହି ସ୍ଥାନରେ ଜଳସେଚନ ଗଠନର ରକ୍ଷଣାବେକ୍ଷଣର ଆବଶ୍ୟକତାକୁ ଯଥାର୍ଥ କରି ଏକ ବାର୍ତ୍ତା ରେକର୍ଡ କରନ୍ତୁ: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ht="12.75" customHeight="1">
      <c r="A32" s="24" t="s">
        <v>26</v>
      </c>
      <c r="B32" s="25" t="s">
        <v>116</v>
      </c>
      <c r="C32" s="26" t="s">
        <v>117</v>
      </c>
      <c r="D32" s="26" t="str">
        <f>IFERROR(__xludf.DUMMYFUNCTION("GOOGLETRANSLATE(C32, ""en"", ""hi"")"),"यदि आप रिकॉर्ड नहीं कर सकते हैं, तो इस स्थान पर सिंचाई संरचना के रखरखाव की आवश्यकता का औचित्य लिख लें।")</f>
        <v>यदि आप रिकॉर्ड नहीं कर सकते हैं, तो इस स्थान पर सिंचाई संरचना के रखरखाव की आवश्यकता का औचित्य लिख लें।</v>
      </c>
      <c r="E32" s="24" t="str">
        <f>IFERROR(__xludf.DUMMYFUNCTION("GOOGLETRANSLATE(D32, ""hi"", ""gu"")"),"જો તમે રેકોર્ડ ન કરી શકો, તો આ જગ્યાએ સિંચાઈ માળખાના જાળવણીની જરૂરિયાતનું કારણ લખો.")</f>
        <v>જો તમે રેકોર્ડ ન કરી શકો, તો આ જગ્યાએ સિંચાઈ માળખાના જાળવણીની જરૂરિયાતનું કારણ લખો.</v>
      </c>
      <c r="F32" s="24" t="str">
        <f>IFERROR(__xludf.DUMMYFUNCTION("GOOGLETRANSLATE(E32, ""en"", ""kn"")"),"ಜೋ ನೀವು ರೆಕಾರ್ಡ್ ಎನ್ ಕರಿ ಶಾಕೋ, ತೋ ಆ ಜಾಗ್ಯಾಯ ಸಚಿ ಮಾಲಖಾನಾ ಜಾಲವಾಣಿ ಜರೂರಿಯಾತನಂ ಕಾರಣ.")</f>
        <v>ಜೋ ನೀವು ರೆಕಾರ್ಡ್ ಎನ್ ಕರಿ ಶಾಕೋ, ತೋ ಆ ಜಾಗ್ಯಾಯ ಸಚಿ ಮಾಲಖಾನಾ ಜಾಲವಾಣಿ ಜರೂರಿಯಾತನಂ ಕಾರಣ.</v>
      </c>
      <c r="G32" s="9" t="str">
        <f>IFERROR(__xludf.DUMMYFUNCTION("GOOGLETRANSLATE(C32,""en"",""or"")"),"ଯଦି ଆପଣ ରେକର୍ଡ କରିପାରିବେ ନାହିଁ, ତେବେ ଏହି ସ୍ଥାନରେ ଜଳସେଚନ ଗଠନର ରକ୍ଷଣାବେକ୍ଷଣର ଆବଶ୍ୟକତାର ଯଥାର୍ଥତା ଲେଖନ୍ତୁ।")</f>
        <v>ଯଦି ଆପଣ ରେକର୍ଡ କରିପାରିବେ ନାହିଁ, ତେବେ ଏହି ସ୍ଥାନରେ ଜଳସେଚନ ଗଠନର ରକ୍ଷଣାବେକ୍ଷଣର ଆବଶ୍ୟକତାର ଯଥାର୍ଥତା ଲେଖନ୍ତୁ।</v>
      </c>
      <c r="H32" s="24" t="s">
        <v>118</v>
      </c>
      <c r="I32" s="24"/>
      <c r="J32" s="24"/>
      <c r="K32" s="27"/>
      <c r="L32" s="27"/>
      <c r="M32" s="27"/>
      <c r="N32" s="27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</row>
    <row r="33" ht="12.75" customHeight="1">
      <c r="A33" s="6"/>
      <c r="B33" s="6"/>
      <c r="C33" s="6"/>
      <c r="D33" s="7"/>
      <c r="E33" s="9"/>
      <c r="F33" s="8"/>
      <c r="G33" s="9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ht="12.75" customHeight="1">
      <c r="A34" s="21" t="s">
        <v>119</v>
      </c>
      <c r="B34" s="21" t="s">
        <v>120</v>
      </c>
      <c r="C34" s="13" t="s">
        <v>121</v>
      </c>
      <c r="D34" s="12" t="s">
        <v>122</v>
      </c>
      <c r="E34" s="12" t="str">
        <f>IFERROR(__xludf.DUMMYFUNCTION("GOOGLETRANSLATE(D34,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34" s="9" t="s">
        <v>123</v>
      </c>
      <c r="G34" s="9" t="str">
        <f>IFERROR(__xludf.DUMMYFUNCTION("GOOGLETRANSLATE(C34,""en"",""or"")"),"&lt;span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ht="12.75" customHeight="1">
      <c r="A35" s="9" t="s">
        <v>124</v>
      </c>
      <c r="B35" s="22" t="s">
        <v>125</v>
      </c>
      <c r="C35" s="12" t="s">
        <v>126</v>
      </c>
      <c r="D35" s="28" t="s">
        <v>127</v>
      </c>
      <c r="E35" s="12" t="str">
        <f>IFERROR(__xludf.DUMMYFUNCTION("GOOGLETRANSLATE(D35, ""hi"", ""gu"")"),"અક્ષાંશ રેખાંશ")</f>
        <v>અક્ષાંશ રેખાંશ</v>
      </c>
      <c r="F35" s="9" t="s">
        <v>128</v>
      </c>
      <c r="G35" s="9" t="str">
        <f>IFERROR(__xludf.DUMMYFUNCTION("GOOGLETRANSLATE(C35,""en"",""or"")"),"ଅକ୍ଷାଂଶ/ଲୋନ")</f>
        <v>ଅକ୍ଷାଂଶ/ଲୋନ</v>
      </c>
      <c r="H35" s="9"/>
      <c r="I35" s="9"/>
      <c r="J35" s="9"/>
      <c r="K35" s="22"/>
      <c r="L35" s="22"/>
      <c r="M35" s="22"/>
      <c r="N35" s="22"/>
      <c r="O35" s="29" t="s">
        <v>129</v>
      </c>
      <c r="P35" s="30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ht="12.75" customHeight="1">
      <c r="A36" s="9" t="s">
        <v>130</v>
      </c>
      <c r="B36" s="9" t="s">
        <v>131</v>
      </c>
      <c r="C36" s="12"/>
      <c r="D36" s="28"/>
      <c r="E36" s="9"/>
      <c r="F36" s="8"/>
      <c r="G36" s="9"/>
      <c r="H36" s="9"/>
      <c r="I36" s="9"/>
      <c r="J36" s="9"/>
      <c r="K36" s="12" t="s">
        <v>130</v>
      </c>
      <c r="L36" s="12" t="s">
        <v>132</v>
      </c>
      <c r="M36" s="12" t="str">
        <f>IFERROR(__xludf.DUMMYFUNCTION("GOOGLETRANSLATE(K36, ""en"", ""gu"")"),"જીઓપોઇન્ટ")</f>
        <v>જીઓપોઇન્ટ</v>
      </c>
      <c r="N36" s="12" t="str">
        <f>IFERROR(__xludf.DUMMYFUNCTION("GOOGLETRANSLATE(K36, ""en"", ""kn"")"),"ಜಿಯೋಪಾಯಿಂಟ್")</f>
        <v>ಜಿಯೋಪಾಯಿಂಟ್</v>
      </c>
      <c r="O36" s="9" t="s">
        <v>133</v>
      </c>
      <c r="P36" s="9"/>
      <c r="Q36" s="9" t="s">
        <v>31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ht="12.75" customHeight="1">
      <c r="A37" s="9" t="s">
        <v>134</v>
      </c>
      <c r="B37" s="9"/>
      <c r="C37" s="9"/>
      <c r="D37" s="7"/>
      <c r="E37" s="9"/>
      <c r="F37" s="8"/>
      <c r="G37" s="9"/>
      <c r="H37" s="9"/>
      <c r="I37" s="9"/>
      <c r="J37" s="9"/>
      <c r="K37" s="22"/>
      <c r="L37" s="22"/>
      <c r="M37" s="22"/>
      <c r="N37" s="22"/>
      <c r="O37" s="22"/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ht="12.75" customHeight="1">
      <c r="A38" s="7" t="s">
        <v>26</v>
      </c>
      <c r="B38" s="9" t="s">
        <v>135</v>
      </c>
      <c r="C38" s="7" t="s">
        <v>136</v>
      </c>
      <c r="D38" s="9" t="s">
        <v>137</v>
      </c>
      <c r="E38" s="9" t="str">
        <f>IFERROR(__xludf.DUMMYFUNCTION("GOOGLETRANSLATE(D38, ""hi"", ""gu"")"),"બ્લોકનું નામ")</f>
        <v>બ્લોકનું નામ</v>
      </c>
      <c r="F38" s="9" t="s">
        <v>138</v>
      </c>
      <c r="G38" s="9" t="str">
        <f>IFERROR(__xludf.DUMMYFUNCTION("GOOGLETRANSLATE(C38,""en"",""or"")"),"ବ୍ଲକ୍ ନାମ")</f>
        <v>ବ୍ଲକ୍ ନାମ</v>
      </c>
      <c r="H38" s="7"/>
      <c r="I38" s="7"/>
      <c r="J38" s="7"/>
      <c r="K38" s="6"/>
      <c r="L38" s="6"/>
      <c r="M38" s="6"/>
      <c r="N38" s="6"/>
      <c r="O38" s="7"/>
      <c r="P38" s="7"/>
      <c r="Q38" s="6"/>
      <c r="R38" s="7"/>
      <c r="S38" s="7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12.75" customHeight="1">
      <c r="A39" s="9" t="s">
        <v>26</v>
      </c>
      <c r="B39" s="9" t="s">
        <v>139</v>
      </c>
      <c r="C39" s="9" t="s">
        <v>140</v>
      </c>
      <c r="D39" s="9" t="s">
        <v>141</v>
      </c>
      <c r="E39" s="31" t="s">
        <v>142</v>
      </c>
      <c r="F39" s="9" t="s">
        <v>143</v>
      </c>
      <c r="G39" s="9" t="str">
        <f>IFERROR(__xludf.DUMMYFUNCTION("GOOGLETRANSLATE(C39,""en"",""or"")"),"ପ୍ଲାନ୍ ID")</f>
        <v>ପ୍ଲାନ୍ ID</v>
      </c>
      <c r="H39" s="9"/>
      <c r="I39" s="9"/>
      <c r="J39" s="9"/>
      <c r="K39" s="9"/>
      <c r="L39" s="9"/>
      <c r="M39" s="9"/>
      <c r="N39" s="9"/>
      <c r="O39" s="9" t="s">
        <v>144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ht="12.75" customHeight="1">
      <c r="A40" s="9" t="s">
        <v>26</v>
      </c>
      <c r="B40" s="9" t="s">
        <v>145</v>
      </c>
      <c r="C40" s="9" t="s">
        <v>146</v>
      </c>
      <c r="D40" s="9" t="s">
        <v>147</v>
      </c>
      <c r="E40" s="9" t="str">
        <f>IFERROR(__xludf.DUMMYFUNCTION("GOOGLETRANSLATE(D40, ""hi"", ""gu"")"),"યોજનાનું નામ")</f>
        <v>યોજનાનું નામ</v>
      </c>
      <c r="F40" s="9" t="s">
        <v>148</v>
      </c>
      <c r="G40" s="9" t="str">
        <f>IFERROR(__xludf.DUMMYFUNCTION("GOOGLETRANSLATE(C40,""en"",""or"")"),"ଯୋଜନାର ନାମ")</f>
        <v>ଯୋଜନାର ନାମ</v>
      </c>
      <c r="H40" s="9"/>
      <c r="I40" s="9"/>
      <c r="J40" s="9"/>
      <c r="K40" s="9"/>
      <c r="L40" s="9"/>
      <c r="M40" s="9"/>
      <c r="N40" s="9"/>
      <c r="O40" s="9" t="s">
        <v>144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ht="12.75" customHeight="1">
      <c r="A41" s="9" t="s">
        <v>26</v>
      </c>
      <c r="B41" s="9" t="s">
        <v>149</v>
      </c>
      <c r="C41" s="9" t="s">
        <v>150</v>
      </c>
      <c r="D41" s="9" t="s">
        <v>151</v>
      </c>
      <c r="E41" s="9" t="str">
        <f>IFERROR(__xludf.DUMMYFUNCTION("GOOGLETRANSLATE(D41, ""hi"", ""gu"")"),"સંકળાયેલ નોકરીનું ID")</f>
        <v>સંકળાયેલ નોકરીનું ID</v>
      </c>
      <c r="F41" s="9" t="s">
        <v>152</v>
      </c>
      <c r="G41" s="9" t="str">
        <f>IFERROR(__xludf.DUMMYFUNCTION("GOOGLETRANSLATE(C41,""en"",""or"")"),"ଅନୁରୂପ କାର୍ଯ୍ୟ ID")</f>
        <v>ଅନୁରୂପ କାର୍ଯ୍ୟ ID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ht="12.75" customHeight="1">
      <c r="A42" s="32" t="s">
        <v>26</v>
      </c>
      <c r="B42" s="32" t="s">
        <v>153</v>
      </c>
      <c r="C42" s="9" t="s">
        <v>154</v>
      </c>
      <c r="D42" s="11" t="s">
        <v>155</v>
      </c>
      <c r="E42" s="9" t="str">
        <f>IFERROR(__xludf.DUMMYFUNCTION("GOOGLETRANSLATE(D42, ""hi"", ""gu"")"),"વપરાશકર્તાનું વર્તમાન સ્થાન")</f>
        <v>વપરાશકર્તાનું વર્તમાન સ્થાન</v>
      </c>
      <c r="F42" s="9" t="s">
        <v>156</v>
      </c>
      <c r="G42" s="9" t="str">
        <f>IFERROR(__xludf.DUMMYFUNCTION("GOOGLETRANSLATE(C42,""en"",""or"")"),"ଉପଯୋଗକର୍ତ୍ତାଙ୍କ ବର୍ତ୍ତମାନର ସ୍ଥାନ")</f>
        <v>ଉପଯୋଗକର୍ତ୍ତାଙ୍କ ବର୍ତ୍ତମାନର ସ୍ଥାନ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</row>
    <row r="43" ht="12.75" customHeight="1">
      <c r="A43" s="7" t="s">
        <v>26</v>
      </c>
      <c r="B43" s="7" t="s">
        <v>157</v>
      </c>
      <c r="C43" s="7" t="s">
        <v>158</v>
      </c>
      <c r="D43" s="9" t="s">
        <v>159</v>
      </c>
      <c r="E43" s="9" t="str">
        <f>IFERROR(__xludf.DUMMYFUNCTION("GOOGLETRANSLATE(D43, ""hi"", ""gu"")"),"કાર્યાલય ID")</f>
        <v>કાર્યાલય ID</v>
      </c>
      <c r="F43" s="9" t="s">
        <v>160</v>
      </c>
      <c r="G43" s="9" t="str">
        <f>IFERROR(__xludf.DUMMYFUNCTION("GOOGLETRANSLATE(C43,""en"",""or"")"),"କାର୍ଯ୍ୟସ୍ଥଳୀ ID")</f>
        <v>କାର୍ଯ୍ୟସ୍ଥଳୀ ID</v>
      </c>
      <c r="H43" s="7"/>
      <c r="I43" s="7" t="s">
        <v>31</v>
      </c>
      <c r="J43" s="7" t="s">
        <v>161</v>
      </c>
      <c r="K43" s="7"/>
      <c r="L43" s="7"/>
      <c r="M43" s="7"/>
      <c r="N43" s="7"/>
      <c r="O43" s="7"/>
      <c r="P43" s="7"/>
      <c r="Q43" s="6"/>
      <c r="R43" s="7"/>
      <c r="S43" s="7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12.75" customHeight="1">
      <c r="A44" s="6"/>
      <c r="B44" s="6"/>
      <c r="C44" s="6"/>
      <c r="D44" s="7"/>
      <c r="E44" s="7"/>
      <c r="F44" s="8"/>
      <c r="G44" s="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12.75" customHeight="1">
      <c r="A45" s="6"/>
      <c r="B45" s="6"/>
      <c r="C45" s="6"/>
      <c r="D45" s="7"/>
      <c r="E45" s="7"/>
      <c r="F45" s="8"/>
      <c r="G45" s="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12.75" customHeight="1">
      <c r="A46" s="6"/>
      <c r="B46" s="6"/>
      <c r="C46" s="6"/>
      <c r="D46" s="7"/>
      <c r="E46" s="7"/>
      <c r="F46" s="8"/>
      <c r="G46" s="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ht="12.75" customHeight="1">
      <c r="A47" s="6"/>
      <c r="B47" s="6"/>
      <c r="C47" s="6"/>
      <c r="D47" s="7"/>
      <c r="E47" s="7"/>
      <c r="F47" s="8"/>
      <c r="G47" s="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ht="12.75" customHeight="1">
      <c r="A48" s="6"/>
      <c r="B48" s="6"/>
      <c r="C48" s="6"/>
      <c r="D48" s="7"/>
      <c r="E48" s="7"/>
      <c r="F48" s="8"/>
      <c r="G48" s="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ht="12.75" customHeight="1">
      <c r="A49" s="6"/>
      <c r="B49" s="6"/>
      <c r="C49" s="6"/>
      <c r="D49" s="7"/>
      <c r="E49" s="7"/>
      <c r="F49" s="8"/>
      <c r="G49" s="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12.75" customHeight="1">
      <c r="A50" s="6"/>
      <c r="B50" s="6"/>
      <c r="C50" s="6"/>
      <c r="D50" s="7"/>
      <c r="E50" s="7"/>
      <c r="F50" s="8"/>
      <c r="G50" s="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ht="12.75" customHeight="1">
      <c r="A51" s="6"/>
      <c r="B51" s="6"/>
      <c r="C51" s="6"/>
      <c r="D51" s="7"/>
      <c r="E51" s="7"/>
      <c r="F51" s="8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ht="12.75" customHeight="1">
      <c r="A52" s="6"/>
      <c r="B52" s="6"/>
      <c r="C52" s="6"/>
      <c r="D52" s="7"/>
      <c r="E52" s="7"/>
      <c r="F52" s="8"/>
      <c r="G52" s="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ht="12.75" customHeight="1">
      <c r="A53" s="6"/>
      <c r="B53" s="6"/>
      <c r="C53" s="6"/>
      <c r="D53" s="7"/>
      <c r="E53" s="7"/>
      <c r="F53" s="8"/>
      <c r="G53" s="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ht="12.75" customHeight="1">
      <c r="A54" s="6"/>
      <c r="B54" s="6"/>
      <c r="C54" s="6"/>
      <c r="D54" s="7"/>
      <c r="E54" s="7"/>
      <c r="F54" s="8"/>
      <c r="G54" s="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ht="12.75" customHeight="1">
      <c r="A55" s="6"/>
      <c r="B55" s="6"/>
      <c r="C55" s="6"/>
      <c r="D55" s="7"/>
      <c r="E55" s="7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ht="12.75" customHeight="1">
      <c r="A56" s="6"/>
      <c r="B56" s="6"/>
      <c r="C56" s="6"/>
      <c r="D56" s="7"/>
      <c r="E56" s="7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ht="12.75" customHeight="1">
      <c r="A57" s="6"/>
      <c r="B57" s="6"/>
      <c r="C57" s="6"/>
      <c r="D57" s="7"/>
      <c r="E57" s="7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ht="12.75" customHeight="1">
      <c r="A58" s="6"/>
      <c r="B58" s="6"/>
      <c r="C58" s="6"/>
      <c r="D58" s="7"/>
      <c r="E58" s="7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ht="12.75" customHeight="1">
      <c r="A59" s="6"/>
      <c r="B59" s="6"/>
      <c r="C59" s="6"/>
      <c r="D59" s="7"/>
      <c r="E59" s="7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ht="12.75" customHeight="1">
      <c r="A60" s="6"/>
      <c r="B60" s="6"/>
      <c r="C60" s="6"/>
      <c r="D60" s="7"/>
      <c r="E60" s="7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ht="12.75" customHeight="1">
      <c r="A61" s="6"/>
      <c r="B61" s="6"/>
      <c r="C61" s="6"/>
      <c r="D61" s="7"/>
      <c r="E61" s="7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ht="12.75" customHeight="1">
      <c r="A62" s="6"/>
      <c r="B62" s="6"/>
      <c r="C62" s="6"/>
      <c r="D62" s="7"/>
      <c r="E62" s="7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ht="12.75" customHeight="1">
      <c r="A63" s="6"/>
      <c r="B63" s="6"/>
      <c r="C63" s="6"/>
      <c r="D63" s="7"/>
      <c r="E63" s="7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ht="12.75" customHeight="1">
      <c r="A64" s="6"/>
      <c r="B64" s="6"/>
      <c r="C64" s="6"/>
      <c r="D64" s="7"/>
      <c r="E64" s="7"/>
      <c r="F64" s="8"/>
      <c r="G64" s="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ht="12.75" customHeight="1">
      <c r="A65" s="6"/>
      <c r="B65" s="6"/>
      <c r="C65" s="6"/>
      <c r="D65" s="7"/>
      <c r="E65" s="7"/>
      <c r="F65" s="8"/>
      <c r="G65" s="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ht="12.75" customHeight="1">
      <c r="A66" s="6"/>
      <c r="B66" s="6"/>
      <c r="C66" s="6"/>
      <c r="D66" s="7"/>
      <c r="E66" s="7"/>
      <c r="F66" s="8"/>
      <c r="G66" s="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ht="12.75" customHeight="1">
      <c r="A67" s="6"/>
      <c r="B67" s="6"/>
      <c r="C67" s="6"/>
      <c r="D67" s="7"/>
      <c r="E67" s="7"/>
      <c r="F67" s="8"/>
      <c r="G67" s="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ht="12.75" customHeight="1">
      <c r="A68" s="6"/>
      <c r="B68" s="6"/>
      <c r="C68" s="6"/>
      <c r="D68" s="7"/>
      <c r="E68" s="7"/>
      <c r="F68" s="8"/>
      <c r="G68" s="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ht="12.75" customHeight="1">
      <c r="A69" s="6"/>
      <c r="B69" s="6"/>
      <c r="C69" s="6"/>
      <c r="D69" s="7"/>
      <c r="E69" s="7"/>
      <c r="F69" s="8"/>
      <c r="G69" s="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ht="12.75" customHeight="1">
      <c r="A70" s="6"/>
      <c r="B70" s="6"/>
      <c r="C70" s="6"/>
      <c r="D70" s="7"/>
      <c r="E70" s="7"/>
      <c r="F70" s="8"/>
      <c r="G70" s="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ht="12.75" customHeight="1">
      <c r="A71" s="6"/>
      <c r="B71" s="6"/>
      <c r="C71" s="6"/>
      <c r="D71" s="7"/>
      <c r="E71" s="7"/>
      <c r="F71" s="8"/>
      <c r="G71" s="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ht="12.75" customHeight="1">
      <c r="A72" s="6"/>
      <c r="B72" s="6"/>
      <c r="C72" s="6"/>
      <c r="D72" s="7"/>
      <c r="E72" s="7"/>
      <c r="F72" s="8"/>
      <c r="G72" s="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ht="12.75" customHeight="1">
      <c r="A73" s="6"/>
      <c r="B73" s="6"/>
      <c r="C73" s="6"/>
      <c r="D73" s="7"/>
      <c r="E73" s="7"/>
      <c r="F73" s="8"/>
      <c r="G73" s="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ht="12.75" customHeight="1">
      <c r="A74" s="6"/>
      <c r="B74" s="6"/>
      <c r="C74" s="6"/>
      <c r="D74" s="7"/>
      <c r="E74" s="7"/>
      <c r="F74" s="8"/>
      <c r="G74" s="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ht="12.75" customHeight="1">
      <c r="A75" s="6"/>
      <c r="B75" s="6"/>
      <c r="C75" s="6"/>
      <c r="D75" s="7"/>
      <c r="E75" s="7"/>
      <c r="F75" s="8"/>
      <c r="G75" s="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ht="12.75" customHeight="1">
      <c r="A76" s="6"/>
      <c r="B76" s="6"/>
      <c r="C76" s="6"/>
      <c r="D76" s="7"/>
      <c r="E76" s="7"/>
      <c r="F76" s="8"/>
      <c r="G76" s="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ht="12.75" customHeight="1">
      <c r="A77" s="6"/>
      <c r="B77" s="6"/>
      <c r="C77" s="6"/>
      <c r="D77" s="7"/>
      <c r="E77" s="7"/>
      <c r="F77" s="8"/>
      <c r="G77" s="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ht="12.75" customHeight="1">
      <c r="A78" s="6"/>
      <c r="B78" s="6"/>
      <c r="C78" s="6"/>
      <c r="D78" s="7"/>
      <c r="E78" s="7"/>
      <c r="F78" s="8"/>
      <c r="G78" s="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ht="12.75" customHeight="1">
      <c r="A79" s="6"/>
      <c r="B79" s="6"/>
      <c r="C79" s="6"/>
      <c r="D79" s="7"/>
      <c r="E79" s="7"/>
      <c r="F79" s="8"/>
      <c r="G79" s="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ht="12.75" customHeight="1">
      <c r="A80" s="6"/>
      <c r="B80" s="6"/>
      <c r="C80" s="6"/>
      <c r="D80" s="7"/>
      <c r="E80" s="7"/>
      <c r="F80" s="8"/>
      <c r="G80" s="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ht="12.75" customHeight="1">
      <c r="A81" s="6"/>
      <c r="B81" s="6"/>
      <c r="C81" s="6"/>
      <c r="D81" s="7"/>
      <c r="E81" s="7"/>
      <c r="F81" s="8"/>
      <c r="G81" s="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ht="12.75" customHeight="1">
      <c r="A82" s="6"/>
      <c r="B82" s="6"/>
      <c r="C82" s="6"/>
      <c r="D82" s="7"/>
      <c r="E82" s="7"/>
      <c r="F82" s="8"/>
      <c r="G82" s="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ht="12.75" customHeight="1">
      <c r="A83" s="6"/>
      <c r="B83" s="6"/>
      <c r="C83" s="6"/>
      <c r="D83" s="7"/>
      <c r="E83" s="7"/>
      <c r="F83" s="8"/>
      <c r="G83" s="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ht="12.75" customHeight="1">
      <c r="A84" s="6"/>
      <c r="B84" s="6"/>
      <c r="C84" s="6"/>
      <c r="D84" s="7"/>
      <c r="E84" s="7"/>
      <c r="F84" s="8"/>
      <c r="G84" s="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ht="12.75" customHeight="1">
      <c r="A85" s="6"/>
      <c r="B85" s="6"/>
      <c r="C85" s="6"/>
      <c r="D85" s="7"/>
      <c r="E85" s="7"/>
      <c r="F85" s="8"/>
      <c r="G85" s="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ht="12.75" customHeight="1">
      <c r="A86" s="6"/>
      <c r="B86" s="6"/>
      <c r="C86" s="6"/>
      <c r="D86" s="7"/>
      <c r="E86" s="7"/>
      <c r="F86" s="8"/>
      <c r="G86" s="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ht="12.75" customHeight="1">
      <c r="A87" s="6"/>
      <c r="B87" s="6"/>
      <c r="C87" s="6"/>
      <c r="D87" s="7"/>
      <c r="E87" s="7"/>
      <c r="F87" s="8"/>
      <c r="G87" s="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ht="12.75" customHeight="1">
      <c r="A88" s="6"/>
      <c r="B88" s="6"/>
      <c r="C88" s="6"/>
      <c r="D88" s="7"/>
      <c r="E88" s="7"/>
      <c r="F88" s="8"/>
      <c r="G88" s="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ht="12.75" customHeight="1">
      <c r="A89" s="6"/>
      <c r="B89" s="6"/>
      <c r="C89" s="6"/>
      <c r="D89" s="7"/>
      <c r="E89" s="7"/>
      <c r="F89" s="8"/>
      <c r="G89" s="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ht="12.75" customHeight="1">
      <c r="A90" s="6"/>
      <c r="B90" s="6"/>
      <c r="C90" s="6"/>
      <c r="D90" s="7"/>
      <c r="E90" s="7"/>
      <c r="F90" s="8"/>
      <c r="G90" s="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ht="12.75" customHeight="1">
      <c r="A91" s="6"/>
      <c r="B91" s="6"/>
      <c r="C91" s="6"/>
      <c r="D91" s="7"/>
      <c r="E91" s="7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ht="12.75" customHeight="1">
      <c r="A92" s="6"/>
      <c r="B92" s="6"/>
      <c r="C92" s="6"/>
      <c r="D92" s="7"/>
      <c r="E92" s="7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ht="12.75" customHeight="1">
      <c r="A93" s="6"/>
      <c r="B93" s="6"/>
      <c r="C93" s="6"/>
      <c r="D93" s="7"/>
      <c r="E93" s="7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 ht="12.75" customHeight="1">
      <c r="A94" s="6"/>
      <c r="B94" s="6"/>
      <c r="C94" s="6"/>
      <c r="D94" s="7"/>
      <c r="E94" s="7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ht="12.75" customHeight="1">
      <c r="A95" s="6"/>
      <c r="B95" s="6"/>
      <c r="C95" s="6"/>
      <c r="D95" s="7"/>
      <c r="E95" s="7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ht="12.75" customHeight="1">
      <c r="A96" s="6"/>
      <c r="B96" s="6"/>
      <c r="C96" s="6"/>
      <c r="D96" s="7"/>
      <c r="E96" s="7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ht="12.75" customHeight="1">
      <c r="A97" s="6"/>
      <c r="B97" s="6"/>
      <c r="C97" s="6"/>
      <c r="D97" s="7"/>
      <c r="E97" s="7"/>
      <c r="F97" s="8"/>
      <c r="G97" s="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ht="12.75" customHeight="1">
      <c r="A98" s="6"/>
      <c r="B98" s="6"/>
      <c r="C98" s="6"/>
      <c r="D98" s="7"/>
      <c r="E98" s="7"/>
      <c r="F98" s="8"/>
      <c r="G98" s="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ht="12.75" customHeight="1">
      <c r="A99" s="6"/>
      <c r="B99" s="6"/>
      <c r="C99" s="6"/>
      <c r="D99" s="7"/>
      <c r="E99" s="7"/>
      <c r="F99" s="8"/>
      <c r="G99" s="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 ht="12.75" customHeight="1">
      <c r="A100" s="6"/>
      <c r="B100" s="6"/>
      <c r="C100" s="6"/>
      <c r="D100" s="7"/>
      <c r="E100" s="7"/>
      <c r="F100" s="8"/>
      <c r="G100" s="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ht="12.75" customHeight="1">
      <c r="A101" s="6"/>
      <c r="B101" s="6"/>
      <c r="C101" s="6"/>
      <c r="D101" s="7"/>
      <c r="E101" s="7"/>
      <c r="F101" s="8"/>
      <c r="G101" s="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ht="12.75" customHeight="1">
      <c r="A102" s="6"/>
      <c r="B102" s="6"/>
      <c r="C102" s="6"/>
      <c r="D102" s="7"/>
      <c r="E102" s="7"/>
      <c r="F102" s="8"/>
      <c r="G102" s="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ht="12.75" customHeight="1">
      <c r="A103" s="6"/>
      <c r="B103" s="6"/>
      <c r="C103" s="6"/>
      <c r="D103" s="7"/>
      <c r="E103" s="7"/>
      <c r="F103" s="8"/>
      <c r="G103" s="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ht="12.75" customHeight="1">
      <c r="A104" s="6"/>
      <c r="B104" s="6"/>
      <c r="C104" s="6"/>
      <c r="D104" s="7"/>
      <c r="E104" s="7"/>
      <c r="F104" s="8"/>
      <c r="G104" s="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ht="12.75" customHeight="1">
      <c r="A105" s="6"/>
      <c r="B105" s="6"/>
      <c r="C105" s="6"/>
      <c r="D105" s="7"/>
      <c r="E105" s="7"/>
      <c r="F105" s="8"/>
      <c r="G105" s="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ht="12.75" customHeight="1">
      <c r="A106" s="6"/>
      <c r="B106" s="6"/>
      <c r="C106" s="6"/>
      <c r="D106" s="7"/>
      <c r="E106" s="7"/>
      <c r="F106" s="8"/>
      <c r="G106" s="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ht="12.75" customHeight="1">
      <c r="A107" s="6"/>
      <c r="B107" s="6"/>
      <c r="C107" s="6"/>
      <c r="D107" s="7"/>
      <c r="E107" s="7"/>
      <c r="F107" s="8"/>
      <c r="G107" s="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ht="12.75" customHeight="1">
      <c r="A108" s="6"/>
      <c r="B108" s="6"/>
      <c r="C108" s="6"/>
      <c r="D108" s="7"/>
      <c r="E108" s="7"/>
      <c r="F108" s="8"/>
      <c r="G108" s="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ht="12.75" customHeight="1">
      <c r="A109" s="6"/>
      <c r="B109" s="6"/>
      <c r="C109" s="6"/>
      <c r="D109" s="7"/>
      <c r="E109" s="7"/>
      <c r="F109" s="8"/>
      <c r="G109" s="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ht="12.75" customHeight="1">
      <c r="A110" s="6"/>
      <c r="B110" s="6"/>
      <c r="C110" s="6"/>
      <c r="D110" s="7"/>
      <c r="E110" s="7"/>
      <c r="F110" s="8"/>
      <c r="G110" s="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ht="12.75" customHeight="1">
      <c r="A111" s="6"/>
      <c r="B111" s="6"/>
      <c r="C111" s="6"/>
      <c r="D111" s="7"/>
      <c r="E111" s="7"/>
      <c r="F111" s="8"/>
      <c r="G111" s="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ht="12.75" customHeight="1">
      <c r="A112" s="6"/>
      <c r="B112" s="6"/>
      <c r="C112" s="6"/>
      <c r="D112" s="7"/>
      <c r="E112" s="7"/>
      <c r="F112" s="8"/>
      <c r="G112" s="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ht="12.75" customHeight="1">
      <c r="A113" s="6"/>
      <c r="B113" s="6"/>
      <c r="C113" s="6"/>
      <c r="D113" s="7"/>
      <c r="E113" s="7"/>
      <c r="F113" s="8"/>
      <c r="G113" s="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 ht="12.75" customHeight="1">
      <c r="A114" s="6"/>
      <c r="B114" s="6"/>
      <c r="C114" s="6"/>
      <c r="D114" s="7"/>
      <c r="E114" s="7"/>
      <c r="F114" s="8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 ht="12.75" customHeight="1">
      <c r="A115" s="6"/>
      <c r="B115" s="6"/>
      <c r="C115" s="6"/>
      <c r="D115" s="7"/>
      <c r="E115" s="7"/>
      <c r="F115" s="8"/>
      <c r="G115" s="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ht="12.75" customHeight="1">
      <c r="A116" s="6"/>
      <c r="B116" s="6"/>
      <c r="C116" s="6"/>
      <c r="D116" s="7"/>
      <c r="E116" s="7"/>
      <c r="F116" s="8"/>
      <c r="G116" s="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 ht="12.75" customHeight="1">
      <c r="A117" s="6"/>
      <c r="B117" s="6"/>
      <c r="C117" s="6"/>
      <c r="D117" s="7"/>
      <c r="E117" s="7"/>
      <c r="F117" s="8"/>
      <c r="G117" s="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ht="12.75" customHeight="1">
      <c r="A118" s="6"/>
      <c r="B118" s="6"/>
      <c r="C118" s="6"/>
      <c r="D118" s="7"/>
      <c r="E118" s="7"/>
      <c r="F118" s="8"/>
      <c r="G118" s="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 ht="12.75" customHeight="1">
      <c r="A119" s="6"/>
      <c r="B119" s="6"/>
      <c r="C119" s="6"/>
      <c r="D119" s="7"/>
      <c r="E119" s="7"/>
      <c r="F119" s="8"/>
      <c r="G119" s="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 ht="12.75" customHeight="1">
      <c r="A120" s="6"/>
      <c r="B120" s="6"/>
      <c r="C120" s="6"/>
      <c r="D120" s="7"/>
      <c r="E120" s="7"/>
      <c r="F120" s="8"/>
      <c r="G120" s="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ht="12.75" customHeight="1">
      <c r="A121" s="6"/>
      <c r="B121" s="6"/>
      <c r="C121" s="6"/>
      <c r="D121" s="7"/>
      <c r="E121" s="7"/>
      <c r="F121" s="8"/>
      <c r="G121" s="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ht="12.75" customHeight="1">
      <c r="A122" s="6"/>
      <c r="B122" s="6"/>
      <c r="C122" s="6"/>
      <c r="D122" s="7"/>
      <c r="E122" s="7"/>
      <c r="F122" s="8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ht="12.75" customHeight="1">
      <c r="A123" s="6"/>
      <c r="B123" s="6"/>
      <c r="C123" s="6"/>
      <c r="D123" s="7"/>
      <c r="E123" s="7"/>
      <c r="F123" s="8"/>
      <c r="G123" s="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ht="12.75" customHeight="1">
      <c r="A124" s="6"/>
      <c r="B124" s="6"/>
      <c r="C124" s="6"/>
      <c r="D124" s="7"/>
      <c r="E124" s="7"/>
      <c r="F124" s="8"/>
      <c r="G124" s="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ht="12.75" customHeight="1">
      <c r="A125" s="6"/>
      <c r="B125" s="6"/>
      <c r="C125" s="6"/>
      <c r="D125" s="7"/>
      <c r="E125" s="7"/>
      <c r="F125" s="8"/>
      <c r="G125" s="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ht="12.75" customHeight="1">
      <c r="A126" s="6"/>
      <c r="B126" s="6"/>
      <c r="C126" s="6"/>
      <c r="D126" s="7"/>
      <c r="E126" s="7"/>
      <c r="F126" s="8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ht="12.75" customHeight="1">
      <c r="A127" s="6"/>
      <c r="B127" s="6"/>
      <c r="C127" s="6"/>
      <c r="D127" s="7"/>
      <c r="E127" s="7"/>
      <c r="F127" s="8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ht="12.75" customHeight="1">
      <c r="A128" s="6"/>
      <c r="B128" s="6"/>
      <c r="C128" s="6"/>
      <c r="D128" s="7"/>
      <c r="E128" s="7"/>
      <c r="F128" s="8"/>
      <c r="G128" s="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ht="12.75" customHeight="1">
      <c r="A129" s="6"/>
      <c r="B129" s="6"/>
      <c r="C129" s="6"/>
      <c r="D129" s="7"/>
      <c r="E129" s="7"/>
      <c r="F129" s="8"/>
      <c r="G129" s="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ht="12.75" customHeight="1">
      <c r="A130" s="6"/>
      <c r="B130" s="6"/>
      <c r="C130" s="6"/>
      <c r="D130" s="7"/>
      <c r="E130" s="7"/>
      <c r="F130" s="8"/>
      <c r="G130" s="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ht="12.75" customHeight="1">
      <c r="A131" s="6"/>
      <c r="B131" s="6"/>
      <c r="C131" s="6"/>
      <c r="D131" s="7"/>
      <c r="E131" s="7"/>
      <c r="F131" s="8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ht="12.75" customHeight="1">
      <c r="A132" s="6"/>
      <c r="B132" s="6"/>
      <c r="C132" s="6"/>
      <c r="D132" s="7"/>
      <c r="E132" s="7"/>
      <c r="F132" s="8"/>
      <c r="G132" s="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 ht="12.75" customHeight="1">
      <c r="A133" s="6"/>
      <c r="B133" s="6"/>
      <c r="C133" s="6"/>
      <c r="D133" s="7"/>
      <c r="E133" s="7"/>
      <c r="F133" s="8"/>
      <c r="G133" s="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 ht="12.75" customHeight="1">
      <c r="A134" s="6"/>
      <c r="B134" s="6"/>
      <c r="C134" s="6"/>
      <c r="D134" s="7"/>
      <c r="E134" s="7"/>
      <c r="F134" s="8"/>
      <c r="G134" s="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ht="12.75" customHeight="1">
      <c r="A135" s="6"/>
      <c r="B135" s="6"/>
      <c r="C135" s="6"/>
      <c r="D135" s="7"/>
      <c r="E135" s="7"/>
      <c r="F135" s="8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ht="12.75" customHeight="1">
      <c r="A136" s="6"/>
      <c r="B136" s="6"/>
      <c r="C136" s="6"/>
      <c r="D136" s="7"/>
      <c r="E136" s="7"/>
      <c r="F136" s="8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 ht="12.75" customHeight="1">
      <c r="A137" s="6"/>
      <c r="B137" s="6"/>
      <c r="C137" s="6"/>
      <c r="D137" s="7"/>
      <c r="E137" s="7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ht="12.75" customHeight="1">
      <c r="A138" s="6"/>
      <c r="B138" s="6"/>
      <c r="C138" s="6"/>
      <c r="D138" s="7"/>
      <c r="E138" s="7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ht="12.75" customHeight="1">
      <c r="A139" s="6"/>
      <c r="B139" s="6"/>
      <c r="C139" s="6"/>
      <c r="D139" s="7"/>
      <c r="E139" s="7"/>
      <c r="F139" s="8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ht="12.75" customHeight="1">
      <c r="A140" s="6"/>
      <c r="B140" s="6"/>
      <c r="C140" s="6"/>
      <c r="D140" s="7"/>
      <c r="E140" s="7"/>
      <c r="F140" s="8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ht="12.75" customHeight="1">
      <c r="A141" s="6"/>
      <c r="B141" s="6"/>
      <c r="C141" s="6"/>
      <c r="D141" s="7"/>
      <c r="E141" s="7"/>
      <c r="F141" s="8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ht="12.75" customHeight="1">
      <c r="A142" s="6"/>
      <c r="B142" s="6"/>
      <c r="C142" s="6"/>
      <c r="D142" s="7"/>
      <c r="E142" s="7"/>
      <c r="F142" s="8"/>
      <c r="G142" s="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ht="12.75" customHeight="1">
      <c r="A143" s="6"/>
      <c r="B143" s="6"/>
      <c r="C143" s="6"/>
      <c r="D143" s="7"/>
      <c r="E143" s="7"/>
      <c r="F143" s="8"/>
      <c r="G143" s="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ht="12.75" customHeight="1">
      <c r="A144" s="6"/>
      <c r="B144" s="6"/>
      <c r="C144" s="6"/>
      <c r="D144" s="7"/>
      <c r="E144" s="7"/>
      <c r="F144" s="8"/>
      <c r="G144" s="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ht="12.75" customHeight="1">
      <c r="A145" s="6"/>
      <c r="B145" s="6"/>
      <c r="C145" s="6"/>
      <c r="D145" s="7"/>
      <c r="E145" s="7"/>
      <c r="F145" s="8"/>
      <c r="G145" s="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ht="12.75" customHeight="1">
      <c r="A146" s="6"/>
      <c r="B146" s="6"/>
      <c r="C146" s="6"/>
      <c r="D146" s="7"/>
      <c r="E146" s="7"/>
      <c r="F146" s="8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ht="12.75" customHeight="1">
      <c r="A147" s="6"/>
      <c r="B147" s="6"/>
      <c r="C147" s="6"/>
      <c r="D147" s="7"/>
      <c r="E147" s="7"/>
      <c r="F147" s="8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ht="12.75" customHeight="1">
      <c r="A148" s="6"/>
      <c r="B148" s="6"/>
      <c r="C148" s="6"/>
      <c r="D148" s="7"/>
      <c r="E148" s="7"/>
      <c r="F148" s="8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ht="12.75" customHeight="1">
      <c r="A149" s="6"/>
      <c r="B149" s="6"/>
      <c r="C149" s="6"/>
      <c r="D149" s="7"/>
      <c r="E149" s="7"/>
      <c r="F149" s="8"/>
      <c r="G149" s="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ht="12.75" customHeight="1">
      <c r="A150" s="6"/>
      <c r="B150" s="6"/>
      <c r="C150" s="6"/>
      <c r="D150" s="7"/>
      <c r="E150" s="7"/>
      <c r="F150" s="8"/>
      <c r="G150" s="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ht="12.75" customHeight="1">
      <c r="A151" s="6"/>
      <c r="B151" s="6"/>
      <c r="C151" s="6"/>
      <c r="D151" s="7"/>
      <c r="E151" s="7"/>
      <c r="F151" s="8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ht="12.75" customHeight="1">
      <c r="A152" s="6"/>
      <c r="B152" s="6"/>
      <c r="C152" s="6"/>
      <c r="D152" s="7"/>
      <c r="E152" s="7"/>
      <c r="F152" s="8"/>
      <c r="G152" s="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ht="12.75" customHeight="1">
      <c r="A153" s="6"/>
      <c r="B153" s="6"/>
      <c r="C153" s="6"/>
      <c r="D153" s="7"/>
      <c r="E153" s="7"/>
      <c r="F153" s="8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ht="12.75" customHeight="1">
      <c r="A154" s="6"/>
      <c r="B154" s="6"/>
      <c r="C154" s="6"/>
      <c r="D154" s="7"/>
      <c r="E154" s="7"/>
      <c r="F154" s="8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ht="12.75" customHeight="1">
      <c r="A155" s="6"/>
      <c r="B155" s="6"/>
      <c r="C155" s="6"/>
      <c r="D155" s="7"/>
      <c r="E155" s="7"/>
      <c r="F155" s="8"/>
      <c r="G155" s="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ht="12.75" customHeight="1">
      <c r="A156" s="6"/>
      <c r="B156" s="6"/>
      <c r="C156" s="6"/>
      <c r="D156" s="7"/>
      <c r="E156" s="7"/>
      <c r="F156" s="8"/>
      <c r="G156" s="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ht="12.75" customHeight="1">
      <c r="A157" s="6"/>
      <c r="B157" s="6"/>
      <c r="C157" s="6"/>
      <c r="D157" s="7"/>
      <c r="E157" s="7"/>
      <c r="F157" s="8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ht="12.75" customHeight="1">
      <c r="A158" s="6"/>
      <c r="B158" s="6"/>
      <c r="C158" s="6"/>
      <c r="D158" s="7"/>
      <c r="E158" s="7"/>
      <c r="F158" s="8"/>
      <c r="G158" s="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ht="12.75" customHeight="1">
      <c r="A159" s="6"/>
      <c r="B159" s="6"/>
      <c r="C159" s="6"/>
      <c r="D159" s="7"/>
      <c r="E159" s="7"/>
      <c r="F159" s="8"/>
      <c r="G159" s="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ht="12.75" customHeight="1">
      <c r="A160" s="6"/>
      <c r="B160" s="6"/>
      <c r="C160" s="6"/>
      <c r="D160" s="7"/>
      <c r="E160" s="7"/>
      <c r="F160" s="8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ht="12.75" customHeight="1">
      <c r="A161" s="6"/>
      <c r="B161" s="6"/>
      <c r="C161" s="6"/>
      <c r="D161" s="7"/>
      <c r="E161" s="7"/>
      <c r="F161" s="8"/>
      <c r="G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ht="12.75" customHeight="1">
      <c r="A162" s="6"/>
      <c r="B162" s="6"/>
      <c r="C162" s="6"/>
      <c r="D162" s="7"/>
      <c r="E162" s="7"/>
      <c r="F162" s="8"/>
      <c r="G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ht="12.75" customHeight="1">
      <c r="A163" s="6"/>
      <c r="B163" s="6"/>
      <c r="C163" s="6"/>
      <c r="D163" s="7"/>
      <c r="E163" s="7"/>
      <c r="F163" s="8"/>
      <c r="G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ht="12.75" customHeight="1">
      <c r="A164" s="6"/>
      <c r="B164" s="6"/>
      <c r="C164" s="6"/>
      <c r="D164" s="7"/>
      <c r="E164" s="7"/>
      <c r="F164" s="8"/>
      <c r="G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ht="12.75" customHeight="1">
      <c r="A165" s="6"/>
      <c r="B165" s="6"/>
      <c r="C165" s="6"/>
      <c r="D165" s="7"/>
      <c r="E165" s="7"/>
      <c r="F165" s="8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ht="12.75" customHeight="1">
      <c r="A166" s="6"/>
      <c r="B166" s="6"/>
      <c r="C166" s="6"/>
      <c r="D166" s="7"/>
      <c r="E166" s="7"/>
      <c r="F166" s="8"/>
      <c r="G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ht="12.75" customHeight="1">
      <c r="A167" s="6"/>
      <c r="B167" s="6"/>
      <c r="C167" s="6"/>
      <c r="D167" s="7"/>
      <c r="E167" s="7"/>
      <c r="F167" s="8"/>
      <c r="G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ht="12.75" customHeight="1">
      <c r="A168" s="6"/>
      <c r="B168" s="6"/>
      <c r="C168" s="6"/>
      <c r="D168" s="7"/>
      <c r="E168" s="7"/>
      <c r="F168" s="8"/>
      <c r="G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ht="12.75" customHeight="1">
      <c r="A169" s="6"/>
      <c r="B169" s="6"/>
      <c r="C169" s="6"/>
      <c r="D169" s="7"/>
      <c r="E169" s="7"/>
      <c r="F169" s="8"/>
      <c r="G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ht="12.75" customHeight="1">
      <c r="A170" s="6"/>
      <c r="B170" s="6"/>
      <c r="C170" s="6"/>
      <c r="D170" s="7"/>
      <c r="E170" s="7"/>
      <c r="F170" s="8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ht="12.75" customHeight="1">
      <c r="A171" s="6"/>
      <c r="B171" s="6"/>
      <c r="C171" s="6"/>
      <c r="D171" s="7"/>
      <c r="E171" s="7"/>
      <c r="F171" s="8"/>
      <c r="G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ht="12.75" customHeight="1">
      <c r="A172" s="6"/>
      <c r="B172" s="6"/>
      <c r="C172" s="6"/>
      <c r="D172" s="7"/>
      <c r="E172" s="7"/>
      <c r="F172" s="8"/>
      <c r="G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 ht="12.75" customHeight="1">
      <c r="A173" s="6"/>
      <c r="B173" s="6"/>
      <c r="C173" s="6"/>
      <c r="D173" s="7"/>
      <c r="E173" s="7"/>
      <c r="F173" s="8"/>
      <c r="G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 ht="12.75" customHeight="1">
      <c r="A174" s="6"/>
      <c r="B174" s="6"/>
      <c r="C174" s="6"/>
      <c r="D174" s="7"/>
      <c r="E174" s="7"/>
      <c r="F174" s="8"/>
      <c r="G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 ht="12.75" customHeight="1">
      <c r="A175" s="6"/>
      <c r="B175" s="6"/>
      <c r="C175" s="6"/>
      <c r="D175" s="7"/>
      <c r="E175" s="7"/>
      <c r="F175" s="8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 ht="12.75" customHeight="1">
      <c r="A176" s="6"/>
      <c r="B176" s="6"/>
      <c r="C176" s="6"/>
      <c r="D176" s="7"/>
      <c r="E176" s="7"/>
      <c r="F176" s="8"/>
      <c r="G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 ht="12.75" customHeight="1">
      <c r="A177" s="6"/>
      <c r="B177" s="6"/>
      <c r="C177" s="6"/>
      <c r="D177" s="7"/>
      <c r="E177" s="7"/>
      <c r="F177" s="8"/>
      <c r="G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 ht="12.75" customHeight="1">
      <c r="A178" s="6"/>
      <c r="B178" s="6"/>
      <c r="C178" s="6"/>
      <c r="D178" s="7"/>
      <c r="E178" s="7"/>
      <c r="F178" s="8"/>
      <c r="G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 ht="12.75" customHeight="1">
      <c r="A179" s="6"/>
      <c r="B179" s="6"/>
      <c r="C179" s="6"/>
      <c r="D179" s="7"/>
      <c r="E179" s="7"/>
      <c r="F179" s="8"/>
      <c r="G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 ht="12.75" customHeight="1">
      <c r="A180" s="6"/>
      <c r="B180" s="6"/>
      <c r="C180" s="6"/>
      <c r="D180" s="7"/>
      <c r="E180" s="7"/>
      <c r="F180" s="8"/>
      <c r="G180" s="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 ht="12.75" customHeight="1">
      <c r="A181" s="6"/>
      <c r="B181" s="6"/>
      <c r="C181" s="6"/>
      <c r="D181" s="7"/>
      <c r="E181" s="7"/>
      <c r="F181" s="8"/>
      <c r="G181" s="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 ht="12.75" customHeight="1">
      <c r="A182" s="6"/>
      <c r="B182" s="6"/>
      <c r="C182" s="6"/>
      <c r="D182" s="7"/>
      <c r="E182" s="7"/>
      <c r="F182" s="8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ht="12.75" customHeight="1">
      <c r="A183" s="6"/>
      <c r="B183" s="6"/>
      <c r="C183" s="6"/>
      <c r="D183" s="7"/>
      <c r="E183" s="7"/>
      <c r="F183" s="8"/>
      <c r="G183" s="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ht="12.75" customHeight="1">
      <c r="A184" s="6"/>
      <c r="B184" s="6"/>
      <c r="C184" s="6"/>
      <c r="D184" s="7"/>
      <c r="E184" s="7"/>
      <c r="F184" s="8"/>
      <c r="G184" s="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ht="12.75" customHeight="1">
      <c r="A185" s="6"/>
      <c r="B185" s="6"/>
      <c r="C185" s="6"/>
      <c r="D185" s="7"/>
      <c r="E185" s="7"/>
      <c r="F185" s="8"/>
      <c r="G185" s="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ht="12.75" customHeight="1">
      <c r="A186" s="6"/>
      <c r="B186" s="6"/>
      <c r="C186" s="6"/>
      <c r="D186" s="7"/>
      <c r="E186" s="7"/>
      <c r="F186" s="8"/>
      <c r="G186" s="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ht="12.75" customHeight="1">
      <c r="A187" s="6"/>
      <c r="B187" s="6"/>
      <c r="C187" s="6"/>
      <c r="D187" s="7"/>
      <c r="E187" s="7"/>
      <c r="F187" s="8"/>
      <c r="G187" s="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ht="12.75" customHeight="1">
      <c r="A188" s="6"/>
      <c r="B188" s="6"/>
      <c r="C188" s="6"/>
      <c r="D188" s="7"/>
      <c r="E188" s="7"/>
      <c r="F188" s="8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ht="12.75" customHeight="1">
      <c r="A189" s="6"/>
      <c r="B189" s="6"/>
      <c r="C189" s="6"/>
      <c r="D189" s="7"/>
      <c r="E189" s="7"/>
      <c r="F189" s="8"/>
      <c r="G189" s="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ht="12.75" customHeight="1">
      <c r="A190" s="6"/>
      <c r="B190" s="6"/>
      <c r="C190" s="6"/>
      <c r="D190" s="7"/>
      <c r="E190" s="7"/>
      <c r="F190" s="8"/>
      <c r="G190" s="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ht="12.75" customHeight="1">
      <c r="A191" s="6"/>
      <c r="B191" s="6"/>
      <c r="C191" s="6"/>
      <c r="D191" s="7"/>
      <c r="E191" s="7"/>
      <c r="F191" s="8"/>
      <c r="G191" s="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ht="12.75" customHeight="1">
      <c r="A192" s="6"/>
      <c r="B192" s="6"/>
      <c r="C192" s="6"/>
      <c r="D192" s="7"/>
      <c r="E192" s="7"/>
      <c r="F192" s="8"/>
      <c r="G192" s="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 ht="12.75" customHeight="1">
      <c r="A193" s="6"/>
      <c r="B193" s="6"/>
      <c r="C193" s="6"/>
      <c r="D193" s="7"/>
      <c r="E193" s="7"/>
      <c r="F193" s="8"/>
      <c r="G193" s="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 ht="12.75" customHeight="1">
      <c r="A194" s="6"/>
      <c r="B194" s="6"/>
      <c r="C194" s="6"/>
      <c r="D194" s="7"/>
      <c r="E194" s="7"/>
      <c r="F194" s="8"/>
      <c r="G194" s="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 ht="12.75" customHeight="1">
      <c r="A195" s="6"/>
      <c r="B195" s="6"/>
      <c r="C195" s="6"/>
      <c r="D195" s="7"/>
      <c r="E195" s="7"/>
      <c r="F195" s="8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 ht="12.75" customHeight="1">
      <c r="A196" s="6"/>
      <c r="B196" s="6"/>
      <c r="C196" s="6"/>
      <c r="D196" s="7"/>
      <c r="E196" s="7"/>
      <c r="F196" s="8"/>
      <c r="G196" s="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 ht="12.75" customHeight="1">
      <c r="A197" s="6"/>
      <c r="B197" s="6"/>
      <c r="C197" s="6"/>
      <c r="D197" s="7"/>
      <c r="E197" s="7"/>
      <c r="F197" s="8"/>
      <c r="G197" s="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 ht="12.75" customHeight="1">
      <c r="A198" s="6"/>
      <c r="B198" s="6"/>
      <c r="C198" s="6"/>
      <c r="D198" s="7"/>
      <c r="E198" s="7"/>
      <c r="F198" s="8"/>
      <c r="G198" s="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 ht="12.75" customHeight="1">
      <c r="A199" s="6"/>
      <c r="B199" s="6"/>
      <c r="C199" s="6"/>
      <c r="D199" s="7"/>
      <c r="E199" s="7"/>
      <c r="F199" s="8"/>
      <c r="G199" s="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 ht="12.75" customHeight="1">
      <c r="A200" s="6"/>
      <c r="B200" s="6"/>
      <c r="C200" s="6"/>
      <c r="D200" s="7"/>
      <c r="E200" s="7"/>
      <c r="F200" s="8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 ht="12.75" customHeight="1">
      <c r="A201" s="6"/>
      <c r="B201" s="6"/>
      <c r="C201" s="6"/>
      <c r="D201" s="7"/>
      <c r="E201" s="7"/>
      <c r="F201" s="8"/>
      <c r="G201" s="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 ht="12.75" customHeight="1">
      <c r="A202" s="6"/>
      <c r="B202" s="6"/>
      <c r="C202" s="6"/>
      <c r="D202" s="7"/>
      <c r="E202" s="7"/>
      <c r="F202" s="8"/>
      <c r="G202" s="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ht="12.75" customHeight="1">
      <c r="A203" s="6"/>
      <c r="B203" s="6"/>
      <c r="C203" s="6"/>
      <c r="D203" s="7"/>
      <c r="E203" s="7"/>
      <c r="F203" s="8"/>
      <c r="G203" s="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ht="12.75" customHeight="1">
      <c r="A204" s="6"/>
      <c r="B204" s="6"/>
      <c r="C204" s="6"/>
      <c r="D204" s="7"/>
      <c r="E204" s="7"/>
      <c r="F204" s="8"/>
      <c r="G204" s="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ht="12.75" customHeight="1">
      <c r="A205" s="6"/>
      <c r="B205" s="6"/>
      <c r="C205" s="6"/>
      <c r="D205" s="7"/>
      <c r="E205" s="7"/>
      <c r="F205" s="8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ht="12.75" customHeight="1">
      <c r="A206" s="6"/>
      <c r="B206" s="6"/>
      <c r="C206" s="6"/>
      <c r="D206" s="7"/>
      <c r="E206" s="7"/>
      <c r="F206" s="8"/>
      <c r="G206" s="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ht="12.75" customHeight="1">
      <c r="A207" s="6"/>
      <c r="B207" s="6"/>
      <c r="C207" s="6"/>
      <c r="D207" s="7"/>
      <c r="E207" s="7"/>
      <c r="F207" s="8"/>
      <c r="G207" s="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ht="12.75" customHeight="1">
      <c r="A208" s="6"/>
      <c r="B208" s="6"/>
      <c r="C208" s="6"/>
      <c r="D208" s="7"/>
      <c r="E208" s="7"/>
      <c r="F208" s="8"/>
      <c r="G208" s="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ht="12.75" customHeight="1">
      <c r="A209" s="6"/>
      <c r="B209" s="6"/>
      <c r="C209" s="6"/>
      <c r="D209" s="7"/>
      <c r="E209" s="7"/>
      <c r="F209" s="8"/>
      <c r="G209" s="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ht="12.75" customHeight="1">
      <c r="A210" s="6"/>
      <c r="B210" s="6"/>
      <c r="C210" s="6"/>
      <c r="D210" s="7"/>
      <c r="E210" s="7"/>
      <c r="F210" s="8"/>
      <c r="G210" s="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 ht="12.75" customHeight="1">
      <c r="A211" s="6"/>
      <c r="B211" s="6"/>
      <c r="C211" s="6"/>
      <c r="D211" s="7"/>
      <c r="E211" s="7"/>
      <c r="F211" s="8"/>
      <c r="G211" s="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ht="12.75" customHeight="1">
      <c r="A212" s="6"/>
      <c r="B212" s="6"/>
      <c r="C212" s="6"/>
      <c r="D212" s="7"/>
      <c r="E212" s="7"/>
      <c r="F212" s="8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 ht="12.75" customHeight="1">
      <c r="A213" s="6"/>
      <c r="B213" s="6"/>
      <c r="C213" s="6"/>
      <c r="D213" s="7"/>
      <c r="E213" s="7"/>
      <c r="F213" s="8"/>
      <c r="G213" s="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 ht="12.75" customHeight="1">
      <c r="A214" s="6"/>
      <c r="B214" s="6"/>
      <c r="C214" s="6"/>
      <c r="D214" s="7"/>
      <c r="E214" s="7"/>
      <c r="F214" s="8"/>
      <c r="G214" s="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 ht="12.75" customHeight="1">
      <c r="A215" s="6"/>
      <c r="B215" s="6"/>
      <c r="C215" s="6"/>
      <c r="D215" s="7"/>
      <c r="E215" s="7"/>
      <c r="F215" s="8"/>
      <c r="G215" s="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 ht="12.75" customHeight="1">
      <c r="A216" s="6"/>
      <c r="B216" s="6"/>
      <c r="C216" s="6"/>
      <c r="D216" s="7"/>
      <c r="E216" s="7"/>
      <c r="F216" s="8"/>
      <c r="G216" s="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 ht="12.75" customHeight="1">
      <c r="A217" s="6"/>
      <c r="B217" s="6"/>
      <c r="C217" s="6"/>
      <c r="D217" s="7"/>
      <c r="E217" s="7"/>
      <c r="F217" s="8"/>
      <c r="G217" s="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 ht="12.75" customHeight="1">
      <c r="A218" s="6"/>
      <c r="B218" s="6"/>
      <c r="C218" s="6"/>
      <c r="D218" s="7"/>
      <c r="E218" s="7"/>
      <c r="F218" s="8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 ht="12.75" customHeight="1">
      <c r="A219" s="6"/>
      <c r="B219" s="6"/>
      <c r="C219" s="6"/>
      <c r="D219" s="7"/>
      <c r="E219" s="7"/>
      <c r="F219" s="8"/>
      <c r="G219" s="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 ht="12.75" customHeight="1">
      <c r="A220" s="6"/>
      <c r="B220" s="6"/>
      <c r="C220" s="6"/>
      <c r="D220" s="7"/>
      <c r="E220" s="7"/>
      <c r="F220" s="8"/>
      <c r="G220" s="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 ht="12.75" customHeight="1">
      <c r="A221" s="6"/>
      <c r="B221" s="6"/>
      <c r="C221" s="6"/>
      <c r="D221" s="7"/>
      <c r="E221" s="7"/>
      <c r="F221" s="8"/>
      <c r="G221" s="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</row>
    <row r="222" ht="12.75" customHeight="1">
      <c r="A222" s="6"/>
      <c r="B222" s="6"/>
      <c r="C222" s="6"/>
      <c r="D222" s="7"/>
      <c r="E222" s="7"/>
      <c r="F222" s="8"/>
      <c r="G222" s="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ht="12.75" customHeight="1">
      <c r="A223" s="6"/>
      <c r="B223" s="6"/>
      <c r="C223" s="6"/>
      <c r="D223" s="7"/>
      <c r="E223" s="7"/>
      <c r="F223" s="8"/>
      <c r="G223" s="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ht="12.75" customHeight="1">
      <c r="A224" s="6"/>
      <c r="B224" s="6"/>
      <c r="C224" s="6"/>
      <c r="D224" s="7"/>
      <c r="E224" s="7"/>
      <c r="F224" s="8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ht="12.75" customHeight="1">
      <c r="A225" s="6"/>
      <c r="B225" s="6"/>
      <c r="C225" s="6"/>
      <c r="D225" s="7"/>
      <c r="E225" s="7"/>
      <c r="F225" s="8"/>
      <c r="G225" s="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ht="12.75" customHeight="1">
      <c r="A226" s="6"/>
      <c r="B226" s="6"/>
      <c r="C226" s="6"/>
      <c r="D226" s="7"/>
      <c r="E226" s="7"/>
      <c r="F226" s="8"/>
      <c r="G226" s="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ht="12.75" customHeight="1">
      <c r="A227" s="6"/>
      <c r="B227" s="6"/>
      <c r="C227" s="6"/>
      <c r="D227" s="7"/>
      <c r="E227" s="7"/>
      <c r="F227" s="8"/>
      <c r="G227" s="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ht="12.75" customHeight="1">
      <c r="A228" s="6"/>
      <c r="B228" s="6"/>
      <c r="C228" s="6"/>
      <c r="D228" s="7"/>
      <c r="E228" s="7"/>
      <c r="F228" s="8"/>
      <c r="G228" s="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ht="12.75" customHeight="1">
      <c r="A229" s="6"/>
      <c r="B229" s="6"/>
      <c r="C229" s="6"/>
      <c r="D229" s="7"/>
      <c r="E229" s="7"/>
      <c r="F229" s="8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ht="12.75" customHeight="1">
      <c r="A230" s="6"/>
      <c r="B230" s="6"/>
      <c r="C230" s="6"/>
      <c r="D230" s="7"/>
      <c r="E230" s="7"/>
      <c r="F230" s="8"/>
      <c r="G230" s="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</row>
    <row r="231" ht="12.75" customHeight="1">
      <c r="A231" s="6"/>
      <c r="B231" s="6"/>
      <c r="C231" s="6"/>
      <c r="D231" s="7"/>
      <c r="E231" s="7"/>
      <c r="F231" s="8"/>
      <c r="G231" s="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 ht="12.75" customHeight="1">
      <c r="A232" s="6"/>
      <c r="B232" s="6"/>
      <c r="C232" s="6"/>
      <c r="D232" s="7"/>
      <c r="E232" s="7"/>
      <c r="F232" s="8"/>
      <c r="G232" s="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 ht="12.75" customHeight="1">
      <c r="A233" s="6"/>
      <c r="B233" s="6"/>
      <c r="C233" s="6"/>
      <c r="D233" s="7"/>
      <c r="E233" s="7"/>
      <c r="F233" s="8"/>
      <c r="G233" s="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 ht="12.75" customHeight="1">
      <c r="A234" s="6"/>
      <c r="B234" s="6"/>
      <c r="C234" s="6"/>
      <c r="D234" s="7"/>
      <c r="E234" s="7"/>
      <c r="F234" s="8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</row>
    <row r="235" ht="12.75" customHeight="1">
      <c r="A235" s="6"/>
      <c r="B235" s="6"/>
      <c r="C235" s="6"/>
      <c r="D235" s="7"/>
      <c r="E235" s="7"/>
      <c r="F235" s="8"/>
      <c r="G235" s="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</row>
    <row r="236" ht="12.75" customHeight="1">
      <c r="A236" s="6"/>
      <c r="B236" s="6"/>
      <c r="C236" s="6"/>
      <c r="D236" s="7"/>
      <c r="E236" s="7"/>
      <c r="F236" s="8"/>
      <c r="G236" s="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</row>
    <row r="237" ht="12.75" customHeight="1">
      <c r="A237" s="6"/>
      <c r="B237" s="6"/>
      <c r="C237" s="6"/>
      <c r="D237" s="7"/>
      <c r="E237" s="7"/>
      <c r="F237" s="8"/>
      <c r="G237" s="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</row>
    <row r="238" ht="12.75" customHeight="1">
      <c r="A238" s="6"/>
      <c r="B238" s="6"/>
      <c r="C238" s="6"/>
      <c r="D238" s="7"/>
      <c r="E238" s="7"/>
      <c r="F238" s="8"/>
      <c r="G238" s="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</row>
    <row r="239" ht="12.75" customHeight="1">
      <c r="A239" s="6"/>
      <c r="B239" s="6"/>
      <c r="C239" s="6"/>
      <c r="D239" s="7"/>
      <c r="E239" s="7"/>
      <c r="F239" s="8"/>
      <c r="G239" s="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</row>
    <row r="240" ht="12.75" customHeight="1">
      <c r="A240" s="6"/>
      <c r="B240" s="6"/>
      <c r="C240" s="6"/>
      <c r="D240" s="7"/>
      <c r="E240" s="7"/>
      <c r="F240" s="8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</row>
    <row r="241" ht="12.75" customHeight="1">
      <c r="A241" s="6"/>
      <c r="B241" s="6"/>
      <c r="C241" s="6"/>
      <c r="D241" s="7"/>
      <c r="E241" s="7"/>
      <c r="F241" s="8"/>
      <c r="G241" s="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</row>
    <row r="242" ht="12.75" customHeight="1">
      <c r="A242" s="6"/>
      <c r="B242" s="6"/>
      <c r="C242" s="6"/>
      <c r="D242" s="7"/>
      <c r="E242" s="7"/>
      <c r="F242" s="8"/>
      <c r="G242" s="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</row>
    <row r="243" ht="12.75" customHeight="1">
      <c r="A243" s="6"/>
      <c r="B243" s="6"/>
      <c r="C243" s="6"/>
      <c r="D243" s="6"/>
      <c r="E243" s="6"/>
      <c r="F243" s="8"/>
      <c r="G243" s="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50.0"/>
    <col customWidth="1" min="3" max="3" width="47.63"/>
    <col customWidth="1" min="4" max="4" width="36.5"/>
    <col customWidth="1" min="5" max="5" width="48.25"/>
    <col customWidth="1" min="6" max="6" width="69.25"/>
    <col customWidth="1" min="7" max="26" width="11.88"/>
  </cols>
  <sheetData>
    <row r="1" ht="12.75" customHeight="1">
      <c r="A1" s="33" t="s">
        <v>162</v>
      </c>
      <c r="B1" s="34" t="s">
        <v>1</v>
      </c>
      <c r="C1" s="35" t="s">
        <v>2</v>
      </c>
      <c r="D1" s="36" t="s">
        <v>3</v>
      </c>
      <c r="E1" s="37" t="s">
        <v>4</v>
      </c>
      <c r="F1" s="38" t="s">
        <v>5</v>
      </c>
      <c r="G1" s="39" t="s">
        <v>6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40"/>
      <c r="B2" s="40"/>
      <c r="C2" s="6"/>
      <c r="D2" s="41"/>
      <c r="E2" s="6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0" t="s">
        <v>163</v>
      </c>
      <c r="B3" s="40" t="s">
        <v>31</v>
      </c>
      <c r="C3" s="6" t="s">
        <v>164</v>
      </c>
      <c r="D3" s="22" t="s">
        <v>165</v>
      </c>
      <c r="E3" s="6" t="str">
        <f>IFERROR(__xludf.DUMMYFUNCTION("GOOGLETRANSLATE(C3, ""en"", ""gu"")"),"હા")</f>
        <v>હા</v>
      </c>
      <c r="F3" s="42" t="s">
        <v>166</v>
      </c>
      <c r="G3" s="6" t="str">
        <f>IFERROR(__xludf.DUMMYFUNCTION("GOOGLETRANSLATE(C3,""en"",""or"")"),"ହଁ")</f>
        <v>ହଁ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0" t="s">
        <v>163</v>
      </c>
      <c r="B4" s="40" t="s">
        <v>167</v>
      </c>
      <c r="C4" s="6" t="s">
        <v>168</v>
      </c>
      <c r="D4" s="22" t="s">
        <v>169</v>
      </c>
      <c r="E4" s="6" t="str">
        <f>IFERROR(__xludf.DUMMYFUNCTION("GOOGLETRANSLATE(C4, ""en"", ""gu"")"),"ના")</f>
        <v>ના</v>
      </c>
      <c r="F4" s="42" t="s">
        <v>170</v>
      </c>
      <c r="G4" s="6" t="str">
        <f>IFERROR(__xludf.DUMMYFUNCTION("GOOGLETRANSLATE(C4,""en"",""or"")"),"ନା")</f>
        <v>ନା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0"/>
      <c r="B5" s="40"/>
      <c r="C5" s="6"/>
      <c r="D5" s="41"/>
      <c r="E5" s="6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40"/>
      <c r="B6" s="40"/>
      <c r="C6" s="6"/>
      <c r="D6" s="41"/>
      <c r="E6" s="6"/>
      <c r="F6" s="8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43" t="s">
        <v>171</v>
      </c>
      <c r="B7" s="44" t="s">
        <v>172</v>
      </c>
      <c r="C7" s="45" t="s">
        <v>172</v>
      </c>
      <c r="D7" s="22" t="s">
        <v>173</v>
      </c>
      <c r="E7" s="6" t="str">
        <f>IFERROR(__xludf.DUMMYFUNCTION("GOOGLETRANSLATE(C7, ""en"", ""gu"")"),"ખેતરનું તળાવ")</f>
        <v>ખેતરનું તળાવ</v>
      </c>
      <c r="F7" s="42" t="s">
        <v>174</v>
      </c>
      <c r="G7" s="6" t="str">
        <f>IFERROR(__xludf.DUMMYFUNCTION("GOOGLETRANSLATE(C7,""en"",""or"")"),"ଚାଷ ପୋଖରୀ")</f>
        <v>ଚାଷ ପୋଖରୀ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43" t="s">
        <v>171</v>
      </c>
      <c r="B8" s="44" t="s">
        <v>175</v>
      </c>
      <c r="C8" s="45" t="s">
        <v>175</v>
      </c>
      <c r="D8" s="22" t="s">
        <v>176</v>
      </c>
      <c r="E8" s="6" t="str">
        <f>IFERROR(__xludf.DUMMYFUNCTION("GOOGLETRANSLATE(C8, ""en"", ""gu"")"),"કોમ્યુનિટી પોન્ડ")</f>
        <v>કોમ્યુનિટી પોન્ડ</v>
      </c>
      <c r="F8" s="42" t="s">
        <v>177</v>
      </c>
      <c r="G8" s="6" t="str">
        <f>IFERROR(__xludf.DUMMYFUNCTION("GOOGLETRANSLATE(C8,""en"",""or"")"),"ସମ୍ପ୍ରଦାୟ ପୋଖରୀ")</f>
        <v>ସମ୍ପ୍ରଦାୟ ପୋଖରୀ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43" t="s">
        <v>171</v>
      </c>
      <c r="B9" s="44" t="s">
        <v>178</v>
      </c>
      <c r="C9" s="45" t="s">
        <v>178</v>
      </c>
      <c r="D9" s="22" t="s">
        <v>179</v>
      </c>
      <c r="E9" s="6" t="str">
        <f>IFERROR(__xludf.DUMMYFUNCTION("GOOGLETRANSLATE(C9, ""en"", ""gu"")"),"કૂવો")</f>
        <v>કૂવો</v>
      </c>
      <c r="F9" s="42" t="s">
        <v>180</v>
      </c>
      <c r="G9" s="6" t="str">
        <f>IFERROR(__xludf.DUMMYFUNCTION("GOOGLETRANSLATE(C9,""en"",""or"")"),"କୂପ")</f>
        <v>କୂପ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43" t="s">
        <v>171</v>
      </c>
      <c r="B10" s="40" t="s">
        <v>181</v>
      </c>
      <c r="C10" s="6" t="s">
        <v>181</v>
      </c>
      <c r="D10" s="22" t="s">
        <v>182</v>
      </c>
      <c r="E10" s="6" t="str">
        <f>IFERROR(__xludf.DUMMYFUNCTION("GOOGLETRANSLATE(C10, ""en"", ""gu"")"),"ચેનલ")</f>
        <v>ચેનલ</v>
      </c>
      <c r="F10" s="42" t="s">
        <v>183</v>
      </c>
      <c r="G10" s="6" t="str">
        <f>IFERROR(__xludf.DUMMYFUNCTION("GOOGLETRANSLATE(C10,""en"",""or"")"),"କେନାଲ")</f>
        <v>କେନାଲ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43" t="s">
        <v>171</v>
      </c>
      <c r="B11" s="44" t="s">
        <v>184</v>
      </c>
      <c r="C11" s="45" t="s">
        <v>184</v>
      </c>
      <c r="D11" s="22" t="s">
        <v>185</v>
      </c>
      <c r="E11" s="6" t="str">
        <f>IFERROR(__xludf.DUMMYFUNCTION("GOOGLETRANSLATE(C11, ""en"", ""gu"")"),"ખેતરનો બાંધ")</f>
        <v>ખેતરનો બાંધ</v>
      </c>
      <c r="F11" s="42" t="s">
        <v>186</v>
      </c>
      <c r="G11" s="6" t="str">
        <f>IFERROR(__xludf.DUMMYFUNCTION("GOOGLETRANSLATE(C11,""en"",""or"")"),"ଫାର୍ମ ବନ୍ଧ")</f>
        <v>ଫାର୍ମ ବନ୍ଧ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40"/>
      <c r="B12" s="40"/>
      <c r="C12" s="6"/>
      <c r="D12" s="41"/>
      <c r="E12" s="6"/>
      <c r="F12" s="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40"/>
      <c r="B13" s="40"/>
      <c r="C13" s="6"/>
      <c r="D13" s="41"/>
      <c r="E13" s="6"/>
      <c r="F13" s="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43" t="s">
        <v>187</v>
      </c>
      <c r="B14" s="32" t="s">
        <v>188</v>
      </c>
      <c r="C14" s="9" t="s">
        <v>189</v>
      </c>
      <c r="D14" s="22" t="s">
        <v>190</v>
      </c>
      <c r="E14" s="6" t="str">
        <f>IFERROR(__xludf.DUMMYFUNCTION("GOOGLETRANSLATE(C14, ""en"", ""gu"")"),"ડી સિટલીંગ
")</f>
        <v>ડી સિટલીંગ
</v>
      </c>
      <c r="F14" s="42" t="s">
        <v>191</v>
      </c>
      <c r="G14" s="6" t="str">
        <f>IFERROR(__xludf.DUMMYFUNCTION("GOOGLETRANSLATE(C14,""en"",""or"")"),"ଡି ସିଟଲିଂ
")</f>
        <v>ଡି ସିଟଲିଂ
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43" t="s">
        <v>192</v>
      </c>
      <c r="B15" s="32" t="s">
        <v>193</v>
      </c>
      <c r="C15" s="9" t="s">
        <v>194</v>
      </c>
      <c r="D15" s="22" t="s">
        <v>195</v>
      </c>
      <c r="E15" s="6" t="str">
        <f>IFERROR(__xludf.DUMMYFUNCTION("GOOGLETRANSLATE(C15, ""en"", ""gu"")"),"પાળાઓમાં તિરાડો અથવા નુકસાનનું સમારકામ")</f>
        <v>પાળાઓમાં તિરાડો અથવા નુકસાનનું સમારકામ</v>
      </c>
      <c r="F15" s="42" t="s">
        <v>196</v>
      </c>
      <c r="G15" s="6" t="str">
        <f>IFERROR(__xludf.DUMMYFUNCTION("GOOGLETRANSLATE(C15,""en"",""or"")"),"ବନ୍ଧରେ ଫାଟ କିମ୍ବା କ୍ଷତି ମରାମତି")</f>
        <v>ବନ୍ଧରେ ଫାଟ କିମ୍ବା କ୍ଷତି ମରାମତି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43" t="s">
        <v>197</v>
      </c>
      <c r="B16" s="32" t="s">
        <v>198</v>
      </c>
      <c r="C16" s="9" t="s">
        <v>199</v>
      </c>
      <c r="D16" s="22" t="s">
        <v>200</v>
      </c>
      <c r="E16" s="6" t="str">
        <f>IFERROR(__xludf.DUMMYFUNCTION("GOOGLETRANSLATE(C16, ""en"", ""gu"")"),"તળાવના તળિયામાં પાણીના ઝમણ અથવા લીકેજનું નિયંત્રણ")</f>
        <v>તળાવના તળિયામાં પાણીના ઝમણ અથવા લીકેજનું નિયંત્રણ</v>
      </c>
      <c r="F16" s="42" t="s">
        <v>201</v>
      </c>
      <c r="G16" s="6" t="str">
        <f>IFERROR(__xludf.DUMMYFUNCTION("GOOGLETRANSLATE(C16,""en"",""or"")"),"ପୋଖରୀ ତଳିରେ ଜଳ ସ୍ରୋତ କିମ୍ବା ଲିକ୍ ନିୟନ୍ତ୍ରଣ କରିବା")</f>
        <v>ପୋଖରୀ ତଳିରେ ଜଳ ସ୍ରୋତ କିମ୍ବା ଲିକ୍ ନିୟନ୍ତ୍ରଣ କରିବା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43" t="s">
        <v>202</v>
      </c>
      <c r="B17" s="32" t="s">
        <v>203</v>
      </c>
      <c r="C17" s="9" t="s">
        <v>204</v>
      </c>
      <c r="D17" s="22" t="s">
        <v>205</v>
      </c>
      <c r="E17" s="6" t="str">
        <f>IFERROR(__xludf.DUMMYFUNCTION("GOOGLETRANSLATE(C17, ""en"", ""gu"")"),"પાળા પર ધોવાણ નિયંત્રણ")</f>
        <v>પાળા પર ધોવાણ નિયંત્રણ</v>
      </c>
      <c r="F17" s="42" t="s">
        <v>206</v>
      </c>
      <c r="G17" s="6" t="str">
        <f>IFERROR(__xludf.DUMMYFUNCTION("GOOGLETRANSLATE(C17,""en"",""or"")"),"ବନ୍ଧ ଉପରେ କ୍ଷୟ ନିୟନ୍ତ୍ରଣ")</f>
        <v>ବନ୍ଧ ଉପରେ କ୍ଷୟ ନିୟନ୍ତ୍ରଣ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43" t="s">
        <v>207</v>
      </c>
      <c r="B18" s="32" t="s">
        <v>208</v>
      </c>
      <c r="C18" s="9" t="s">
        <v>209</v>
      </c>
      <c r="D18" s="22" t="s">
        <v>210</v>
      </c>
      <c r="E18" s="6" t="str">
        <f>IFERROR(__xludf.DUMMYFUNCTION("GOOGLETRANSLATE(C18, ""en"", ""gu"")"),"અતિશય જળચર વનસ્પતિ વૃદ્ધિને સંબોધિત કરવી")</f>
        <v>અતિશય જળચર વનસ્પતિ વૃદ્ધિને સંબોધિત કરવી</v>
      </c>
      <c r="F18" s="42" t="s">
        <v>211</v>
      </c>
      <c r="G18" s="6" t="str">
        <f>IFERROR(__xludf.DUMMYFUNCTION("GOOGLETRANSLATE(C18,""en"",""or"")"),"ଅତ୍ୟଧିକ ଜଳଚର ଉଦ୍ଭିଦ ବୃଦ୍ଧିକୁ ସମାଧାନ କରିବା")</f>
        <v>ଅତ୍ୟଧିକ ଜଳଚର ଉଦ୍ଭିଦ ବୃଦ୍ଧିକୁ ସମାଧାନ କରିବା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40"/>
      <c r="B19" s="40"/>
      <c r="C19" s="6"/>
      <c r="D19" s="41"/>
      <c r="E19" s="6"/>
      <c r="F19" s="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46" t="s">
        <v>212</v>
      </c>
      <c r="B20" s="32" t="s">
        <v>188</v>
      </c>
      <c r="C20" s="9" t="s">
        <v>189</v>
      </c>
      <c r="D20" s="22" t="s">
        <v>190</v>
      </c>
      <c r="E20" s="6" t="str">
        <f>IFERROR(__xludf.DUMMYFUNCTION("GOOGLETRANSLATE(C20, ""en"", ""gu"")"),"ડી સિટલીંગ
")</f>
        <v>ડી સિટલીંગ
</v>
      </c>
      <c r="F20" s="42" t="s">
        <v>191</v>
      </c>
      <c r="G20" s="6" t="str">
        <f>IFERROR(__xludf.DUMMYFUNCTION("GOOGLETRANSLATE(C20,""en"",""or"")"),"ଡି ସିଟଲିଂ
")</f>
        <v>ଡି ସିଟଲିଂ
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46" t="s">
        <v>213</v>
      </c>
      <c r="B21" s="32" t="s">
        <v>214</v>
      </c>
      <c r="C21" s="9" t="s">
        <v>215</v>
      </c>
      <c r="D21" s="22" t="s">
        <v>216</v>
      </c>
      <c r="E21" s="6" t="str">
        <f>IFERROR(__xludf.DUMMYFUNCTION("GOOGLETRANSLATE(C21, ""en"", ""gu"")"),"દરિયાકાંઠાના ધોવાણ નિયંત્રણ")</f>
        <v>દરિયાકાંઠાના ધોવાણ નિયંત્રણ</v>
      </c>
      <c r="F21" s="42" t="s">
        <v>217</v>
      </c>
      <c r="G21" s="6" t="str">
        <f>IFERROR(__xludf.DUMMYFUNCTION("GOOGLETRANSLATE(C21,""en"",""or"")"),"କୂଳ କ୍ଷୟ ନିୟନ୍ତ୍ରଣ")</f>
        <v>କୂଳ କ୍ଷୟ ନିୟନ୍ତ୍ରଣ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46" t="s">
        <v>218</v>
      </c>
      <c r="B22" s="32" t="s">
        <v>193</v>
      </c>
      <c r="C22" s="9" t="s">
        <v>194</v>
      </c>
      <c r="D22" s="22" t="s">
        <v>219</v>
      </c>
      <c r="E22" s="6" t="str">
        <f>IFERROR(__xludf.DUMMYFUNCTION("GOOGLETRANSLATE(C22, ""en"", ""gu"")"),"પાળાઓમાં તિરાડો અથવા નુકસાનનું સમારકામ")</f>
        <v>પાળાઓમાં તિરાડો અથવા નુકસાનનું સમારકામ</v>
      </c>
      <c r="F22" s="42" t="s">
        <v>196</v>
      </c>
      <c r="G22" s="6" t="str">
        <f>IFERROR(__xludf.DUMMYFUNCTION("GOOGLETRANSLATE(C22,""en"",""or"")"),"ବନ୍ଧରେ ଫାଟ କିମ୍ବା କ୍ଷତି ମରାମତି")</f>
        <v>ବନ୍ଧରେ ଫାଟ କିମ୍ବା କ୍ଷତି ମରାମତି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46" t="s">
        <v>220</v>
      </c>
      <c r="B23" s="32" t="s">
        <v>221</v>
      </c>
      <c r="C23" s="9" t="s">
        <v>222</v>
      </c>
      <c r="D23" s="22" t="s">
        <v>210</v>
      </c>
      <c r="E23" s="6" t="str">
        <f>IFERROR(__xludf.DUMMYFUNCTION("GOOGLETRANSLATE(C23, ""en"", ""gu"")"),"અતિશય જળચર વનસ્પતિ વૃદ્ધિને નિયંત્રિત કરવી")</f>
        <v>અતિશય જળચર વનસ્પતિ વૃદ્ધિને નિયંત્રિત કરવી</v>
      </c>
      <c r="F23" s="42" t="s">
        <v>223</v>
      </c>
      <c r="G23" s="6" t="str">
        <f>IFERROR(__xludf.DUMMYFUNCTION("GOOGLETRANSLATE(C23,""en"",""or"")"),"ଅତ୍ୟଧିକ ଜଳୀୟ ଉଦ୍ଭିଦ ବୃଦ୍ଧିକୁ ନିୟନ୍ତ୍ରଣ କରିବା")</f>
        <v>ଅତ୍ୟଧିକ ଜଳୀୟ ଉଦ୍ଭିଦ ବୃଦ୍ଧିକୁ ନିୟନ୍ତ୍ରଣ କରିବା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46" t="s">
        <v>224</v>
      </c>
      <c r="B24" s="32" t="s">
        <v>225</v>
      </c>
      <c r="C24" s="9" t="s">
        <v>226</v>
      </c>
      <c r="D24" s="22" t="s">
        <v>227</v>
      </c>
      <c r="E24" s="6" t="str">
        <f>IFERROR(__xludf.DUMMYFUNCTION("GOOGLETRANSLATE(C24, ""en"", ""gu"")"),"ઇનલેટ/આઉટલેટ સ્ટ્રક્ચર્સનું સમારકામ અથવા સફાઈ")</f>
        <v>ઇનલેટ/આઉટલેટ સ્ટ્રક્ચર્સનું સમારકામ અથવા સફાઈ</v>
      </c>
      <c r="F24" s="42" t="s">
        <v>228</v>
      </c>
      <c r="G24" s="6" t="str">
        <f>IFERROR(__xludf.DUMMYFUNCTION("GOOGLETRANSLATE(C24,""en"",""or"")"),"ପ୍ରବେଶ/ନିର୍ବାହୀ ଢାଞ୍ଚାର ମରାମତି କିମ୍ବା ସଫା କରିବା")</f>
        <v>ପ୍ରବେଶ/ନିର୍ବାହୀ ଢାଞ୍ଚାର ମରାମତି କିମ୍ବା ସଫା କରିବା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40"/>
      <c r="B25" s="40"/>
      <c r="C25" s="6"/>
      <c r="D25" s="41"/>
      <c r="E25" s="6"/>
      <c r="F25" s="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43" t="s">
        <v>229</v>
      </c>
      <c r="B26" s="32" t="s">
        <v>230</v>
      </c>
      <c r="C26" s="9" t="s">
        <v>231</v>
      </c>
      <c r="D26" s="22" t="s">
        <v>232</v>
      </c>
      <c r="E26" s="6" t="str">
        <f>IFERROR(__xludf.DUMMYFUNCTION("GOOGLETRANSLATE(C26, ""en"", ""gu"")"),"બંધમાં તિરાડો અથવા ગાબડાઓનું સમારકામ")</f>
        <v>બંધમાં તિરાડો અથવા ગાબડાઓનું સમારકામ</v>
      </c>
      <c r="F26" s="42" t="s">
        <v>233</v>
      </c>
      <c r="G26" s="6" t="str">
        <f>IFERROR(__xludf.DUMMYFUNCTION("GOOGLETRANSLATE(C26,""en"",""or"")"),"ବନ୍ଧରେ ଥିବା ଫାଟ କିମ୍ବା ଫାଟ ମରାମତି କରିବା")</f>
        <v>ବନ୍ଧରେ ଥିବା ଫାଟ କିମ୍ବା ଫାଟ ମରାମତି କରିବା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43" t="s">
        <v>234</v>
      </c>
      <c r="B27" s="32" t="s">
        <v>235</v>
      </c>
      <c r="C27" s="9" t="s">
        <v>236</v>
      </c>
      <c r="D27" s="22" t="s">
        <v>237</v>
      </c>
      <c r="E27" s="6" t="str">
        <f>IFERROR(__xludf.DUMMYFUNCTION("GOOGLETRANSLATE(C27, ""en"", ""gu"")"),"વધારાની માટી અથવા સામગ્રીનો ઉપયોગ કરીને બંધનું માળખું મજબૂત બનાવવું")</f>
        <v>વધારાની માટી અથવા સામગ્રીનો ઉપયોગ કરીને બંધનું માળખું મજબૂત બનાવવું</v>
      </c>
      <c r="F27" s="42" t="s">
        <v>238</v>
      </c>
      <c r="G27" s="6" t="str">
        <f>IFERROR(__xludf.DUMMYFUNCTION("GOOGLETRANSLATE(C27,""en"",""or"")"),"ଅତିରିକ୍ତ ମାଟି କିମ୍ବା ସାମଗ୍ରୀ ସାହାଯ୍ୟରେ ବନ୍ଧ ଗଠନକୁ ସୁଦୃଢ଼ ​​କରିବା")</f>
        <v>ଅତିରିକ୍ତ ମାଟି କିମ୍ବା ସାମଗ୍ରୀ ସାହାଯ୍ୟରେ ବନ୍ଧ ଗଠନକୁ ସୁଦୃଢ଼ ​​କରିବା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43" t="s">
        <v>239</v>
      </c>
      <c r="B28" s="32" t="s">
        <v>240</v>
      </c>
      <c r="C28" s="9" t="s">
        <v>241</v>
      </c>
      <c r="D28" s="22" t="s">
        <v>242</v>
      </c>
      <c r="E28" s="6" t="str">
        <f>IFERROR(__xludf.DUMMYFUNCTION("GOOGLETRANSLATE(C28, ""en"", ""gu"")"),"પાણીની સારી જાળવણી માટે બંધને સમતળ અને ફરીથી આકાર આપવો")</f>
        <v>પાણીની સારી જાળવણી માટે બંધને સમતળ અને ફરીથી આકાર આપવો</v>
      </c>
      <c r="F28" s="42" t="s">
        <v>243</v>
      </c>
      <c r="G28" s="6" t="str">
        <f>IFERROR(__xludf.DUMMYFUNCTION("GOOGLETRANSLATE(C28,""en"",""or"")"),"ଭଲ ଜଳଧାରଣ ପାଇଁ ବନ୍ଧକୁ ସମତଳ କରିବା ଏବଂ ପୁନଃଆକାର ଦେବା")</f>
        <v>ଭଲ ଜଳଧାରଣ ପାଇଁ ବନ୍ଧକୁ ସମତଳ କରିବା ଏବଂ ପୁନଃଆକାର ଦେବା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43" t="s">
        <v>244</v>
      </c>
      <c r="B29" s="32" t="s">
        <v>245</v>
      </c>
      <c r="C29" s="9" t="s">
        <v>246</v>
      </c>
      <c r="D29" s="22" t="s">
        <v>247</v>
      </c>
      <c r="E29" s="6" t="str">
        <f>IFERROR(__xludf.DUMMYFUNCTION("GOOGLETRANSLATE(C29, ""en"", ""gu"")"),"ધોવાણ અટકાવવા માટે વનસ્પતિ સ્થિરીકરણ")</f>
        <v>ધોવાણ અટકાવવા માટે વનસ્પતિ સ્થિરીકરણ</v>
      </c>
      <c r="F29" s="42" t="s">
        <v>248</v>
      </c>
      <c r="G29" s="6" t="str">
        <f>IFERROR(__xludf.DUMMYFUNCTION("GOOGLETRANSLATE(C29,""en"",""or"")"),"କ୍ଷୟ ରୋକିବା ପାଇଁ ଉଦ୍ଭିଦ ସ୍ଥିରୀକରଣ")</f>
        <v>କ୍ଷୟ ରୋକିବା ପାଇଁ ଉଦ୍ଭିଦ ସ୍ଥିରୀକରଣ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40"/>
      <c r="B30" s="40"/>
      <c r="C30" s="6"/>
      <c r="D30" s="41"/>
      <c r="E30" s="6"/>
      <c r="F30" s="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43" t="s">
        <v>249</v>
      </c>
      <c r="B31" s="32" t="s">
        <v>188</v>
      </c>
      <c r="C31" s="9" t="s">
        <v>189</v>
      </c>
      <c r="D31" s="22" t="s">
        <v>190</v>
      </c>
      <c r="E31" s="6" t="str">
        <f>IFERROR(__xludf.DUMMYFUNCTION("GOOGLETRANSLATE(C31, ""en"", ""gu"")"),"ડી સિટલીંગ
")</f>
        <v>ડી સિટલીંગ
</v>
      </c>
      <c r="F31" s="42" t="s">
        <v>191</v>
      </c>
      <c r="G31" s="6" t="str">
        <f>IFERROR(__xludf.DUMMYFUNCTION("GOOGLETRANSLATE(C31,""en"",""or"")"),"ଡି ସିଟଲିଂ
")</f>
        <v>ଡି ସିଟଲିଂ
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43" t="s">
        <v>250</v>
      </c>
      <c r="B32" s="32" t="s">
        <v>251</v>
      </c>
      <c r="C32" s="9" t="s">
        <v>252</v>
      </c>
      <c r="D32" s="22" t="s">
        <v>253</v>
      </c>
      <c r="E32" s="6" t="str">
        <f>IFERROR(__xludf.DUMMYFUNCTION("GOOGLETRANSLATE(C32, ""en"", ""gu"")"),"કૂવાની દિવાલોમાં તિરાડો અથવા નુકસાનનું સમારકામ")</f>
        <v>કૂવાની દિવાલોમાં તિરાડો અથવા નુકસાનનું સમારકામ</v>
      </c>
      <c r="F32" s="42" t="s">
        <v>254</v>
      </c>
      <c r="G32" s="6" t="str">
        <f>IFERROR(__xludf.DUMMYFUNCTION("GOOGLETRANSLATE(C32,""en"",""or"")"),"କୂଅ କାନ୍ଥରେ ଫାଟ କିମ୍ବା କ୍ଷତି ମରାମତି")</f>
        <v>କୂଅ କାନ୍ଥରେ ଫାଟ କିମ୍ବା କ୍ଷତି ମରାମତି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43" t="s">
        <v>255</v>
      </c>
      <c r="B33" s="32" t="s">
        <v>256</v>
      </c>
      <c r="C33" s="9" t="s">
        <v>257</v>
      </c>
      <c r="D33" s="22" t="s">
        <v>258</v>
      </c>
      <c r="E33" s="6" t="str">
        <f>IFERROR(__xludf.DUMMYFUNCTION("GOOGLETRANSLATE(C33, ""en"", ""gu"")"),"પાણીની ઉપલબ્ધતા વધારવા માટે કૂવા ઊંડા કરવા")</f>
        <v>પાણીની ઉપલબ્ધતા વધારવા માટે કૂવા ઊંડા કરવા</v>
      </c>
      <c r="F33" s="42" t="s">
        <v>259</v>
      </c>
      <c r="G33" s="6" t="str">
        <f>IFERROR(__xludf.DUMMYFUNCTION("GOOGLETRANSLATE(C33,""en"",""or"")"),"ଜଳ ଉପଲବ୍ଧତା ବୃଦ୍ଧି କରିବା ପାଇଁ କୂପକୁ ଗଭୀର କରିବା")</f>
        <v>ଜଳ ଉପଲବ୍ଧତା ବୃଦ୍ଧି କରିବା ପାଇଁ କୂପକୁ ଗଭୀର କରିବା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43" t="s">
        <v>260</v>
      </c>
      <c r="B34" s="32" t="s">
        <v>261</v>
      </c>
      <c r="C34" s="9" t="s">
        <v>262</v>
      </c>
      <c r="D34" s="22" t="s">
        <v>263</v>
      </c>
      <c r="E34" s="6" t="str">
        <f>IFERROR(__xludf.DUMMYFUNCTION("GOOGLETRANSLATE(C34, ""en"", ""gu"")"),"કૂવાના ઢાંકણ અથવા માળખાનું સમારકામ અથવા ફેરબદલ")</f>
        <v>કૂવાના ઢાંકણ અથવા માળખાનું સમારકામ અથવા ફેરબદલ</v>
      </c>
      <c r="F34" s="42" t="s">
        <v>264</v>
      </c>
      <c r="G34" s="6" t="str">
        <f>IFERROR(__xludf.DUMMYFUNCTION("GOOGLETRANSLATE(C34,""en"",""or"")"),"କୂଅ ଘୋଡ଼ଣ କିମ୍ବା ଗଠନର ମରାମତି କିମ୍ବା ପରିବର୍ତ୍ତନ")</f>
        <v>କୂଅ ଘୋଡ଼ଣ କିମ୍ବା ଗଠନର ମରାମତି କିମ୍ବା ପରିବର୍ତ୍ତନ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43" t="s">
        <v>265</v>
      </c>
      <c r="B35" s="32" t="s">
        <v>266</v>
      </c>
      <c r="C35" s="9" t="s">
        <v>267</v>
      </c>
      <c r="D35" s="22" t="s">
        <v>268</v>
      </c>
      <c r="E35" s="6" t="str">
        <f>IFERROR(__xludf.DUMMYFUNCTION("GOOGLETRANSLATE(C35, ""en"", ""gu"")"),"પમ્પિંગ મિકેનિઝમ્સ ઇન્સ્ટોલ અથવા રિપેર કરવા")</f>
        <v>પમ્પિંગ મિકેનિઝમ્સ ઇન્સ્ટોલ અથવા રિપેર કરવા</v>
      </c>
      <c r="F35" s="42" t="s">
        <v>269</v>
      </c>
      <c r="G35" s="6" t="str">
        <f>IFERROR(__xludf.DUMMYFUNCTION("GOOGLETRANSLATE(C35,""en"",""or"")"),"ପମ୍ପିଂ ଯନ୍ତ୍ରପାତି ସ୍ଥାପନ କିମ୍ବା ମରାମତି କରିବା")</f>
        <v>ପମ୍ପିଂ ଯନ୍ତ୍ରପାତି ସ୍ଥାପନ କିମ୍ବା ମରାମତି କରିବା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40"/>
      <c r="B36" s="40"/>
      <c r="C36" s="6"/>
      <c r="D36" s="41"/>
      <c r="E36" s="6"/>
      <c r="F36" s="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43" t="s">
        <v>270</v>
      </c>
      <c r="B37" s="32" t="s">
        <v>271</v>
      </c>
      <c r="C37" s="9" t="s">
        <v>272</v>
      </c>
      <c r="D37" s="22" t="s">
        <v>273</v>
      </c>
      <c r="E37" s="6" t="str">
        <f>IFERROR(__xludf.DUMMYFUNCTION("GOOGLETRANSLATE(C37, ""en"", ""gu"")"),"ધોવાણ અટકાવવા માટે નહેરના કિનારાઓને સ્થિર કરવા")</f>
        <v>ધોવાણ અટકાવવા માટે નહેરના કિનારાઓને સ્થિર કરવા</v>
      </c>
      <c r="F37" s="42" t="s">
        <v>274</v>
      </c>
      <c r="G37" s="6" t="str">
        <f>IFERROR(__xludf.DUMMYFUNCTION("GOOGLETRANSLATE(C37,""en"",""or"")"),"କ୍ଷୟ ରୋକିବା ପାଇଁ କେନାଲ କୂଳକୁ ସ୍ଥିର କରିବା")</f>
        <v>କ୍ଷୟ ରୋକିବା ପାଇଁ କେନାଲ କୂଳକୁ ସ୍ଥିର କରିବା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43" t="s">
        <v>270</v>
      </c>
      <c r="B38" s="32" t="s">
        <v>275</v>
      </c>
      <c r="C38" s="9" t="s">
        <v>276</v>
      </c>
      <c r="D38" s="22" t="s">
        <v>277</v>
      </c>
      <c r="E38" s="6" t="str">
        <f>IFERROR(__xludf.DUMMYFUNCTION("GOOGLETRANSLATE(C38, ""en"", ""gu"")"),"અસ્તર સમારકામ")</f>
        <v>અસ્તર સમારકામ</v>
      </c>
      <c r="F38" s="42" t="s">
        <v>278</v>
      </c>
      <c r="G38" s="6" t="str">
        <f>IFERROR(__xludf.DUMMYFUNCTION("GOOGLETRANSLATE(C38,""en"",""or"")"),"ଲାଇନିଂ ମରାମତି")</f>
        <v>ଲାଇନିଂ ମରାମତି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43" t="s">
        <v>270</v>
      </c>
      <c r="B39" s="32" t="s">
        <v>279</v>
      </c>
      <c r="C39" s="9" t="s">
        <v>279</v>
      </c>
      <c r="D39" s="22" t="s">
        <v>190</v>
      </c>
      <c r="E39" s="6" t="str">
        <f>IFERROR(__xludf.DUMMYFUNCTION("GOOGLETRANSLATE(C39, ""en"", ""gu"")"),"ડિસીલીટીંગ")</f>
        <v>ડિસીલીટીંગ</v>
      </c>
      <c r="F39" s="42" t="s">
        <v>280</v>
      </c>
      <c r="G39" s="6" t="str">
        <f>IFERROR(__xludf.DUMMYFUNCTION("GOOGLETRANSLATE(C39,""en"",""or"")"),"ଡିସାଇଲିଟିଂ")</f>
        <v>ଡିସାଇଲିଟିଂ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43" t="s">
        <v>270</v>
      </c>
      <c r="B40" s="32" t="s">
        <v>281</v>
      </c>
      <c r="C40" s="9" t="s">
        <v>282</v>
      </c>
      <c r="D40" s="22" t="s">
        <v>283</v>
      </c>
      <c r="E40" s="6" t="str">
        <f>IFERROR(__xludf.DUMMYFUNCTION("GOOGLETRANSLATE(C40, ""en"", ""gu"")"),"માળખાકીય સમારકામ")</f>
        <v>માળખાકીય સમારકામ</v>
      </c>
      <c r="F40" s="42" t="s">
        <v>284</v>
      </c>
      <c r="G40" s="6" t="str">
        <f>IFERROR(__xludf.DUMMYFUNCTION("GOOGLETRANSLATE(C40,""en"",""or"")"),"ଗଠନମୂଳକ ମରାମତି")</f>
        <v>ଗଠନମୂଳକ ମରାମତି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40"/>
      <c r="B41" s="40"/>
      <c r="C41" s="6"/>
      <c r="D41" s="41"/>
      <c r="E41" s="6"/>
      <c r="F41" s="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40" t="s">
        <v>285</v>
      </c>
      <c r="B42" s="40" t="s">
        <v>286</v>
      </c>
      <c r="C42" s="6" t="s">
        <v>287</v>
      </c>
      <c r="D42" s="41" t="str">
        <f>IFERROR(__xludf.DUMMYFUNCTION("GOOGLETRANSLATE(C42, ""en"", ""hi"")"),"सामुदायिक मांग")</f>
        <v>सामुदायिक मांग</v>
      </c>
      <c r="E42" s="6" t="str">
        <f>IFERROR(__xludf.DUMMYFUNCTION("GOOGLETRANSLATE(C42, ""en"", ""gu"")"),"સમુદાય માંગ")</f>
        <v>સમુદાય માંગ</v>
      </c>
      <c r="F42" s="42" t="s">
        <v>288</v>
      </c>
      <c r="G42" s="6" t="str">
        <f>IFERROR(__xludf.DUMMYFUNCTION("GOOGLETRANSLATE(C42,""en"",""or"")"),"ସମ୍ପ୍ରଦାୟ ଦାବି")</f>
        <v>ସମ୍ପ୍ରଦାୟ ଦାବି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40" t="s">
        <v>285</v>
      </c>
      <c r="B43" s="40" t="s">
        <v>289</v>
      </c>
      <c r="C43" s="6" t="s">
        <v>290</v>
      </c>
      <c r="D43" s="41" t="str">
        <f>IFERROR(__xludf.DUMMYFUNCTION("GOOGLETRANSLATE(C43, ""en"", ""hi"")"),"व्यक्तिगत मांग")</f>
        <v>व्यक्तिगत मांग</v>
      </c>
      <c r="E43" s="6" t="str">
        <f>IFERROR(__xludf.DUMMYFUNCTION("GOOGLETRANSLATE(C43, ""en"", ""gu"")"),"વ્યક્તિગત માંગ")</f>
        <v>વ્યક્તિગત માંગ</v>
      </c>
      <c r="F43" s="42" t="s">
        <v>291</v>
      </c>
      <c r="G43" s="6" t="str">
        <f>IFERROR(__xludf.DUMMYFUNCTION("GOOGLETRANSLATE(C43,""en"",""or"")"),"ବ୍ୟକ୍ତିଗତ ଚାହିଦା")</f>
        <v>ବ୍ୟକ୍ତିଗତ ଚାହିଦା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40"/>
      <c r="B44" s="40"/>
      <c r="C44" s="6"/>
      <c r="D44" s="41"/>
      <c r="E44" s="6"/>
      <c r="F44" s="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21" t="s">
        <v>292</v>
      </c>
      <c r="B45" s="42" t="s">
        <v>293</v>
      </c>
      <c r="C45" s="42" t="s">
        <v>293</v>
      </c>
      <c r="D45" s="8" t="s">
        <v>294</v>
      </c>
      <c r="E45" s="8" t="s">
        <v>295</v>
      </c>
      <c r="F45" s="8" t="s">
        <v>296</v>
      </c>
      <c r="G45" s="6" t="str">
        <f>IFERROR(__xludf.DUMMYFUNCTION("GOOGLETRANSLATE(C45,""en"",""or"")"),"କଳା")</f>
        <v>କଳା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21" t="s">
        <v>292</v>
      </c>
      <c r="B46" s="42" t="s">
        <v>297</v>
      </c>
      <c r="C46" s="42" t="s">
        <v>297</v>
      </c>
      <c r="D46" s="8" t="s">
        <v>298</v>
      </c>
      <c r="E46" s="8" t="s">
        <v>299</v>
      </c>
      <c r="F46" s="8" t="s">
        <v>300</v>
      </c>
      <c r="G46" s="6" t="str">
        <f>IFERROR(__xludf.DUMMYFUNCTION("GOOGLETRANSLATE(C46,""en"",""or"")"),"ଲାଲ")</f>
        <v>ଲାଲ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21" t="s">
        <v>292</v>
      </c>
      <c r="B47" s="42" t="s">
        <v>301</v>
      </c>
      <c r="C47" s="42" t="s">
        <v>301</v>
      </c>
      <c r="D47" s="8" t="s">
        <v>302</v>
      </c>
      <c r="E47" s="8" t="s">
        <v>303</v>
      </c>
      <c r="F47" s="8" t="s">
        <v>304</v>
      </c>
      <c r="G47" s="6" t="str">
        <f>IFERROR(__xludf.DUMMYFUNCTION("GOOGLETRANSLATE(C47,""en"",""or"")"),"ଲାଟେରାଇଟ୍")</f>
        <v>ଲାଟେରାଇଟ୍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21" t="s">
        <v>292</v>
      </c>
      <c r="B48" s="42" t="s">
        <v>305</v>
      </c>
      <c r="C48" s="42" t="s">
        <v>305</v>
      </c>
      <c r="D48" s="8" t="s">
        <v>306</v>
      </c>
      <c r="E48" s="8" t="s">
        <v>307</v>
      </c>
      <c r="F48" s="8" t="s">
        <v>308</v>
      </c>
      <c r="G48" s="6" t="str">
        <f>IFERROR(__xludf.DUMMYFUNCTION("GOOGLETRANSLATE(C48,""en"",""or"")"),"ଜଳପ୍ରବାହ")</f>
        <v>ଜଳପ୍ରବାହ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21" t="s">
        <v>292</v>
      </c>
      <c r="B49" s="42" t="s">
        <v>309</v>
      </c>
      <c r="C49" s="42" t="s">
        <v>309</v>
      </c>
      <c r="D49" s="8" t="s">
        <v>310</v>
      </c>
      <c r="E49" s="8" t="s">
        <v>311</v>
      </c>
      <c r="F49" s="8" t="s">
        <v>312</v>
      </c>
      <c r="G49" s="6" t="str">
        <f>IFERROR(__xludf.DUMMYFUNCTION("GOOGLETRANSLATE(C49,""en"",""or"")"),"ବାଲିଆ")</f>
        <v>ବାଲିଆ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21" t="s">
        <v>292</v>
      </c>
      <c r="B50" s="42" t="s">
        <v>313</v>
      </c>
      <c r="C50" s="42" t="s">
        <v>313</v>
      </c>
      <c r="D50" s="8" t="s">
        <v>314</v>
      </c>
      <c r="E50" s="8" t="s">
        <v>315</v>
      </c>
      <c r="F50" s="8" t="s">
        <v>316</v>
      </c>
      <c r="G50" s="6" t="str">
        <f>IFERROR(__xludf.DUMMYFUNCTION("GOOGLETRANSLATE(C50,""en"",""or"")"),"ମାଟି")</f>
        <v>ମାଟି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21" t="s">
        <v>292</v>
      </c>
      <c r="B51" s="42" t="s">
        <v>317</v>
      </c>
      <c r="C51" s="42" t="s">
        <v>317</v>
      </c>
      <c r="D51" s="8" t="s">
        <v>318</v>
      </c>
      <c r="E51" s="8" t="s">
        <v>319</v>
      </c>
      <c r="F51" s="8" t="s">
        <v>320</v>
      </c>
      <c r="G51" s="6" t="str">
        <f>IFERROR(__xludf.DUMMYFUNCTION("GOOGLETRANSLATE(C51,""en"",""or"")"),"ରକ୍କା")</f>
        <v>ରକ୍କା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21" t="s">
        <v>321</v>
      </c>
      <c r="B53" s="42" t="s">
        <v>322</v>
      </c>
      <c r="C53" s="42" t="s">
        <v>322</v>
      </c>
      <c r="D53" s="8" t="s">
        <v>323</v>
      </c>
      <c r="E53" s="8" t="s">
        <v>324</v>
      </c>
      <c r="F53" s="8" t="s">
        <v>325</v>
      </c>
      <c r="G53" s="6" t="str">
        <f>IFERROR(__xludf.DUMMYFUNCTION("GOOGLETRANSLATE(C53,""en"",""or"")"),"କମ୍")</f>
        <v>କମ୍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21" t="s">
        <v>321</v>
      </c>
      <c r="B54" s="42" t="s">
        <v>326</v>
      </c>
      <c r="C54" s="42" t="s">
        <v>326</v>
      </c>
      <c r="D54" s="8" t="s">
        <v>327</v>
      </c>
      <c r="E54" s="8" t="s">
        <v>328</v>
      </c>
      <c r="F54" s="8" t="s">
        <v>329</v>
      </c>
      <c r="G54" s="6" t="str">
        <f>IFERROR(__xludf.DUMMYFUNCTION("GOOGLETRANSLATE(C54,""en"",""or"")"),"ମଧ୍ୟମ ଧରଣର")</f>
        <v>ମଧ୍ୟମ ଧରଣର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21" t="s">
        <v>321</v>
      </c>
      <c r="B55" s="42" t="s">
        <v>330</v>
      </c>
      <c r="C55" s="42" t="s">
        <v>330</v>
      </c>
      <c r="D55" s="8" t="s">
        <v>331</v>
      </c>
      <c r="E55" s="8" t="s">
        <v>332</v>
      </c>
      <c r="F55" s="8" t="s">
        <v>333</v>
      </c>
      <c r="G55" s="6" t="str">
        <f>IFERROR(__xludf.DUMMYFUNCTION("GOOGLETRANSLATE(C55,""en"",""or"")"),"ଅଧିକ")</f>
        <v>ଅଧିକ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40"/>
      <c r="B56" s="40"/>
      <c r="C56" s="6"/>
      <c r="D56" s="41"/>
      <c r="E56" s="6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40"/>
      <c r="B57" s="40"/>
      <c r="C57" s="6"/>
      <c r="D57" s="41"/>
      <c r="E57" s="6"/>
      <c r="F57" s="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40"/>
      <c r="B58" s="40"/>
      <c r="C58" s="6"/>
      <c r="D58" s="41"/>
      <c r="E58" s="6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40"/>
      <c r="B59" s="40"/>
      <c r="C59" s="6"/>
      <c r="D59" s="41"/>
      <c r="E59" s="6"/>
      <c r="F59" s="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40"/>
      <c r="B60" s="40"/>
      <c r="C60" s="6"/>
      <c r="D60" s="41"/>
      <c r="E60" s="6"/>
      <c r="F60" s="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40"/>
      <c r="B61" s="40"/>
      <c r="C61" s="6"/>
      <c r="D61" s="41"/>
      <c r="E61" s="6"/>
      <c r="F61" s="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40"/>
      <c r="B62" s="40"/>
      <c r="C62" s="6"/>
      <c r="D62" s="41"/>
      <c r="E62" s="6"/>
      <c r="F62" s="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40"/>
      <c r="B63" s="40"/>
      <c r="C63" s="6"/>
      <c r="D63" s="41"/>
      <c r="E63" s="6"/>
      <c r="F63" s="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40"/>
      <c r="B64" s="40"/>
      <c r="C64" s="6"/>
      <c r="D64" s="41"/>
      <c r="E64" s="6"/>
      <c r="F64" s="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40"/>
      <c r="B65" s="40"/>
      <c r="C65" s="6"/>
      <c r="D65" s="41"/>
      <c r="E65" s="6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40"/>
      <c r="B66" s="40"/>
      <c r="C66" s="6"/>
      <c r="D66" s="41"/>
      <c r="E66" s="6"/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40"/>
      <c r="B67" s="40"/>
      <c r="C67" s="6"/>
      <c r="D67" s="41"/>
      <c r="E67" s="6"/>
      <c r="F67" s="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40"/>
      <c r="B68" s="40"/>
      <c r="C68" s="6"/>
      <c r="D68" s="41"/>
      <c r="E68" s="6"/>
      <c r="F68" s="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40"/>
      <c r="B69" s="40"/>
      <c r="C69" s="6"/>
      <c r="D69" s="41"/>
      <c r="E69" s="6"/>
      <c r="F69" s="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40"/>
      <c r="B70" s="40"/>
      <c r="C70" s="6"/>
      <c r="D70" s="41"/>
      <c r="E70" s="6"/>
      <c r="F70" s="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40"/>
      <c r="B71" s="40"/>
      <c r="C71" s="6"/>
      <c r="D71" s="41"/>
      <c r="E71" s="6"/>
      <c r="F71" s="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40"/>
      <c r="B72" s="40"/>
      <c r="C72" s="6"/>
      <c r="D72" s="41"/>
      <c r="E72" s="6"/>
      <c r="F72" s="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40"/>
      <c r="B73" s="40"/>
      <c r="C73" s="6"/>
      <c r="D73" s="41"/>
      <c r="E73" s="6"/>
      <c r="F73" s="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40"/>
      <c r="B74" s="40"/>
      <c r="C74" s="6"/>
      <c r="D74" s="41"/>
      <c r="E74" s="6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40"/>
      <c r="B75" s="40"/>
      <c r="C75" s="6"/>
      <c r="D75" s="41"/>
      <c r="E75" s="6"/>
      <c r="F75" s="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40"/>
      <c r="B76" s="40"/>
      <c r="C76" s="6"/>
      <c r="D76" s="41"/>
      <c r="E76" s="6"/>
      <c r="F76" s="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40"/>
      <c r="B77" s="40"/>
      <c r="C77" s="6"/>
      <c r="D77" s="41"/>
      <c r="E77" s="6"/>
      <c r="F77" s="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40"/>
      <c r="B78" s="40"/>
      <c r="C78" s="6"/>
      <c r="D78" s="41"/>
      <c r="E78" s="6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40"/>
      <c r="B79" s="40"/>
      <c r="C79" s="6"/>
      <c r="D79" s="41"/>
      <c r="E79" s="6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40"/>
      <c r="B80" s="40"/>
      <c r="C80" s="6"/>
      <c r="D80" s="41"/>
      <c r="E80" s="6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40"/>
      <c r="B81" s="40"/>
      <c r="C81" s="6"/>
      <c r="D81" s="41"/>
      <c r="E81" s="6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40"/>
      <c r="B82" s="40"/>
      <c r="C82" s="6"/>
      <c r="D82" s="41"/>
      <c r="E82" s="6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40"/>
      <c r="B83" s="40"/>
      <c r="C83" s="6"/>
      <c r="D83" s="41"/>
      <c r="E83" s="6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40"/>
      <c r="B84" s="40"/>
      <c r="C84" s="6"/>
      <c r="D84" s="41"/>
      <c r="E84" s="6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40"/>
      <c r="B85" s="40"/>
      <c r="C85" s="6"/>
      <c r="D85" s="41"/>
      <c r="E85" s="6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40"/>
      <c r="B86" s="40"/>
      <c r="C86" s="6"/>
      <c r="D86" s="41"/>
      <c r="E86" s="6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40"/>
      <c r="B87" s="40"/>
      <c r="C87" s="6"/>
      <c r="D87" s="41"/>
      <c r="E87" s="6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40"/>
      <c r="B88" s="40"/>
      <c r="C88" s="6"/>
      <c r="D88" s="41"/>
      <c r="E88" s="6"/>
      <c r="F88" s="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40"/>
      <c r="B89" s="40"/>
      <c r="C89" s="6"/>
      <c r="D89" s="41"/>
      <c r="E89" s="6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40"/>
      <c r="B90" s="40"/>
      <c r="C90" s="6"/>
      <c r="D90" s="41"/>
      <c r="E90" s="6"/>
      <c r="F90" s="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40"/>
      <c r="B91" s="40"/>
      <c r="C91" s="6"/>
      <c r="D91" s="41"/>
      <c r="E91" s="6"/>
      <c r="F91" s="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40"/>
      <c r="B92" s="40"/>
      <c r="C92" s="6"/>
      <c r="D92" s="41"/>
      <c r="E92" s="6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40"/>
      <c r="B93" s="40"/>
      <c r="C93" s="6"/>
      <c r="D93" s="41"/>
      <c r="E93" s="6"/>
      <c r="F93" s="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40"/>
      <c r="B94" s="40"/>
      <c r="C94" s="6"/>
      <c r="D94" s="41"/>
      <c r="E94" s="6"/>
      <c r="F94" s="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40"/>
      <c r="B95" s="40"/>
      <c r="C95" s="6"/>
      <c r="D95" s="41"/>
      <c r="E95" s="6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40"/>
      <c r="B96" s="40"/>
      <c r="C96" s="6"/>
      <c r="D96" s="41"/>
      <c r="E96" s="6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40"/>
      <c r="B97" s="40"/>
      <c r="C97" s="6"/>
      <c r="D97" s="41"/>
      <c r="E97" s="6"/>
      <c r="F97" s="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40"/>
      <c r="B98" s="40"/>
      <c r="C98" s="6"/>
      <c r="D98" s="41"/>
      <c r="E98" s="6"/>
      <c r="F98" s="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40"/>
      <c r="B99" s="40"/>
      <c r="C99" s="6"/>
      <c r="D99" s="41"/>
      <c r="E99" s="6"/>
      <c r="F99" s="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40"/>
      <c r="B100" s="40"/>
      <c r="C100" s="6"/>
      <c r="D100" s="41"/>
      <c r="E100" s="6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40"/>
      <c r="B101" s="40"/>
      <c r="C101" s="6"/>
      <c r="D101" s="41"/>
      <c r="E101" s="6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40"/>
      <c r="B102" s="40"/>
      <c r="C102" s="6"/>
      <c r="D102" s="41"/>
      <c r="E102" s="6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40"/>
      <c r="B103" s="40"/>
      <c r="C103" s="6"/>
      <c r="D103" s="41"/>
      <c r="E103" s="6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40"/>
      <c r="B104" s="40"/>
      <c r="C104" s="6"/>
      <c r="D104" s="41"/>
      <c r="E104" s="6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40"/>
      <c r="B105" s="40"/>
      <c r="C105" s="6"/>
      <c r="D105" s="41"/>
      <c r="E105" s="6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40"/>
      <c r="B106" s="40"/>
      <c r="C106" s="6"/>
      <c r="D106" s="41"/>
      <c r="E106" s="6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40"/>
      <c r="B107" s="40"/>
      <c r="C107" s="6"/>
      <c r="D107" s="41"/>
      <c r="E107" s="6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40"/>
      <c r="B108" s="40"/>
      <c r="C108" s="6"/>
      <c r="D108" s="41"/>
      <c r="E108" s="6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40"/>
      <c r="B109" s="40"/>
      <c r="C109" s="6"/>
      <c r="D109" s="41"/>
      <c r="E109" s="6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40"/>
      <c r="B110" s="40"/>
      <c r="C110" s="6"/>
      <c r="D110" s="41"/>
      <c r="E110" s="6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40"/>
      <c r="B111" s="40"/>
      <c r="C111" s="6"/>
      <c r="D111" s="41"/>
      <c r="E111" s="6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40"/>
      <c r="B112" s="40"/>
      <c r="C112" s="6"/>
      <c r="D112" s="41"/>
      <c r="E112" s="6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40"/>
      <c r="B113" s="40"/>
      <c r="C113" s="6"/>
      <c r="D113" s="41"/>
      <c r="E113" s="6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40"/>
      <c r="B114" s="40"/>
      <c r="C114" s="6"/>
      <c r="D114" s="41"/>
      <c r="E114" s="6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40"/>
      <c r="B115" s="40"/>
      <c r="C115" s="6"/>
      <c r="D115" s="41"/>
      <c r="E115" s="6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40"/>
      <c r="B116" s="40"/>
      <c r="C116" s="6"/>
      <c r="D116" s="41"/>
      <c r="E116" s="6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40"/>
      <c r="B117" s="40"/>
      <c r="C117" s="6"/>
      <c r="D117" s="41"/>
      <c r="E117" s="6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40"/>
      <c r="B118" s="40"/>
      <c r="C118" s="6"/>
      <c r="D118" s="41"/>
      <c r="E118" s="6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40"/>
      <c r="B119" s="40"/>
      <c r="C119" s="6"/>
      <c r="D119" s="41"/>
      <c r="E119" s="6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40"/>
      <c r="B120" s="40"/>
      <c r="C120" s="6"/>
      <c r="D120" s="41"/>
      <c r="E120" s="6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40"/>
      <c r="B121" s="40"/>
      <c r="C121" s="6"/>
      <c r="D121" s="41"/>
      <c r="E121" s="6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40"/>
      <c r="B122" s="40"/>
      <c r="C122" s="6"/>
      <c r="D122" s="41"/>
      <c r="E122" s="6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40"/>
      <c r="B123" s="40"/>
      <c r="C123" s="6"/>
      <c r="D123" s="41"/>
      <c r="E123" s="6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40"/>
      <c r="B124" s="40"/>
      <c r="C124" s="6"/>
      <c r="D124" s="41"/>
      <c r="E124" s="6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40"/>
      <c r="B125" s="40"/>
      <c r="C125" s="6"/>
      <c r="D125" s="41"/>
      <c r="E125" s="6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40"/>
      <c r="B126" s="40"/>
      <c r="C126" s="6"/>
      <c r="D126" s="41"/>
      <c r="E126" s="6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40"/>
      <c r="B127" s="40"/>
      <c r="C127" s="6"/>
      <c r="D127" s="41"/>
      <c r="E127" s="6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40"/>
      <c r="B128" s="40"/>
      <c r="C128" s="6"/>
      <c r="D128" s="41"/>
      <c r="E128" s="6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40"/>
      <c r="B129" s="40"/>
      <c r="C129" s="6"/>
      <c r="D129" s="41"/>
      <c r="E129" s="6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40"/>
      <c r="B130" s="40"/>
      <c r="C130" s="6"/>
      <c r="D130" s="41"/>
      <c r="E130" s="6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40"/>
      <c r="B131" s="40"/>
      <c r="C131" s="6"/>
      <c r="D131" s="41"/>
      <c r="E131" s="6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40"/>
      <c r="B132" s="40"/>
      <c r="C132" s="6"/>
      <c r="D132" s="41"/>
      <c r="E132" s="6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40"/>
      <c r="B133" s="40"/>
      <c r="C133" s="6"/>
      <c r="D133" s="41"/>
      <c r="E133" s="6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40"/>
      <c r="B134" s="40"/>
      <c r="C134" s="6"/>
      <c r="D134" s="41"/>
      <c r="E134" s="6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40"/>
      <c r="B135" s="40"/>
      <c r="C135" s="6"/>
      <c r="D135" s="41"/>
      <c r="E135" s="6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40"/>
      <c r="B136" s="40"/>
      <c r="C136" s="6"/>
      <c r="D136" s="41"/>
      <c r="E136" s="6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40"/>
      <c r="B137" s="40"/>
      <c r="C137" s="6"/>
      <c r="D137" s="41"/>
      <c r="E137" s="6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40"/>
      <c r="B138" s="40"/>
      <c r="C138" s="6"/>
      <c r="D138" s="41"/>
      <c r="E138" s="6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40"/>
      <c r="B139" s="40"/>
      <c r="C139" s="6"/>
      <c r="D139" s="41"/>
      <c r="E139" s="6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40"/>
      <c r="B140" s="40"/>
      <c r="C140" s="6"/>
      <c r="D140" s="41"/>
      <c r="E140" s="6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40"/>
      <c r="B141" s="40"/>
      <c r="C141" s="6"/>
      <c r="D141" s="41"/>
      <c r="E141" s="6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40"/>
      <c r="B142" s="40"/>
      <c r="C142" s="6"/>
      <c r="D142" s="41"/>
      <c r="E142" s="6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40"/>
      <c r="B143" s="40"/>
      <c r="C143" s="6"/>
      <c r="D143" s="41"/>
      <c r="E143" s="6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40"/>
      <c r="B144" s="40"/>
      <c r="C144" s="6"/>
      <c r="D144" s="41"/>
      <c r="E144" s="6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40"/>
      <c r="B145" s="40"/>
      <c r="C145" s="6"/>
      <c r="D145" s="41"/>
      <c r="E145" s="6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40"/>
      <c r="B146" s="40"/>
      <c r="C146" s="6"/>
      <c r="D146" s="41"/>
      <c r="E146" s="6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40"/>
      <c r="B147" s="40"/>
      <c r="C147" s="6"/>
      <c r="D147" s="41"/>
      <c r="E147" s="6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40"/>
      <c r="B148" s="40"/>
      <c r="C148" s="6"/>
      <c r="D148" s="41"/>
      <c r="E148" s="6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40"/>
      <c r="B149" s="40"/>
      <c r="C149" s="6"/>
      <c r="D149" s="41"/>
      <c r="E149" s="6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40"/>
      <c r="B150" s="40"/>
      <c r="C150" s="6"/>
      <c r="D150" s="41"/>
      <c r="E150" s="6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40"/>
      <c r="B151" s="40"/>
      <c r="C151" s="6"/>
      <c r="D151" s="41"/>
      <c r="E151" s="6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40"/>
      <c r="B152" s="40"/>
      <c r="C152" s="6"/>
      <c r="D152" s="41"/>
      <c r="E152" s="6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40"/>
      <c r="B153" s="40"/>
      <c r="C153" s="6"/>
      <c r="D153" s="41"/>
      <c r="E153" s="6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40"/>
      <c r="B154" s="40"/>
      <c r="C154" s="6"/>
      <c r="D154" s="41"/>
      <c r="E154" s="6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40"/>
      <c r="B155" s="40"/>
      <c r="C155" s="6"/>
      <c r="D155" s="41"/>
      <c r="E155" s="6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40"/>
      <c r="B156" s="40"/>
      <c r="C156" s="6"/>
      <c r="D156" s="41"/>
      <c r="E156" s="6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40"/>
      <c r="B157" s="40"/>
      <c r="C157" s="6"/>
      <c r="D157" s="41"/>
      <c r="E157" s="6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40"/>
      <c r="B158" s="40"/>
      <c r="C158" s="6"/>
      <c r="D158" s="41"/>
      <c r="E158" s="6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40"/>
      <c r="B159" s="40"/>
      <c r="C159" s="6"/>
      <c r="D159" s="41"/>
      <c r="E159" s="6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40"/>
      <c r="B160" s="40"/>
      <c r="C160" s="6"/>
      <c r="D160" s="41"/>
      <c r="E160" s="6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40"/>
      <c r="B161" s="40"/>
      <c r="C161" s="6"/>
      <c r="D161" s="41"/>
      <c r="E161" s="6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40"/>
      <c r="B162" s="40"/>
      <c r="C162" s="6"/>
      <c r="D162" s="41"/>
      <c r="E162" s="6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40"/>
      <c r="B163" s="40"/>
      <c r="C163" s="6"/>
      <c r="D163" s="41"/>
      <c r="E163" s="6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40"/>
      <c r="B164" s="40"/>
      <c r="C164" s="6"/>
      <c r="D164" s="41"/>
      <c r="E164" s="6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40"/>
      <c r="B165" s="40"/>
      <c r="C165" s="6"/>
      <c r="D165" s="41"/>
      <c r="E165" s="6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40"/>
      <c r="B166" s="40"/>
      <c r="C166" s="6"/>
      <c r="D166" s="41"/>
      <c r="E166" s="6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40"/>
      <c r="B167" s="40"/>
      <c r="C167" s="6"/>
      <c r="D167" s="41"/>
      <c r="E167" s="6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40"/>
      <c r="B168" s="40"/>
      <c r="C168" s="6"/>
      <c r="D168" s="41"/>
      <c r="E168" s="6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40"/>
      <c r="B169" s="40"/>
      <c r="C169" s="6"/>
      <c r="D169" s="41"/>
      <c r="E169" s="6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40"/>
      <c r="B170" s="40"/>
      <c r="C170" s="6"/>
      <c r="D170" s="41"/>
      <c r="E170" s="6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40"/>
      <c r="B171" s="40"/>
      <c r="C171" s="6"/>
      <c r="D171" s="41"/>
      <c r="E171" s="6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40"/>
      <c r="B172" s="40"/>
      <c r="C172" s="6"/>
      <c r="D172" s="41"/>
      <c r="E172" s="6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40"/>
      <c r="B173" s="40"/>
      <c r="C173" s="6"/>
      <c r="D173" s="41"/>
      <c r="E173" s="6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40"/>
      <c r="B174" s="40"/>
      <c r="C174" s="6"/>
      <c r="D174" s="41"/>
      <c r="E174" s="6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40"/>
      <c r="B175" s="40"/>
      <c r="C175" s="6"/>
      <c r="D175" s="41"/>
      <c r="E175" s="6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40"/>
      <c r="B176" s="40"/>
      <c r="C176" s="6"/>
      <c r="D176" s="41"/>
      <c r="E176" s="6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40"/>
      <c r="B177" s="40"/>
      <c r="C177" s="6"/>
      <c r="D177" s="41"/>
      <c r="E177" s="6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40"/>
      <c r="B178" s="40"/>
      <c r="C178" s="6"/>
      <c r="D178" s="41"/>
      <c r="E178" s="6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40"/>
      <c r="B179" s="40"/>
      <c r="C179" s="6"/>
      <c r="D179" s="41"/>
      <c r="E179" s="6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40"/>
      <c r="B180" s="40"/>
      <c r="C180" s="6"/>
      <c r="D180" s="41"/>
      <c r="E180" s="6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40"/>
      <c r="B181" s="40"/>
      <c r="C181" s="6"/>
      <c r="D181" s="41"/>
      <c r="E181" s="6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40"/>
      <c r="B182" s="40"/>
      <c r="C182" s="6"/>
      <c r="D182" s="41"/>
      <c r="E182" s="6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40"/>
      <c r="B183" s="40"/>
      <c r="C183" s="6"/>
      <c r="D183" s="41"/>
      <c r="E183" s="6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40"/>
      <c r="B184" s="40"/>
      <c r="C184" s="6"/>
      <c r="D184" s="41"/>
      <c r="E184" s="6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40"/>
      <c r="B185" s="40"/>
      <c r="C185" s="6"/>
      <c r="D185" s="41"/>
      <c r="E185" s="6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40"/>
      <c r="B186" s="40"/>
      <c r="C186" s="6"/>
      <c r="D186" s="41"/>
      <c r="E186" s="6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40"/>
      <c r="B187" s="40"/>
      <c r="C187" s="6"/>
      <c r="D187" s="41"/>
      <c r="E187" s="6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40"/>
      <c r="B188" s="40"/>
      <c r="C188" s="6"/>
      <c r="D188" s="41"/>
      <c r="E188" s="6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40"/>
      <c r="B189" s="40"/>
      <c r="C189" s="6"/>
      <c r="D189" s="41"/>
      <c r="E189" s="6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40"/>
      <c r="B190" s="40"/>
      <c r="C190" s="6"/>
      <c r="D190" s="41"/>
      <c r="E190" s="6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40"/>
      <c r="B191" s="40"/>
      <c r="C191" s="6"/>
      <c r="D191" s="41"/>
      <c r="E191" s="6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40"/>
      <c r="B192" s="40"/>
      <c r="C192" s="6"/>
      <c r="D192" s="41"/>
      <c r="E192" s="6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40"/>
      <c r="B193" s="40"/>
      <c r="C193" s="6"/>
      <c r="D193" s="41"/>
      <c r="E193" s="6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40"/>
      <c r="B194" s="40"/>
      <c r="C194" s="6"/>
      <c r="D194" s="41"/>
      <c r="E194" s="6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40"/>
      <c r="B195" s="40"/>
      <c r="C195" s="6"/>
      <c r="D195" s="41"/>
      <c r="E195" s="6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40"/>
      <c r="B196" s="40"/>
      <c r="C196" s="6"/>
      <c r="D196" s="41"/>
      <c r="E196" s="6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40"/>
      <c r="B197" s="40"/>
      <c r="C197" s="6"/>
      <c r="D197" s="41"/>
      <c r="E197" s="6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40"/>
      <c r="B198" s="40"/>
      <c r="C198" s="6"/>
      <c r="D198" s="41"/>
      <c r="E198" s="6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40"/>
      <c r="B199" s="40"/>
      <c r="C199" s="6"/>
      <c r="D199" s="41"/>
      <c r="E199" s="6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40"/>
      <c r="B200" s="40"/>
      <c r="C200" s="6"/>
      <c r="D200" s="41"/>
      <c r="E200" s="6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40"/>
      <c r="B201" s="40"/>
      <c r="C201" s="6"/>
      <c r="D201" s="41"/>
      <c r="E201" s="6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40"/>
      <c r="B202" s="40"/>
      <c r="C202" s="6"/>
      <c r="D202" s="41"/>
      <c r="E202" s="6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40"/>
      <c r="B203" s="40"/>
      <c r="C203" s="6"/>
      <c r="D203" s="41"/>
      <c r="E203" s="6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40"/>
      <c r="B204" s="40"/>
      <c r="C204" s="6"/>
      <c r="D204" s="41"/>
      <c r="E204" s="6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40"/>
      <c r="B205" s="40"/>
      <c r="C205" s="6"/>
      <c r="D205" s="41"/>
      <c r="E205" s="6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40"/>
      <c r="B206" s="40"/>
      <c r="C206" s="6"/>
      <c r="D206" s="41"/>
      <c r="E206" s="6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40"/>
      <c r="B207" s="40"/>
      <c r="C207" s="6"/>
      <c r="D207" s="41"/>
      <c r="E207" s="6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40"/>
      <c r="B208" s="40"/>
      <c r="C208" s="6"/>
      <c r="D208" s="41"/>
      <c r="E208" s="6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40"/>
      <c r="B209" s="40"/>
      <c r="C209" s="6"/>
      <c r="D209" s="41"/>
      <c r="E209" s="6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40"/>
      <c r="B210" s="40"/>
      <c r="C210" s="6"/>
      <c r="D210" s="41"/>
      <c r="E210" s="6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40"/>
      <c r="B211" s="40"/>
      <c r="C211" s="6"/>
      <c r="D211" s="41"/>
      <c r="E211" s="6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40"/>
      <c r="B212" s="40"/>
      <c r="C212" s="6"/>
      <c r="D212" s="41"/>
      <c r="E212" s="6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40"/>
      <c r="B213" s="40"/>
      <c r="C213" s="6"/>
      <c r="D213" s="41"/>
      <c r="E213" s="6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40"/>
      <c r="B214" s="40"/>
      <c r="C214" s="6"/>
      <c r="D214" s="41"/>
      <c r="E214" s="6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40"/>
      <c r="B215" s="40"/>
      <c r="C215" s="6"/>
      <c r="D215" s="41"/>
      <c r="E215" s="6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40"/>
      <c r="B216" s="40"/>
      <c r="C216" s="6"/>
      <c r="D216" s="41"/>
      <c r="E216" s="6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40"/>
      <c r="B217" s="40"/>
      <c r="C217" s="6"/>
      <c r="D217" s="41"/>
      <c r="E217" s="6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40"/>
      <c r="B218" s="40"/>
      <c r="C218" s="6"/>
      <c r="D218" s="41"/>
      <c r="E218" s="6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40"/>
      <c r="B219" s="40"/>
      <c r="C219" s="6"/>
      <c r="D219" s="41"/>
      <c r="E219" s="6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40"/>
      <c r="B220" s="40"/>
      <c r="C220" s="6"/>
      <c r="D220" s="41"/>
      <c r="E220" s="6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40"/>
      <c r="B221" s="40"/>
      <c r="C221" s="6"/>
      <c r="D221" s="41"/>
      <c r="E221" s="6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40"/>
      <c r="B222" s="40"/>
      <c r="C222" s="6"/>
      <c r="D222" s="41"/>
      <c r="E222" s="6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40"/>
      <c r="B223" s="40"/>
      <c r="C223" s="6"/>
      <c r="D223" s="41"/>
      <c r="E223" s="6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40"/>
      <c r="B224" s="40"/>
      <c r="C224" s="6"/>
      <c r="D224" s="41"/>
      <c r="E224" s="6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40"/>
      <c r="B225" s="40"/>
      <c r="C225" s="6"/>
      <c r="D225" s="41"/>
      <c r="E225" s="6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40"/>
      <c r="B226" s="40"/>
      <c r="C226" s="6"/>
      <c r="D226" s="41"/>
      <c r="E226" s="6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40"/>
      <c r="B227" s="40"/>
      <c r="C227" s="6"/>
      <c r="D227" s="41"/>
      <c r="E227" s="6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40"/>
      <c r="B228" s="40"/>
      <c r="C228" s="6"/>
      <c r="D228" s="41"/>
      <c r="E228" s="6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40"/>
      <c r="B229" s="40"/>
      <c r="C229" s="6"/>
      <c r="D229" s="41"/>
      <c r="E229" s="6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40"/>
      <c r="B230" s="40"/>
      <c r="C230" s="6"/>
      <c r="D230" s="41"/>
      <c r="E230" s="6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40"/>
      <c r="B231" s="40"/>
      <c r="C231" s="6"/>
      <c r="D231" s="41"/>
      <c r="E231" s="6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40"/>
      <c r="B232" s="40"/>
      <c r="C232" s="6"/>
      <c r="D232" s="41"/>
      <c r="E232" s="6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40"/>
      <c r="B233" s="40"/>
      <c r="C233" s="6"/>
      <c r="D233" s="41"/>
      <c r="E233" s="6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40"/>
      <c r="B234" s="40"/>
      <c r="C234" s="6"/>
      <c r="D234" s="41"/>
      <c r="E234" s="6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40"/>
      <c r="B235" s="40"/>
      <c r="C235" s="6"/>
      <c r="D235" s="41"/>
      <c r="E235" s="6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40"/>
      <c r="B236" s="40"/>
      <c r="C236" s="6"/>
      <c r="D236" s="41"/>
      <c r="E236" s="6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40"/>
      <c r="B237" s="40"/>
      <c r="C237" s="6"/>
      <c r="D237" s="41"/>
      <c r="E237" s="6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40"/>
      <c r="B238" s="40"/>
      <c r="C238" s="6"/>
      <c r="D238" s="41"/>
      <c r="E238" s="6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40"/>
      <c r="B239" s="40"/>
      <c r="C239" s="6"/>
      <c r="D239" s="41"/>
      <c r="E239" s="6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40"/>
      <c r="B240" s="40"/>
      <c r="C240" s="6"/>
      <c r="D240" s="41"/>
      <c r="E240" s="6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40"/>
      <c r="B241" s="40"/>
      <c r="C241" s="6"/>
      <c r="D241" s="6"/>
      <c r="E241" s="6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40"/>
      <c r="B242" s="40"/>
      <c r="C242" s="6"/>
      <c r="D242" s="6"/>
      <c r="E242" s="6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40"/>
      <c r="B243" s="40"/>
      <c r="C243" s="6"/>
      <c r="D243" s="6"/>
      <c r="E243" s="6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40"/>
      <c r="B244" s="40"/>
      <c r="C244" s="6"/>
      <c r="D244" s="6"/>
      <c r="E244" s="6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40"/>
      <c r="B245" s="40"/>
      <c r="C245" s="6"/>
      <c r="D245" s="6"/>
      <c r="E245" s="6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40"/>
      <c r="B246" s="40"/>
      <c r="C246" s="6"/>
      <c r="D246" s="6"/>
      <c r="E246" s="6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40"/>
      <c r="B247" s="40"/>
      <c r="C247" s="6"/>
      <c r="D247" s="6"/>
      <c r="E247" s="6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40"/>
      <c r="B248" s="40"/>
      <c r="C248" s="6"/>
      <c r="D248" s="6"/>
      <c r="E248" s="6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40"/>
      <c r="B249" s="40"/>
      <c r="C249" s="6"/>
      <c r="D249" s="6"/>
      <c r="E249" s="6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40"/>
      <c r="B250" s="40"/>
      <c r="C250" s="6"/>
      <c r="D250" s="6"/>
      <c r="E250" s="6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40"/>
      <c r="B251" s="40"/>
      <c r="C251" s="6"/>
      <c r="D251" s="6"/>
      <c r="E251" s="6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40"/>
      <c r="B252" s="40"/>
      <c r="C252" s="6"/>
      <c r="D252" s="6"/>
      <c r="E252" s="6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40"/>
      <c r="B253" s="40"/>
      <c r="C253" s="6"/>
      <c r="D253" s="6"/>
      <c r="E253" s="6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40"/>
      <c r="B254" s="40"/>
      <c r="C254" s="6"/>
      <c r="D254" s="6"/>
      <c r="E254" s="6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40"/>
      <c r="B255" s="40"/>
      <c r="C255" s="6"/>
      <c r="D255" s="6"/>
      <c r="E255" s="6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9.38"/>
    <col customWidth="1" min="2" max="2" width="58.5"/>
    <col customWidth="1" min="3" max="3" width="20.13"/>
    <col customWidth="1" min="4" max="4" width="21.38"/>
    <col customWidth="1" min="5" max="26" width="11.88"/>
  </cols>
  <sheetData>
    <row r="1" ht="12.75" customHeight="1">
      <c r="A1" s="47" t="s">
        <v>334</v>
      </c>
      <c r="B1" s="47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48" t="s">
        <v>340</v>
      </c>
      <c r="B2" s="48" t="s">
        <v>341</v>
      </c>
      <c r="C2" s="6" t="s">
        <v>342</v>
      </c>
      <c r="D2" s="6" t="s">
        <v>343</v>
      </c>
      <c r="E2" s="6" t="s">
        <v>344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8"/>
      <c r="B3" s="4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8"/>
      <c r="B4" s="4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8"/>
      <c r="B5" s="4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48"/>
      <c r="B6" s="4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48"/>
      <c r="B7" s="4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48"/>
      <c r="B8" s="4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48"/>
      <c r="B9" s="4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48"/>
      <c r="B10" s="4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48"/>
      <c r="B11" s="48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48"/>
      <c r="B12" s="48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48"/>
      <c r="B13" s="48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48"/>
      <c r="B14" s="48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48"/>
      <c r="B15" s="4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48"/>
      <c r="B16" s="4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48"/>
      <c r="B17" s="4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48"/>
      <c r="B18" s="4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48"/>
      <c r="B19" s="4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48"/>
      <c r="B20" s="4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48"/>
      <c r="B21" s="4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48"/>
      <c r="B22" s="4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48"/>
      <c r="B23" s="4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48"/>
      <c r="B24" s="4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48"/>
      <c r="B25" s="4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48"/>
      <c r="B26" s="4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48"/>
      <c r="B27" s="4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48"/>
      <c r="B28" s="4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48"/>
      <c r="B29" s="4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48"/>
      <c r="B30" s="4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48"/>
      <c r="B31" s="4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48"/>
      <c r="B32" s="4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48"/>
      <c r="B33" s="4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48"/>
      <c r="B34" s="4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48"/>
      <c r="B35" s="4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48"/>
      <c r="B36" s="4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48"/>
      <c r="B37" s="4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48"/>
      <c r="B38" s="4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48"/>
      <c r="B39" s="4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48"/>
      <c r="B40" s="4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48"/>
      <c r="B41" s="48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48"/>
      <c r="B42" s="48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48"/>
      <c r="B43" s="48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48"/>
      <c r="B44" s="48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48"/>
      <c r="B45" s="4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48"/>
      <c r="B46" s="4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48"/>
      <c r="B47" s="4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48"/>
      <c r="B48" s="4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48"/>
      <c r="B49" s="4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48"/>
      <c r="B50" s="4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48"/>
      <c r="B51" s="48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48"/>
      <c r="B52" s="4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48"/>
      <c r="B53" s="4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48"/>
      <c r="B54" s="4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48"/>
      <c r="B55" s="4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48"/>
      <c r="B56" s="48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48"/>
      <c r="B57" s="48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48"/>
      <c r="B58" s="4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48"/>
      <c r="B59" s="4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48"/>
      <c r="B60" s="4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48"/>
      <c r="B61" s="4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48"/>
      <c r="B62" s="4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48"/>
      <c r="B63" s="48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48"/>
      <c r="B64" s="48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48"/>
      <c r="B65" s="48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48"/>
      <c r="B66" s="48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48"/>
      <c r="B67" s="48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48"/>
      <c r="B68" s="4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48"/>
      <c r="B69" s="48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48"/>
      <c r="B70" s="48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48"/>
      <c r="B71" s="48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48"/>
      <c r="B72" s="48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48"/>
      <c r="B73" s="48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48"/>
      <c r="B74" s="48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48"/>
      <c r="B75" s="48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48"/>
      <c r="B76" s="48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48"/>
      <c r="B77" s="48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48"/>
      <c r="B78" s="48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48"/>
      <c r="B79" s="48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48"/>
      <c r="B80" s="48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48"/>
      <c r="B81" s="48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48"/>
      <c r="B82" s="48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48"/>
      <c r="B83" s="48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48"/>
      <c r="B84" s="48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48"/>
      <c r="B85" s="48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48"/>
      <c r="B86" s="48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48"/>
      <c r="B87" s="48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48"/>
      <c r="B88" s="48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48"/>
      <c r="B89" s="48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48"/>
      <c r="B90" s="48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48"/>
      <c r="B91" s="48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48"/>
      <c r="B92" s="48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48"/>
      <c r="B93" s="48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48"/>
      <c r="B94" s="48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48"/>
      <c r="B95" s="48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48"/>
      <c r="B96" s="48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48"/>
      <c r="B97" s="48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48"/>
      <c r="B98" s="48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48"/>
      <c r="B99" s="48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48"/>
      <c r="B100" s="48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48"/>
      <c r="B101" s="48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48"/>
      <c r="B102" s="48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48"/>
      <c r="B103" s="48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48"/>
      <c r="B104" s="48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48"/>
      <c r="B105" s="48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48"/>
      <c r="B106" s="48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48"/>
      <c r="B107" s="48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48"/>
      <c r="B108" s="48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48"/>
      <c r="B109" s="48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48"/>
      <c r="B110" s="48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48"/>
      <c r="B111" s="48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48"/>
      <c r="B112" s="48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48"/>
      <c r="B113" s="48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48"/>
      <c r="B114" s="48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48"/>
      <c r="B115" s="48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48"/>
      <c r="B116" s="48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48"/>
      <c r="B117" s="48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48"/>
      <c r="B118" s="4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48"/>
      <c r="B119" s="48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48"/>
      <c r="B120" s="48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48"/>
      <c r="B121" s="48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48"/>
      <c r="B122" s="48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48"/>
      <c r="B123" s="48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48"/>
      <c r="B124" s="48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48"/>
      <c r="B125" s="48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48"/>
      <c r="B126" s="48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48"/>
      <c r="B127" s="48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48"/>
      <c r="B128" s="4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48"/>
      <c r="B129" s="48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48"/>
      <c r="B130" s="48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48"/>
      <c r="B131" s="48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48"/>
      <c r="B132" s="48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48"/>
      <c r="B133" s="48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48"/>
      <c r="B134" s="48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48"/>
      <c r="B135" s="48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48"/>
      <c r="B136" s="48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48"/>
      <c r="B137" s="48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48"/>
      <c r="B138" s="4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48"/>
      <c r="B139" s="48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48"/>
      <c r="B140" s="48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48"/>
      <c r="B141" s="48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48"/>
      <c r="B142" s="48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48"/>
      <c r="B143" s="48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48"/>
      <c r="B144" s="48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48"/>
      <c r="B145" s="48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48"/>
      <c r="B146" s="48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48"/>
      <c r="B147" s="48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48"/>
      <c r="B148" s="4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48"/>
      <c r="B149" s="48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48"/>
      <c r="B150" s="48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48"/>
      <c r="B151" s="48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48"/>
      <c r="B152" s="48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48"/>
      <c r="B153" s="48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48"/>
      <c r="B154" s="48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48"/>
      <c r="B155" s="48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48"/>
      <c r="B156" s="48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48"/>
      <c r="B157" s="48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48"/>
      <c r="B158" s="48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48"/>
      <c r="B159" s="48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48"/>
      <c r="B160" s="48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48"/>
      <c r="B161" s="48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48"/>
      <c r="B162" s="48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48"/>
      <c r="B163" s="48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48"/>
      <c r="B164" s="48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48"/>
      <c r="B165" s="48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48"/>
      <c r="B166" s="48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48"/>
      <c r="B167" s="48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48"/>
      <c r="B168" s="4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48"/>
      <c r="B169" s="48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48"/>
      <c r="B170" s="48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48"/>
      <c r="B171" s="48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48"/>
      <c r="B172" s="48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48"/>
      <c r="B173" s="48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48"/>
      <c r="B174" s="48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48"/>
      <c r="B175" s="48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48"/>
      <c r="B176" s="48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48"/>
      <c r="B177" s="48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48"/>
      <c r="B178" s="4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48"/>
      <c r="B179" s="48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48"/>
      <c r="B180" s="48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48"/>
      <c r="B181" s="48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48"/>
      <c r="B182" s="48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48"/>
      <c r="B183" s="48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48"/>
      <c r="B184" s="48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48"/>
      <c r="B185" s="48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48"/>
      <c r="B186" s="48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48"/>
      <c r="B187" s="48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48"/>
      <c r="B188" s="48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48"/>
      <c r="B189" s="48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48"/>
      <c r="B190" s="48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48"/>
      <c r="B191" s="48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48"/>
      <c r="B192" s="48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48"/>
      <c r="B193" s="48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48"/>
      <c r="B194" s="48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48"/>
      <c r="B195" s="48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48"/>
      <c r="B196" s="48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48"/>
      <c r="B197" s="48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48"/>
      <c r="B198" s="48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48"/>
      <c r="B199" s="48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48"/>
      <c r="B200" s="48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48"/>
      <c r="B201" s="48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48"/>
      <c r="B202" s="48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48"/>
      <c r="B203" s="48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48"/>
      <c r="B204" s="48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48"/>
      <c r="B205" s="48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48"/>
      <c r="B206" s="48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48"/>
      <c r="B207" s="48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48"/>
      <c r="B208" s="48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48"/>
      <c r="B209" s="48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48"/>
      <c r="B210" s="48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48"/>
      <c r="B211" s="48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48"/>
      <c r="B212" s="48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48"/>
      <c r="B213" s="48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48"/>
      <c r="B214" s="48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48"/>
      <c r="B215" s="48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48"/>
      <c r="B216" s="48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48"/>
      <c r="B217" s="48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48"/>
      <c r="B218" s="48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48"/>
      <c r="B219" s="48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48"/>
      <c r="B220" s="48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