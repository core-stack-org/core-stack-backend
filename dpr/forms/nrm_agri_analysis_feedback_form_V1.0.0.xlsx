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rvey" sheetId="1" r:id="rId4"/>
    <sheet state="visible" name="choices" sheetId="2" r:id="rId5"/>
    <sheet state="visible" name="settings" sheetId="3" r:id="rId6"/>
  </sheets>
  <definedNames/>
  <calcPr/>
  <extLst>
    <ext uri="GoogleSheetsCustomDataVersion2">
      <go:sheetsCustomData xmlns:go="http://customooxmlschemas.google.com/" r:id="rId7" roundtripDataChecksum="Kr2jaNioiG6lxex15JR/BPULmzp0D5TVW5ueKWT9RhM="/>
    </ext>
  </extLst>
</workbook>
</file>

<file path=xl/sharedStrings.xml><?xml version="1.0" encoding="utf-8"?>
<sst xmlns="http://schemas.openxmlformats.org/spreadsheetml/2006/main" count="412" uniqueCount="242">
  <si>
    <t>type</t>
  </si>
  <si>
    <t>name</t>
  </si>
  <si>
    <t>label::English(en)</t>
  </si>
  <si>
    <t>label::Hindi(hi)</t>
  </si>
  <si>
    <t>label::Kannada(kn)</t>
  </si>
  <si>
    <t>label::Odia(or)</t>
  </si>
  <si>
    <t>appearance</t>
  </si>
  <si>
    <t>required</t>
  </si>
  <si>
    <t>relevant</t>
  </si>
  <si>
    <t>constraint</t>
  </si>
  <si>
    <t>constraint_message</t>
  </si>
  <si>
    <t>begin group</t>
  </si>
  <si>
    <t>experiences_observations_farmland</t>
  </si>
  <si>
    <t>Please fill out the feedback form as per your past experiences and observations for this farmland</t>
  </si>
  <si>
    <t>कृपया इस कृषि भूमि के लिए अपने पिछले अनुभवों और ऑब्जर्वेशन के आधार पर फीडबैक फॉर्म भरें</t>
  </si>
  <si>
    <t>ಈ ಕೃಷಿಭೂಮಿಯ ಬಗ್ಗೆ ನಿಮ್ಮ ಹಿಂದಿನ ಅನುಭವಗಳು ಮತ್ತು ಅವಲೋಕನಗಳ ಪ್ರಕಾರ ದಯವಿಟ್ಟು ಪ್ರತಿಕ್ರಿಯೆ ಫಾರ್ಮ್ ಅನ್ನು ಭರ್ತಿ ಮಾಡಿ.</t>
  </si>
  <si>
    <t>select_one Y_N</t>
  </si>
  <si>
    <t>select_one_crop_pixel</t>
  </si>
  <si>
    <t xml:space="preserve">Is this a crop pixel?
</t>
  </si>
  <si>
    <t>क्या यह एक क्रॉप पिक्सेल है?</t>
  </si>
  <si>
    <t xml:space="preserve">ಇದು ಕ್ರಾಪ್ ಪಿಕ್ಸೆಲ್ ಆಗಿದೆಯೇ?
</t>
  </si>
  <si>
    <t>select_one land_pixel or_other</t>
  </si>
  <si>
    <t>select_one_land_pixel</t>
  </si>
  <si>
    <t xml:space="preserve">What is the Land use on this pixel 
</t>
  </si>
  <si>
    <t>इस पिक्सेल पर भूमि का उपयोग क्या है</t>
  </si>
  <si>
    <t xml:space="preserve">ಈ ಪಿಕ್ಸೆಲ್‌ನಲ್ಲಿ ಭೂ ಬಳಕೆ ಏನು 
</t>
  </si>
  <si>
    <t>${select_one_crop_pixel}=’No’</t>
  </si>
  <si>
    <t>select_multiple kharif_crop or_other</t>
  </si>
  <si>
    <t>select_multiple_kharif_crop</t>
  </si>
  <si>
    <t>What are the different cropping patterns typically practiced as main crops on such lands during the Kharif season in this grid</t>
  </si>
  <si>
    <t>इस ग्रिड में, ऐसी भूमि पर खरीफ सीजन के दौरान मुख्य फसलों के रूप में आमतौर पर लगाए जाने वाले फसल पैटर्न क्या है?</t>
  </si>
  <si>
    <t>ಈ ಗ್ರಿಡ್‌ನಲ್ಲಿ ಖಾರಿಫ್ ಋತುವಿನಲ್ಲಿ ಅಂತಹ ಭೂಮಿಯಲ್ಲಿ ಮುಖ್ಯ ಬೆಳೆಗಳಾಗಿ ಸಾಮಾನ್ಯವಾಗಿ ಅಭ್ಯಾಸ ಮಾಡುವ ವಿಭಿನ್ನ ಬೆಳೆ ಮಾದರಿಗಳು ಯಾವುವು?</t>
  </si>
  <si>
    <t>yes</t>
  </si>
  <si>
    <t>${select_one_crop_pixel}=’Yes’</t>
  </si>
  <si>
    <t>select_multiple rabi_crop or_other</t>
  </si>
  <si>
    <t>select_multiple_rabi_crop</t>
  </si>
  <si>
    <t>What are the different cropping patterns typically practiced as main crops on such lands during the Rabi season in this grid</t>
  </si>
  <si>
    <t>इस ग्रिड में, ऐसी भूमि पर रबी मौसम के दौरान मुख्य फसल के रूप में आमतौर पर प्रचलित फसल पैटर्न क्या है?</t>
  </si>
  <si>
    <t>ಈ ಗ್ರಿಡ್‌ನಲ್ಲಿ ರಬಿ ಋತುವಿನಲ್ಲಿ ಅಂತಹ ಭೂಮಿಯಲ್ಲಿ ಮುಖ್ಯ ಬೆಳೆಗಳಾಗಿ ಸಾಮಾನ್ಯವಾಗಿ ಅಭ್ಯಾಸ ಮಾಡುವ ವಿಭಿನ್ನ ಬೆಳೆ ಮಾದರಿಗಳು ಯಾವುವು?</t>
  </si>
  <si>
    <t>select_multiple zaid_crop or_other</t>
  </si>
  <si>
    <t>select_multiple_zaid_crop</t>
  </si>
  <si>
    <t xml:space="preserve">What are the different cropping patterns typically practiced as main crops on such lands during the Zaid season in this grid
</t>
  </si>
  <si>
    <t>इस ग्रिड में,ऐसी भूमि पर जायद मौसम के दौरान मुख्य फसल के रूप में आमतौर पर प्रचलित फसल पैटर्न क्या है?</t>
  </si>
  <si>
    <t xml:space="preserve">ಈ ಗ್ರಿಡ್‌ನಲ್ಲಿ ಜೈದ್ ಋತುವಿನಲ್ಲಿ ಅಂತಹ ಭೂಮಿಯಲ್ಲಿ ಮುಖ್ಯ ಬೆಳೆಗಳಾಗಿ ಸಾಮಾನ್ಯವಾಗಿ ಆಚರಿಸಲಾಗುವ ವಿಭಿನ್ನ ಬೆಳೆ ಮಾದರಿಗಳು ಯಾವುವು 
</t>
  </si>
  <si>
    <t>select_one cropping_cycles</t>
  </si>
  <si>
    <t>select_one_cropping_cycles</t>
  </si>
  <si>
    <t xml:space="preserve">How many cropping cycles are followed in a year on this farm land 
</t>
  </si>
  <si>
    <t>इस कृषि भूमि पर एक वर्ष में कितने फसल चक्र अपनाए जाते हैं</t>
  </si>
  <si>
    <t xml:space="preserve">ಈ ಕೃಷಿ ಭೂಮಿಯಲ್ಲಿ ವರ್ಷಕ್ಕೆ ಎಷ್ಟು ಬೆಳೆ ಚಕ್ರಗಳನ್ನು ಅನುಸರಿಸಲಾಗುತ್ತದೆ 
</t>
  </si>
  <si>
    <t>select_one farm_land_primarily</t>
  </si>
  <si>
    <t>select_one_farm_land_primarily</t>
  </si>
  <si>
    <t xml:space="preserve">Is this farm land primarily 
</t>
  </si>
  <si>
    <t>क्या यह मुख्य रूप से कृषि भूमि है</t>
  </si>
  <si>
    <t xml:space="preserve">ಇದು ಮುಖ್ಯವಾಗಿ ಕೃಷಿ ಭೂಮಿಯೇ 
</t>
  </si>
  <si>
    <t>select_one fertilizers</t>
  </si>
  <si>
    <t>select_one_fertilizer</t>
  </si>
  <si>
    <t xml:space="preserve"> What types of fertilizers are used on this farmland?</t>
  </si>
  <si>
    <t>इस कृषि भूमि पर किस प्रकार के उर्वरकों का उपयोग किया जाता है?</t>
  </si>
  <si>
    <t>ಈ ಕೃಷಿಭೂಮಿಯಲ್ಲಿ ಯಾವ ರೀತಿಯ ರಸಗೊಬ್ಬರಗಳನ್ನು ಬಳಸಲಾಗುತ್ತದೆ?</t>
  </si>
  <si>
    <t>select_one yield_change</t>
  </si>
  <si>
    <t>select_one_yield_changes</t>
  </si>
  <si>
    <t xml:space="preserve">Has the crop yield (in quintals per hectare) changed over the past five years?
</t>
  </si>
  <si>
    <t>क्या पिछले पांच वर्षों में फसल की पैदावार (प्रति हेक्टेयर क्विंटल में) में कोई बदलाव आया है?</t>
  </si>
  <si>
    <t xml:space="preserve">ಕಳೆದ ಐದು ವರ್ಷಗಳಲ್ಲಿ ಬೆಳೆ ಇಳುವರಿ (ಪ್ರತಿ ಹೆಕ್ಟೇರ್‌ಗೆ ಕ್ವಿಂಟಾಲ್‌ಗಳಲ್ಲಿ) ಬದಲಾಗಿದೆಯೇ?
</t>
  </si>
  <si>
    <t>select_one cropping_patterns_changes</t>
  </si>
  <si>
    <t>select_one_cropping_patterns_changes</t>
  </si>
  <si>
    <t xml:space="preserve">Have there been any notable changes in cropping patterns in the grid over the past five years?
</t>
  </si>
  <si>
    <t>क्या पिछले पांच वर्षों में, ग्रिड में उपजाए गए फसल पैटर्न में कोई खास बदलाव हुआ है?</t>
  </si>
  <si>
    <t xml:space="preserve">ಕಳೆದ ಐದು ವರ್ಷಗಳಲ್ಲಿ ಗ್ರಿಡ್‌ನಲ್ಲಿ ಬೆಳೆ ಮಾದರಿಗಳಲ್ಲಿ ಯಾವುದೇ ಗಮನಾರ್ಹ ಬದಲಾವಣೆಗಳಾಗಿವೆಯೇ?
</t>
  </si>
  <si>
    <t>select_multiple years</t>
  </si>
  <si>
    <t>poor_rainfall_years</t>
  </si>
  <si>
    <t>Which of these years were poor rainfall years</t>
  </si>
  <si>
    <t>इनमें से कौन से सालों में कम वर्षा हुआ था</t>
  </si>
  <si>
    <t>ಇವುಗಳಲ್ಲಿ ಯಾವ ವರ್ಷಗಳು ಕಡಿಮೆ ಮಳೆಯಾದ ವರ್ಷಗಳು?</t>
  </si>
  <si>
    <t>select_one week_drought</t>
  </si>
  <si>
    <t>select_one_week_drought</t>
  </si>
  <si>
    <t xml:space="preserve">How many weeks did the most recent drought last in your area?
</t>
  </si>
  <si>
    <t>आपके क्षेत्र में हाल में पड़ा सूखा, कितने सप्ताह तक रहा ?</t>
  </si>
  <si>
    <t xml:space="preserve">ನಿಮ್ಮ ಪ್ರದೇಶದಲ್ಲಿ ಇತ್ತೀಚೆಗೆ ಎಷ್ಟು ವಾರಗಳ ಕಾಲ ಬರಗಾಲವಿತ್ತು?
</t>
  </si>
  <si>
    <t xml:space="preserve">select_one  crop_production_failed </t>
  </si>
  <si>
    <t xml:space="preserve">select_one_crop_production_failed </t>
  </si>
  <si>
    <t xml:space="preserve"> What percentage of the community’s overall crop production failed during the most recent drought?
</t>
  </si>
  <si>
    <t>हाल ही में पड़े सूखे के दौरान समुदाय के कुल फसल उत्पादन का कितना प्रतिशत ख़राब हो गया?</t>
  </si>
  <si>
    <t xml:space="preserve">ಇತ್ತೀಚಿನ ಬರಗಾಲದ ಸಮಯದಲ್ಲಿ ಸಮುದಾಯದ ಒಟ್ಟಾರೆ ಬೆಳೆ ಉತ್ಪಾದನೆಯ ಶೇಕಡಾವಾರು ಎಷ್ಟು ವಿಫಲವಾಗಿದೆ?
</t>
  </si>
  <si>
    <t>end group</t>
  </si>
  <si>
    <t>list_name</t>
  </si>
  <si>
    <t xml:space="preserve"> cropping_cycles</t>
  </si>
  <si>
    <t>Single</t>
  </si>
  <si>
    <t>एक</t>
  </si>
  <si>
    <t>ಏಕ</t>
  </si>
  <si>
    <t>Double</t>
  </si>
  <si>
    <t>दो</t>
  </si>
  <si>
    <t>ಡಬಲ್</t>
  </si>
  <si>
    <t>Triple</t>
  </si>
  <si>
    <t>तीन</t>
  </si>
  <si>
    <t>ಟ್ರಿಪಲ್</t>
  </si>
  <si>
    <t>farm_land_primarily</t>
  </si>
  <si>
    <t>Rainfed</t>
  </si>
  <si>
    <t xml:space="preserve">वर्षा आधारित </t>
  </si>
  <si>
    <t>ಮಳೆಯಾಶ್ರಿತ</t>
  </si>
  <si>
    <t>Irrigated</t>
  </si>
  <si>
    <t xml:space="preserve">सिंचाई आधारित </t>
  </si>
  <si>
    <t>ನೀರಾವರಿ</t>
  </si>
  <si>
    <t>years</t>
  </si>
  <si>
    <t>kharif_crop</t>
  </si>
  <si>
    <t xml:space="preserve">Paddy
</t>
  </si>
  <si>
    <t>Paddy</t>
  </si>
  <si>
    <t xml:space="preserve">धान </t>
  </si>
  <si>
    <t>ಭತ್ತ</t>
  </si>
  <si>
    <t>Millets</t>
  </si>
  <si>
    <t>मोटे अनाज / श्री अन्न</t>
  </si>
  <si>
    <t>ಧಾನ್ಯಗಳು</t>
  </si>
  <si>
    <t>Pulses</t>
  </si>
  <si>
    <t>दालें</t>
  </si>
  <si>
    <t>ದ್ವಿದಳ ಧಾನ್ಯಗಳು</t>
  </si>
  <si>
    <t>Vegetables</t>
  </si>
  <si>
    <t>सब्ज़ियाँ</t>
  </si>
  <si>
    <t>ತರಕಾರಿಗಳು</t>
  </si>
  <si>
    <t>Fruits</t>
  </si>
  <si>
    <t>फल</t>
  </si>
  <si>
    <t>ಹಣ್ಣುಗಳು</t>
  </si>
  <si>
    <t>Oil_seeds</t>
  </si>
  <si>
    <t>Oil seeds</t>
  </si>
  <si>
    <t>तिलहन</t>
  </si>
  <si>
    <t>ಎಣ್ಣೆ ಬೀಜಗಳು</t>
  </si>
  <si>
    <t>Fodder_crop</t>
  </si>
  <si>
    <t>Fodder crop</t>
  </si>
  <si>
    <t>चारा फसल</t>
  </si>
  <si>
    <t>ಮೇವಿನ ಬೆಳೆ</t>
  </si>
  <si>
    <t>Fallow</t>
  </si>
  <si>
    <t>परती</t>
  </si>
  <si>
    <t>ಪಾಳುಭೂಮಿ</t>
  </si>
  <si>
    <t>rabi_crop</t>
  </si>
  <si>
    <t xml:space="preserve">Paddy  </t>
  </si>
  <si>
    <t>zaid_crop</t>
  </si>
  <si>
    <t>fertilizers</t>
  </si>
  <si>
    <t xml:space="preserve">Organic
</t>
  </si>
  <si>
    <t>जैविक</t>
  </si>
  <si>
    <t xml:space="preserve">ಸಾವಯವ
</t>
  </si>
  <si>
    <t xml:space="preserve">Chemical
</t>
  </si>
  <si>
    <t>रासायनिक</t>
  </si>
  <si>
    <t xml:space="preserve">ರಾಸಾಯನಿಕ
</t>
  </si>
  <si>
    <t xml:space="preserve">Both
</t>
  </si>
  <si>
    <t>दोनों</t>
  </si>
  <si>
    <t xml:space="preserve">ಎರಡೂ
</t>
  </si>
  <si>
    <t>yield_change</t>
  </si>
  <si>
    <t xml:space="preserve">Yield has increased
</t>
  </si>
  <si>
    <t>उपज बढ़ गई है</t>
  </si>
  <si>
    <t xml:space="preserve">ಇಳುವರಿ ಹೆಚ್ಚಾಗಿದೆ
</t>
  </si>
  <si>
    <t xml:space="preserve">Yield has decreased
</t>
  </si>
  <si>
    <t>उपज कम हो गई है</t>
  </si>
  <si>
    <t xml:space="preserve">ಇಳುವರಿ ಕಡಿಮೆಯಾಗಿದೆ
</t>
  </si>
  <si>
    <t xml:space="preserve">No change
</t>
  </si>
  <si>
    <t>कोई बदलाव नहीं</t>
  </si>
  <si>
    <t xml:space="preserve">ಯಾವುದೇ ಬದಲಾವಣೆ ಇಲ್ಲ
</t>
  </si>
  <si>
    <t xml:space="preserve"> cropping_patterns_changes</t>
  </si>
  <si>
    <t>Yes, switched to drought-resistant crops</t>
  </si>
  <si>
    <t>हां, सूखा प्रतिरोधी फसलों की ओर रुख किया गया है।</t>
  </si>
  <si>
    <t>ಹೌದು, ಬರ ನಿರೋಧಕ ಬೆಳೆಗಳಿಗೆ ಬದಲಾಯಿಸಲಾಗಿದೆ.</t>
  </si>
  <si>
    <t xml:space="preserve">Yes, switched to high-yield crops
</t>
  </si>
  <si>
    <t>हाँ, अधिक उपज वाली फसलों की ओर रुख किया</t>
  </si>
  <si>
    <t xml:space="preserve">ಹೌದು, ಹೆಚ್ಚಿನ ಇಳುವರಿ ನೀಡುವ ಬೆಳೆಗಳಿಗೆ ಬದಲಾಯಿಸಲಾಗಿದೆ
</t>
  </si>
  <si>
    <t xml:space="preserve">Yes, switched to cash crops
</t>
  </si>
  <si>
    <t>हां, नकदी फसलों की ओर रुख किया</t>
  </si>
  <si>
    <t xml:space="preserve">ಹೌದು, ವಾಣಿಜ್ಯ ಬೆಳೆಗಳಿಗೆ ಬದಲಾಯಿಸಲಾಗಿದೆ
</t>
  </si>
  <si>
    <t xml:space="preserve">Yes, diversified crops (growing a wider variety)
</t>
  </si>
  <si>
    <t>हाँ, विविध फसलें (कई तरह के फसलें उगाना)</t>
  </si>
  <si>
    <t xml:space="preserve">ಹೌದು, ವೈವಿಧ್ಯಮಯ ಬೆಳೆಗಳು (ವಿಶಾಲವಾದ ವೈವಿಧ್ಯವನ್ನು ಬೆಳೆಯುವುದು)
</t>
  </si>
  <si>
    <t xml:space="preserve">No, cropping patterns have remained the same
</t>
  </si>
  <si>
    <t>नहीं, फसल पैटर्न वही बना हुआ है</t>
  </si>
  <si>
    <t xml:space="preserve">ಇಲ್ಲ, ಕ್ರಾಪಿಂಗ್ ಮಾದರಿಗಳು ಹಾಗೆಯೇ ಉಳಿದಿವೆ 
</t>
  </si>
  <si>
    <t xml:space="preserve"> week_drought</t>
  </si>
  <si>
    <t xml:space="preserve">Less than 2 weeks
</t>
  </si>
  <si>
    <t>2 सप्ताह से कम</t>
  </si>
  <si>
    <t xml:space="preserve">2 ವಾರಗಳಿಗಿಂತ ಕಡಿಮೆ 
</t>
  </si>
  <si>
    <t xml:space="preserve">2-4 weeks
</t>
  </si>
  <si>
    <t>2-4 सप्ताह</t>
  </si>
  <si>
    <t xml:space="preserve">2-4 ವಾರಗಳು
</t>
  </si>
  <si>
    <t xml:space="preserve">4-6 weeks
</t>
  </si>
  <si>
    <t>4-6 सप्ताह</t>
  </si>
  <si>
    <t xml:space="preserve">೪-೬ ವಾರಗಳು
</t>
  </si>
  <si>
    <t xml:space="preserve">6-8 weeks
</t>
  </si>
  <si>
    <t>6-8 सप्ताह</t>
  </si>
  <si>
    <t xml:space="preserve">6-8 ವಾರಗಳು
</t>
  </si>
  <si>
    <t xml:space="preserve">More than 8 weeks
</t>
  </si>
  <si>
    <t>8 सप्ताह से अधिक</t>
  </si>
  <si>
    <t xml:space="preserve">8 ವಾರಗಳಿಗಿಂತ ಹೆಚ್ಚು
</t>
  </si>
  <si>
    <t xml:space="preserve">crop_production_failed </t>
  </si>
  <si>
    <t xml:space="preserve"> Less than 10%
</t>
  </si>
  <si>
    <t>10% से कम</t>
  </si>
  <si>
    <t xml:space="preserve">10% ಕ್ಕಿಂತ ಕಡಿಮೆ
</t>
  </si>
  <si>
    <t xml:space="preserve">10-30%
</t>
  </si>
  <si>
    <t>10-30%</t>
  </si>
  <si>
    <t xml:space="preserve">30-50%
</t>
  </si>
  <si>
    <t>30-50%</t>
  </si>
  <si>
    <t xml:space="preserve"> More than 50%
</t>
  </si>
  <si>
    <t>50 से अधिक%</t>
  </si>
  <si>
    <t xml:space="preserve">50% ಕ್ಕಿಂತ ಹೆಚ್ಚು
</t>
  </si>
  <si>
    <t>Y_N</t>
  </si>
  <si>
    <t>Yes</t>
  </si>
  <si>
    <t>हाँ</t>
  </si>
  <si>
    <t>ಹೌದು</t>
  </si>
  <si>
    <t>No</t>
  </si>
  <si>
    <t>नहीं</t>
  </si>
  <si>
    <t>ಇಲ್ಲ</t>
  </si>
  <si>
    <t>land_pixel</t>
  </si>
  <si>
    <t>Forest Land</t>
  </si>
  <si>
    <t>वन भूमि</t>
  </si>
  <si>
    <t>ಅರಣ್ಯ ಭೂಮಿ</t>
  </si>
  <si>
    <t>Barren Land</t>
  </si>
  <si>
    <t>बंजर भूमि</t>
  </si>
  <si>
    <t>ಬಂಜರು ಭೂಮಿ</t>
  </si>
  <si>
    <t>Grassland/Pasture</t>
  </si>
  <si>
    <t>घास का मैदान/चरागाह</t>
  </si>
  <si>
    <t>ಹುಲ್ಲುಗಾವಲು/ಹುಲ್ಲುಗಾವಲು</t>
  </si>
  <si>
    <t>Wetland</t>
  </si>
  <si>
    <t>नमीयुक्त भूमि / आर्द्रभूमि</t>
  </si>
  <si>
    <t>ಜೌಗು ಪ್ರದೇಶ</t>
  </si>
  <si>
    <t>Protected Area (National Park/Reserve)</t>
  </si>
  <si>
    <t>संरक्षित क्षेत्र (राष्ट्रीय उद्यान/रिजर्व)</t>
  </si>
  <si>
    <t>ಸಂರಕ್ಷಿತ ಪ್ರದೇಶ (ರಾಷ್ಟ್ರೀಯ ಉದ್ಯಾನವನ/ಅಭಯಾರಣ್ಯ)</t>
  </si>
  <si>
    <t>Mining Area</t>
  </si>
  <si>
    <t>खनन क्षेत्र</t>
  </si>
  <si>
    <t>ಗಣಿಗಾರಿಕೆ ಪ್ರದೇಶ</t>
  </si>
  <si>
    <t>Commercial Land</t>
  </si>
  <si>
    <t>व्यावसायिक भूमि</t>
  </si>
  <si>
    <t>ವಾಣಿಜ್ಯ ಭೂಮಿ</t>
  </si>
  <si>
    <t>Floodplain</t>
  </si>
  <si>
    <t>बाढ़ का मैदान</t>
  </si>
  <si>
    <t>ಪ್ರವಾಹ ಪ್ರದೇಶ</t>
  </si>
  <si>
    <t>Scrubland</t>
  </si>
  <si>
    <t>झाड़ीदार भूमि</t>
  </si>
  <si>
    <t>ಸ್ಕ್ರಬ್‌ಲ್ಯಾಂಡ್</t>
  </si>
  <si>
    <t>Coastal/Marine Area</t>
  </si>
  <si>
    <t>तटीय/समुद्री क्षेत्र</t>
  </si>
  <si>
    <t>ಕರಾವಳಿ/ಸಮುದ್ರ ಪ್ರದೇಶ</t>
  </si>
  <si>
    <t>form_title</t>
  </si>
  <si>
    <t>form_id</t>
  </si>
  <si>
    <t>default_language</t>
  </si>
  <si>
    <t>Agri Analysis Feedback Form</t>
  </si>
  <si>
    <t>nrm_agri_analysis_feedback_form_V1.0.0</t>
  </si>
  <si>
    <t>English(en)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</si>
</sst>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sz val="10.0"/>
      <color theme="1"/>
      <name val="Arial"/>
    </font>
    <font>
      <color theme="1"/>
      <name val="Arial"/>
    </font>
    <font>
      <sz val="9.0"/>
      <color theme="1"/>
      <name val="Arial"/>
    </font>
    <font>
      <sz val="9.0"/>
      <color rgb="FF000000"/>
      <name val="Calibri"/>
    </font>
    <font>
      <color theme="1"/>
      <name val="Arial"/>
      <scheme val="minor"/>
    </font>
    <font>
      <sz val="12.0"/>
      <color theme="1"/>
      <name val="Arial"/>
    </font>
    <font>
      <b/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81D41A"/>
        <bgColor rgb="FF81D41A"/>
      </patternFill>
    </fill>
    <fill>
      <patternFill patternType="solid">
        <fgColor rgb="FFFFFFFF"/>
        <bgColor rgb="FFFFFFFF"/>
      </patternFill>
    </fill>
    <fill>
      <patternFill patternType="solid">
        <fgColor rgb="FFFFFF6D"/>
        <bgColor rgb="FFFFFF6D"/>
      </patternFill>
    </fill>
    <fill>
      <patternFill patternType="solid">
        <fgColor rgb="FF5983B0"/>
        <bgColor rgb="FF5983B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shrinkToFit="0" vertical="bottom" wrapText="1"/>
    </xf>
    <xf borderId="2" fillId="3" fontId="1" numFmtId="0" xfId="0" applyAlignment="1" applyBorder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vertical="bottom"/>
    </xf>
    <xf borderId="1" fillId="3" fontId="1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2" fillId="0" fontId="1" numFmtId="0" xfId="0" applyAlignment="1" applyBorder="1" applyFont="1">
      <alignment shrinkToFit="0" vertical="bottom" wrapText="0"/>
    </xf>
    <xf borderId="0" fillId="0" fontId="2" numFmtId="0" xfId="0" applyFont="1"/>
    <xf borderId="1" fillId="4" fontId="1" numFmtId="0" xfId="0" applyAlignment="1" applyBorder="1" applyFill="1" applyFont="1">
      <alignment shrinkToFit="0" vertical="bottom" wrapText="0"/>
    </xf>
    <xf borderId="1" fillId="4" fontId="1" numFmtId="0" xfId="0" applyAlignment="1" applyBorder="1" applyFont="1">
      <alignment readingOrder="0" shrinkToFit="0" vertical="bottom" wrapText="0"/>
    </xf>
    <xf borderId="0" fillId="0" fontId="5" numFmtId="0" xfId="0" applyFont="1"/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1"/>
    </xf>
    <xf borderId="1" fillId="5" fontId="1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7.75"/>
    <col customWidth="1" min="2" max="2" width="33.5"/>
    <col customWidth="1" min="3" max="3" width="46.38"/>
    <col customWidth="1" min="4" max="6" width="46.13"/>
    <col customWidth="1" min="7" max="8" width="11.88"/>
    <col customWidth="1" min="9" max="9" width="26.63"/>
    <col customWidth="1" min="10" max="10" width="11.88"/>
    <col customWidth="1" min="11" max="11" width="20.25"/>
    <col customWidth="1" min="12" max="28" width="11.88"/>
  </cols>
  <sheetData>
    <row r="1" ht="12.7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2.75" customHeight="1">
      <c r="A2" s="5"/>
      <c r="B2" s="5"/>
      <c r="C2" s="5"/>
      <c r="D2" s="6"/>
      <c r="E2" s="7"/>
      <c r="F2" s="7"/>
      <c r="G2" s="5"/>
      <c r="H2" s="5"/>
      <c r="I2" s="5"/>
      <c r="J2" s="5"/>
      <c r="K2" s="5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ht="12.75" customHeight="1">
      <c r="A3" s="9"/>
      <c r="B3" s="9"/>
      <c r="C3" s="9"/>
      <c r="D3" s="6"/>
      <c r="E3" s="7"/>
      <c r="F3" s="7"/>
      <c r="G3" s="10"/>
      <c r="H3" s="10"/>
      <c r="I3" s="9"/>
      <c r="J3" s="11"/>
      <c r="K3" s="11"/>
    </row>
    <row r="4" ht="12.75" customHeight="1">
      <c r="A4" s="9"/>
      <c r="B4" s="9"/>
      <c r="C4" s="9"/>
      <c r="D4" s="6"/>
      <c r="E4" s="7"/>
      <c r="F4" s="7"/>
      <c r="G4" s="10"/>
      <c r="H4" s="10"/>
      <c r="I4" s="9"/>
      <c r="J4" s="11"/>
      <c r="K4" s="11"/>
    </row>
    <row r="5" ht="12.75" customHeight="1">
      <c r="D5" s="6"/>
      <c r="E5" s="7"/>
      <c r="F5" s="7"/>
    </row>
    <row r="6" ht="12.75" customHeight="1">
      <c r="A6" s="12" t="s">
        <v>11</v>
      </c>
      <c r="B6" s="12" t="s">
        <v>12</v>
      </c>
      <c r="C6" s="2" t="s">
        <v>13</v>
      </c>
      <c r="D6" s="2" t="s">
        <v>14</v>
      </c>
      <c r="E6" s="3" t="s">
        <v>15</v>
      </c>
      <c r="F6" s="3" t="str">
        <f>IFERROR(__xludf.DUMMYFUNCTION("GOOGLETRANSLATE(C6,""en"",""or"")"),"ଏହି ଚାଷ ଜମି ପାଇଁ ଆପଣଙ୍କର ପୂର୍ବ ଅଭିଜ୍ଞତା ଏବଂ ପର୍ଯ୍ୟବେକ୍ଷଣ ଅନୁସାରେ ମତାମତ ଫର୍ମ ପୂରଣ କରନ୍ତୁ।")</f>
        <v>ଏହି ଚାଷ ଜମି ପାଇଁ ଆପଣଙ୍କର ପୂର୍ବ ଅଭିଜ୍ଞତା ଏବଂ ପର୍ଯ୍ୟବେକ୍ଷଣ ଅନୁସାରେ ମତାମତ ଫର୍ମ ପୂରଣ କରନ୍ତୁ।</v>
      </c>
    </row>
    <row r="7" ht="12.75" customHeight="1">
      <c r="D7" s="6"/>
      <c r="E7" s="7"/>
      <c r="F7" s="3"/>
    </row>
    <row r="8" ht="12.75" customHeight="1">
      <c r="A8" s="12" t="s">
        <v>16</v>
      </c>
      <c r="B8" s="12" t="s">
        <v>17</v>
      </c>
      <c r="C8" s="2" t="s">
        <v>18</v>
      </c>
      <c r="D8" s="2" t="s">
        <v>19</v>
      </c>
      <c r="E8" s="3" t="s">
        <v>20</v>
      </c>
      <c r="F8" s="3" t="str">
        <f>IFERROR(__xludf.DUMMYFUNCTION("GOOGLETRANSLATE(C8,""en"",""or"")"),"ଏହା କ’ଣ ଏକ କ୍ରପ୍ ପିକ୍ସେଲ?
")</f>
        <v>ଏହା କ’ଣ ଏକ କ୍ରପ୍ ପିକ୍ସେଲ?
</v>
      </c>
    </row>
    <row r="9" ht="12.75" customHeight="1">
      <c r="D9" s="6"/>
      <c r="E9" s="7"/>
      <c r="F9" s="3"/>
    </row>
    <row r="10" ht="12.75" customHeight="1">
      <c r="A10" s="12" t="s">
        <v>21</v>
      </c>
      <c r="B10" s="12" t="s">
        <v>22</v>
      </c>
      <c r="C10" s="2" t="s">
        <v>23</v>
      </c>
      <c r="D10" s="2" t="s">
        <v>24</v>
      </c>
      <c r="E10" s="3" t="s">
        <v>25</v>
      </c>
      <c r="F10" s="3" t="str">
        <f>IFERROR(__xludf.DUMMYFUNCTION("GOOGLETRANSLATE(C10,""en"",""or"")"),"ଏହି ପିକ୍ସେଲରେ ଭୂମି ବ୍ୟବହାର କେତେ? 
")</f>
        <v>ଏହି ପିକ୍ସେଲରେ ଭୂମି ବ୍ୟବହାର କେତେ? 
</v>
      </c>
      <c r="I10" s="12" t="s">
        <v>26</v>
      </c>
    </row>
    <row r="11" ht="12.75" customHeight="1">
      <c r="D11" s="6"/>
      <c r="E11" s="7"/>
      <c r="F11" s="3"/>
    </row>
    <row r="12" ht="12.75" customHeight="1">
      <c r="A12" s="12" t="s">
        <v>27</v>
      </c>
      <c r="B12" s="12" t="s">
        <v>28</v>
      </c>
      <c r="C12" s="12" t="s">
        <v>29</v>
      </c>
      <c r="D12" s="2" t="s">
        <v>30</v>
      </c>
      <c r="E12" s="3" t="s">
        <v>31</v>
      </c>
      <c r="F12" s="3" t="str">
        <f>IFERROR(__xludf.DUMMYFUNCTION("GOOGLETRANSLATE(C12,""en"",""or"")"),"ଏହି ଗ୍ରୀଡରେ ଖରିଫ ଋତୁରେ ଏପରି ଜମିରେ ମୁଖ୍ୟ ଫସଲ ଭାବରେ ସାଧାରଣତଃ କେଉଁ ବିଭିନ୍ନ ଫସଲ ପଦ୍ଧତି ପ୍ରୟୋଗ କରାଯାଏ?")</f>
        <v>ଏହି ଗ୍ରୀଡରେ ଖରିଫ ଋତୁରେ ଏପରି ଜମିରେ ମୁଖ୍ୟ ଫସଲ ଭାବରେ ସାଧାରଣତଃ କେଉଁ ବିଭିନ୍ନ ଫସଲ ପଦ୍ଧତି ପ୍ରୟୋଗ କରାଯାଏ?</v>
      </c>
      <c r="H12" s="12" t="s">
        <v>32</v>
      </c>
      <c r="I12" s="12" t="s">
        <v>33</v>
      </c>
    </row>
    <row r="13" ht="12.75" customHeight="1">
      <c r="D13" s="6"/>
      <c r="E13" s="7"/>
      <c r="F13" s="3"/>
    </row>
    <row r="14" ht="12.75" customHeight="1">
      <c r="A14" s="12" t="s">
        <v>34</v>
      </c>
      <c r="B14" s="12" t="s">
        <v>35</v>
      </c>
      <c r="C14" s="12" t="s">
        <v>36</v>
      </c>
      <c r="D14" s="2" t="s">
        <v>37</v>
      </c>
      <c r="E14" s="3" t="s">
        <v>38</v>
      </c>
      <c r="F14" s="3" t="str">
        <f>IFERROR(__xludf.DUMMYFUNCTION("GOOGLETRANSLATE(C14,""en"",""or"")"),"ଏହି ଗ୍ରୀଡରେ ରବି ଋତୁରେ ଏପରି ଜମିରେ ମୁଖ୍ୟ ଫସଲ ଭାବରେ ସାଧାରଣତଃ କେଉଁ ବିଭିନ୍ନ ଫସଲ ପଦ୍ଧତି ପ୍ରୟୋଗ କରାଯାଏ?")</f>
        <v>ଏହି ଗ୍ରୀଡରେ ରବି ଋତୁରେ ଏପରି ଜମିରେ ମୁଖ୍ୟ ଫସଲ ଭାବରେ ସାଧାରଣତଃ କେଉଁ ବିଭିନ୍ନ ଫସଲ ପଦ୍ଧତି ପ୍ରୟୋଗ କରାଯାଏ?</v>
      </c>
      <c r="H14" s="12" t="s">
        <v>32</v>
      </c>
      <c r="I14" s="12" t="s">
        <v>33</v>
      </c>
    </row>
    <row r="15" ht="12.75" customHeight="1">
      <c r="D15" s="6"/>
      <c r="E15" s="7"/>
      <c r="F15" s="3"/>
    </row>
    <row r="16" ht="12.75" customHeight="1">
      <c r="A16" s="12" t="s">
        <v>39</v>
      </c>
      <c r="B16" s="12" t="s">
        <v>40</v>
      </c>
      <c r="C16" s="2" t="s">
        <v>41</v>
      </c>
      <c r="D16" s="2" t="s">
        <v>42</v>
      </c>
      <c r="E16" s="3" t="s">
        <v>43</v>
      </c>
      <c r="F16" s="3" t="str">
        <f>IFERROR(__xludf.DUMMYFUNCTION("GOOGLETRANSLATE(C16,""en"",""or"")"),"ଏହି ଗ୍ରୀଡରେ ଜାଏଦ ଋତୁରେ ଏପରି ଜମିରେ ମୁଖ୍ୟ ଫସଲ ଭାବରେ ସାଧାରଣତଃ କେଉଁ ବିଭିନ୍ନ ଫସଲ ପଦ୍ଧତି ପ୍ରୟୋଗ କରାଯାଏ?
")</f>
        <v>ଏହି ଗ୍ରୀଡରେ ଜାଏଦ ଋତୁରେ ଏପରି ଜମିରେ ମୁଖ୍ୟ ଫସଲ ଭାବରେ ସାଧାରଣତଃ କେଉଁ ବିଭିନ୍ନ ଫସଲ ପଦ୍ଧତି ପ୍ରୟୋଗ କରାଯାଏ?
</v>
      </c>
      <c r="I16" s="12" t="s">
        <v>33</v>
      </c>
    </row>
    <row r="17" ht="12.75" customHeight="1">
      <c r="D17" s="6"/>
      <c r="E17" s="7"/>
      <c r="F17" s="3"/>
    </row>
    <row r="18" ht="12.75" customHeight="1">
      <c r="A18" s="12" t="s">
        <v>44</v>
      </c>
      <c r="B18" s="12" t="s">
        <v>45</v>
      </c>
      <c r="C18" s="2" t="s">
        <v>46</v>
      </c>
      <c r="D18" s="2" t="s">
        <v>47</v>
      </c>
      <c r="E18" s="3" t="s">
        <v>48</v>
      </c>
      <c r="F18" s="3" t="str">
        <f>IFERROR(__xludf.DUMMYFUNCTION("GOOGLETRANSLATE(C18,""en"",""or"")"),"ଏହି ଚାଷ ଜମିରେ ବର୍ଷକୁ କେତେ ଫସଲ ଚକ୍ର ଅନୁସରଣ କରାଯାଏ 
")</f>
        <v>ଏହି ଚାଷ ଜମିରେ ବର୍ଷକୁ କେତେ ଫସଲ ଚକ୍ର ଅନୁସରଣ କରାଯାଏ 
</v>
      </c>
    </row>
    <row r="19" ht="12.75" customHeight="1">
      <c r="A19" s="12" t="s">
        <v>49</v>
      </c>
      <c r="B19" s="12" t="s">
        <v>50</v>
      </c>
      <c r="C19" s="2" t="s">
        <v>51</v>
      </c>
      <c r="D19" s="2" t="s">
        <v>52</v>
      </c>
      <c r="E19" s="3" t="s">
        <v>53</v>
      </c>
      <c r="F19" s="3" t="str">
        <f>IFERROR(__xludf.DUMMYFUNCTION("GOOGLETRANSLATE(C19,""en"",""or"")"),"ଏହି ଚାଷ ଜମି କ’ଣ ମୁଖ୍ୟତଃ 
")</f>
        <v>ଏହି ଚାଷ ଜମି କ’ଣ ମୁଖ୍ୟତଃ 
</v>
      </c>
    </row>
    <row r="20" ht="12.75" customHeight="1">
      <c r="D20" s="6"/>
      <c r="E20" s="7"/>
      <c r="F20" s="3"/>
    </row>
    <row r="21" ht="12.75" customHeight="1">
      <c r="A21" s="12" t="s">
        <v>54</v>
      </c>
      <c r="B21" s="12" t="s">
        <v>55</v>
      </c>
      <c r="C21" s="12" t="s">
        <v>56</v>
      </c>
      <c r="D21" s="2" t="s">
        <v>57</v>
      </c>
      <c r="E21" s="3" t="s">
        <v>58</v>
      </c>
      <c r="F21" s="3" t="str">
        <f>IFERROR(__xludf.DUMMYFUNCTION("GOOGLETRANSLATE(C21,""en"",""or"")"),"ଏହି ଚାଷ ଜମିରେ କେଉଁ ପ୍ରକାରର ସାର ବ୍ୟବହାର କରାଯାଏ?")</f>
        <v>ଏହି ଚାଷ ଜମିରେ କେଉଁ ପ୍ରକାରର ସାର ବ୍ୟବହାର କରାଯାଏ?</v>
      </c>
    </row>
    <row r="22" ht="12.75" customHeight="1">
      <c r="D22" s="6"/>
      <c r="E22" s="7"/>
      <c r="F22" s="3"/>
    </row>
    <row r="23" ht="12.75" customHeight="1">
      <c r="A23" s="12" t="s">
        <v>59</v>
      </c>
      <c r="B23" s="12" t="s">
        <v>60</v>
      </c>
      <c r="C23" s="2" t="s">
        <v>61</v>
      </c>
      <c r="D23" s="2" t="s">
        <v>62</v>
      </c>
      <c r="E23" s="3" t="s">
        <v>63</v>
      </c>
      <c r="F23" s="3" t="str">
        <f>IFERROR(__xludf.DUMMYFUNCTION("GOOGLETRANSLATE(C23,""en"",""or"")"),"ଗତ ପାଞ୍ଚ ବର୍ଷ ମଧ୍ୟରେ ଫସଲ ଉତ୍ପାଦନ (ହେକ୍ଟର ପ୍ରତି କ୍ୱିଣ୍ଟାଲରେ) ପରିବର୍ତ୍ତନ ହୋଇଛି କି?
")</f>
        <v>ଗତ ପାଞ୍ଚ ବର୍ଷ ମଧ୍ୟରେ ଫସଲ ଉତ୍ପାଦନ (ହେକ୍ଟର ପ୍ରତି କ୍ୱିଣ୍ଟାଲରେ) ପରିବର୍ତ୍ତନ ହୋଇଛି କି?
</v>
      </c>
    </row>
    <row r="24" ht="12.75" customHeight="1">
      <c r="A24" s="12" t="s">
        <v>64</v>
      </c>
      <c r="B24" s="12" t="s">
        <v>65</v>
      </c>
      <c r="C24" s="2" t="s">
        <v>66</v>
      </c>
      <c r="D24" s="2" t="s">
        <v>67</v>
      </c>
      <c r="E24" s="3" t="s">
        <v>68</v>
      </c>
      <c r="F24" s="3" t="str">
        <f>IFERROR(__xludf.DUMMYFUNCTION("GOOGLETRANSLATE(C24,""en"",""or"")"),"ଗତ ପାଞ୍ଚ ବର୍ଷ ମଧ୍ୟରେ ଗ୍ରୀଡରେ ଫସଲ ପଦ୍ଧତିରେ କୌଣସି ଉଲ୍ଲେଖନୀୟ ପରିବର୍ତ୍ତନ ହୋଇଛି କି?
")</f>
        <v>ଗତ ପାଞ୍ଚ ବର୍ଷ ମଧ୍ୟରେ ଗ୍ରୀଡରେ ଫସଲ ପଦ୍ଧତିରେ କୌଣସି ଉଲ୍ଲେଖନୀୟ ପରିବର୍ତ୍ତନ ହୋଇଛି କି?
</v>
      </c>
    </row>
    <row r="25" ht="12.75" customHeight="1">
      <c r="D25" s="6"/>
      <c r="E25" s="7"/>
      <c r="F25" s="3"/>
    </row>
    <row r="26" ht="12.75" customHeight="1">
      <c r="D26" s="6"/>
      <c r="E26" s="7"/>
      <c r="F26" s="3"/>
    </row>
    <row r="27" ht="12.75" customHeight="1">
      <c r="A27" s="12" t="s">
        <v>69</v>
      </c>
      <c r="B27" s="12" t="s">
        <v>70</v>
      </c>
      <c r="C27" s="12" t="s">
        <v>71</v>
      </c>
      <c r="D27" s="2" t="s">
        <v>72</v>
      </c>
      <c r="E27" s="3" t="s">
        <v>73</v>
      </c>
      <c r="F27" s="3" t="str">
        <f>IFERROR(__xludf.DUMMYFUNCTION("GOOGLETRANSLATE(C27,""en"",""or"")"),"ଏହି ବର୍ଷଗୁଡ଼ିକ ମଧ୍ୟରୁ କେଉଁ ବର୍ଷଗୁଡ଼ିକ କମ୍ ବର୍ଷା ବର୍ଷ ଥିଲା?")</f>
        <v>ଏହି ବର୍ଷଗୁଡ଼ିକ ମଧ୍ୟରୁ କେଉଁ ବର୍ଷଗୁଡ଼ିକ କମ୍ ବର୍ଷା ବର୍ଷ ଥିଲା?</v>
      </c>
    </row>
    <row r="28" ht="12.75" customHeight="1">
      <c r="D28" s="6"/>
      <c r="E28" s="7"/>
      <c r="F28" s="3"/>
    </row>
    <row r="29" ht="12.75" customHeight="1">
      <c r="A29" s="12" t="s">
        <v>74</v>
      </c>
      <c r="B29" s="12" t="s">
        <v>75</v>
      </c>
      <c r="C29" s="2" t="s">
        <v>76</v>
      </c>
      <c r="D29" s="2" t="s">
        <v>77</v>
      </c>
      <c r="E29" s="3" t="s">
        <v>78</v>
      </c>
      <c r="F29" s="3" t="str">
        <f>IFERROR(__xludf.DUMMYFUNCTION("GOOGLETRANSLATE(C29,""en"",""or"")"),"ଆପଣଙ୍କ ଅଞ୍ଚଳରେ ସାମ୍ପ୍ରତିକ ମରୁଡ଼ି କେତେ ସପ୍ତାହ ଧରି ରହିଥିଲା?
")</f>
        <v>ଆପଣଙ୍କ ଅଞ୍ଚଳରେ ସାମ୍ପ୍ରତିକ ମରୁଡ଼ି କେତେ ସପ୍ତାହ ଧରି ରହିଥିଲା?
</v>
      </c>
    </row>
    <row r="30" ht="12.75" customHeight="1">
      <c r="A30" s="12" t="s">
        <v>79</v>
      </c>
      <c r="B30" s="6" t="s">
        <v>80</v>
      </c>
      <c r="C30" s="2" t="s">
        <v>81</v>
      </c>
      <c r="D30" s="2" t="s">
        <v>82</v>
      </c>
      <c r="E30" s="3" t="s">
        <v>83</v>
      </c>
      <c r="F30" s="3" t="str">
        <f>IFERROR(__xludf.DUMMYFUNCTION("GOOGLETRANSLATE(C30,""en"",""or"")"),"ସାମ୍ପ୍ରତିକ ମରୁଡ଼ି ସମୟରେ ସମ୍ପ୍ରଦାୟର ମୋଟ ଫସଲ ଉତ୍ପାଦନର କେତେ ପ୍ରତିଶତ ବିଫଳ ହୋଇଛି?
")</f>
        <v>ସାମ୍ପ୍ରତିକ ମରୁଡ଼ି ସମୟରେ ସମ୍ପ୍ରଦାୟର ମୋଟ ଫସଲ ଉତ୍ପାଦନର କେତେ ପ୍ରତିଶତ ବିଫଳ ହୋଇଛି?
</v>
      </c>
    </row>
    <row r="31" ht="12.75" customHeight="1">
      <c r="D31" s="6"/>
      <c r="E31" s="7"/>
      <c r="F31" s="7"/>
    </row>
    <row r="32" ht="12.75" customHeight="1">
      <c r="A32" s="12" t="s">
        <v>84</v>
      </c>
      <c r="D32" s="6"/>
      <c r="E32" s="7"/>
      <c r="F32" s="7"/>
    </row>
    <row r="33" ht="12.75" customHeight="1">
      <c r="D33" s="6"/>
      <c r="E33" s="7"/>
      <c r="F33" s="7"/>
    </row>
    <row r="34" ht="12.75" customHeight="1">
      <c r="D34" s="6"/>
      <c r="E34" s="7"/>
      <c r="F34" s="7"/>
    </row>
    <row r="35" ht="12.75" customHeight="1">
      <c r="D35" s="6"/>
      <c r="E35" s="7"/>
      <c r="F35" s="7"/>
    </row>
    <row r="36" ht="12.75" customHeight="1">
      <c r="D36" s="6"/>
      <c r="E36" s="7"/>
      <c r="F36" s="7"/>
    </row>
    <row r="37" ht="12.75" customHeight="1">
      <c r="D37" s="6"/>
      <c r="E37" s="7"/>
      <c r="F37" s="7"/>
    </row>
    <row r="38" ht="12.75" customHeight="1">
      <c r="D38" s="6"/>
      <c r="E38" s="7"/>
      <c r="F38" s="7"/>
    </row>
    <row r="39" ht="12.75" customHeight="1">
      <c r="D39" s="6"/>
      <c r="E39" s="7"/>
      <c r="F39" s="7"/>
    </row>
    <row r="40" ht="12.75" customHeight="1">
      <c r="D40" s="6"/>
      <c r="E40" s="7"/>
      <c r="F40" s="7"/>
    </row>
    <row r="41" ht="12.75" customHeight="1">
      <c r="D41" s="6"/>
      <c r="E41" s="7"/>
      <c r="F41" s="7"/>
    </row>
    <row r="42" ht="12.75" customHeight="1">
      <c r="D42" s="6"/>
      <c r="E42" s="7"/>
      <c r="F42" s="7"/>
    </row>
    <row r="43" ht="12.75" customHeight="1">
      <c r="D43" s="6"/>
      <c r="E43" s="7"/>
      <c r="F43" s="7"/>
    </row>
    <row r="44" ht="12.75" customHeight="1">
      <c r="D44" s="6"/>
      <c r="E44" s="7"/>
      <c r="F44" s="7"/>
    </row>
    <row r="45" ht="12.75" customHeight="1">
      <c r="D45" s="6"/>
      <c r="E45" s="7"/>
      <c r="F45" s="7"/>
    </row>
    <row r="46" ht="12.75" customHeight="1">
      <c r="D46" s="6"/>
      <c r="E46" s="7"/>
      <c r="F46" s="7"/>
    </row>
    <row r="47" ht="12.75" customHeight="1">
      <c r="D47" s="6"/>
      <c r="E47" s="7"/>
      <c r="F47" s="7"/>
    </row>
    <row r="48" ht="12.75" customHeight="1">
      <c r="D48" s="6"/>
      <c r="E48" s="7"/>
      <c r="F48" s="7"/>
    </row>
    <row r="49" ht="12.75" customHeight="1">
      <c r="D49" s="6"/>
      <c r="E49" s="7"/>
      <c r="F49" s="7"/>
    </row>
    <row r="50" ht="12.75" customHeight="1">
      <c r="D50" s="6"/>
      <c r="E50" s="7"/>
      <c r="F50" s="7"/>
    </row>
    <row r="51" ht="12.75" customHeight="1">
      <c r="D51" s="6"/>
      <c r="E51" s="7"/>
      <c r="F51" s="7"/>
    </row>
    <row r="52" ht="12.75" customHeight="1">
      <c r="D52" s="6"/>
      <c r="E52" s="7"/>
      <c r="F52" s="7"/>
    </row>
    <row r="53" ht="12.75" customHeight="1">
      <c r="D53" s="6"/>
      <c r="E53" s="7"/>
      <c r="F53" s="7"/>
    </row>
    <row r="54" ht="12.75" customHeight="1">
      <c r="D54" s="6"/>
      <c r="E54" s="7"/>
      <c r="F54" s="7"/>
    </row>
    <row r="55" ht="12.75" customHeight="1">
      <c r="D55" s="6"/>
      <c r="E55" s="7"/>
      <c r="F55" s="7"/>
    </row>
    <row r="56" ht="12.75" customHeight="1">
      <c r="D56" s="6"/>
      <c r="E56" s="7"/>
      <c r="F56" s="7"/>
    </row>
    <row r="57" ht="12.75" customHeight="1">
      <c r="D57" s="6"/>
      <c r="E57" s="7"/>
      <c r="F57" s="7"/>
    </row>
    <row r="58" ht="12.75" customHeight="1">
      <c r="D58" s="6"/>
      <c r="E58" s="7"/>
      <c r="F58" s="7"/>
    </row>
    <row r="59" ht="12.75" customHeight="1">
      <c r="D59" s="6"/>
      <c r="E59" s="7"/>
      <c r="F59" s="7"/>
    </row>
    <row r="60" ht="12.75" customHeight="1">
      <c r="D60" s="6"/>
      <c r="E60" s="7"/>
      <c r="F60" s="7"/>
    </row>
    <row r="61" ht="12.75" customHeight="1">
      <c r="D61" s="6"/>
      <c r="E61" s="7"/>
      <c r="F61" s="7"/>
    </row>
    <row r="62" ht="12.75" customHeight="1">
      <c r="D62" s="6"/>
      <c r="E62" s="7"/>
      <c r="F62" s="7"/>
    </row>
    <row r="63" ht="12.75" customHeight="1">
      <c r="D63" s="6"/>
      <c r="E63" s="7"/>
      <c r="F63" s="7"/>
    </row>
    <row r="64" ht="12.75" customHeight="1">
      <c r="D64" s="6"/>
      <c r="E64" s="7"/>
      <c r="F64" s="7"/>
    </row>
    <row r="65" ht="12.75" customHeight="1">
      <c r="D65" s="6"/>
      <c r="E65" s="7"/>
      <c r="F65" s="7"/>
    </row>
    <row r="66" ht="12.75" customHeight="1">
      <c r="D66" s="6"/>
      <c r="E66" s="7"/>
      <c r="F66" s="7"/>
    </row>
    <row r="67" ht="12.75" customHeight="1">
      <c r="D67" s="6"/>
      <c r="E67" s="7"/>
      <c r="F67" s="7"/>
    </row>
    <row r="68" ht="12.75" customHeight="1">
      <c r="D68" s="6"/>
      <c r="E68" s="7"/>
      <c r="F68" s="7"/>
    </row>
    <row r="69" ht="12.75" customHeight="1">
      <c r="D69" s="6"/>
      <c r="E69" s="7"/>
      <c r="F69" s="7"/>
    </row>
    <row r="70" ht="12.75" customHeight="1">
      <c r="D70" s="6"/>
      <c r="E70" s="7"/>
      <c r="F70" s="7"/>
    </row>
    <row r="71" ht="12.75" customHeight="1">
      <c r="D71" s="6"/>
      <c r="E71" s="7"/>
      <c r="F71" s="7"/>
    </row>
    <row r="72" ht="12.75" customHeight="1">
      <c r="D72" s="6"/>
      <c r="E72" s="7"/>
      <c r="F72" s="7"/>
    </row>
    <row r="73" ht="12.75" customHeight="1">
      <c r="D73" s="6"/>
      <c r="E73" s="7"/>
      <c r="F73" s="7"/>
    </row>
    <row r="74" ht="12.75" customHeight="1">
      <c r="D74" s="6"/>
      <c r="E74" s="7"/>
      <c r="F74" s="7"/>
    </row>
    <row r="75" ht="12.75" customHeight="1">
      <c r="D75" s="6"/>
      <c r="E75" s="7"/>
      <c r="F75" s="7"/>
    </row>
    <row r="76" ht="12.75" customHeight="1">
      <c r="D76" s="6"/>
      <c r="E76" s="7"/>
      <c r="F76" s="7"/>
    </row>
    <row r="77" ht="12.75" customHeight="1">
      <c r="D77" s="6"/>
      <c r="E77" s="7"/>
      <c r="F77" s="7"/>
    </row>
    <row r="78" ht="12.75" customHeight="1">
      <c r="D78" s="6"/>
      <c r="E78" s="7"/>
      <c r="F78" s="7"/>
    </row>
    <row r="79" ht="12.75" customHeight="1">
      <c r="D79" s="6"/>
      <c r="E79" s="7"/>
      <c r="F79" s="7"/>
    </row>
    <row r="80" ht="12.75" customHeight="1">
      <c r="D80" s="6"/>
      <c r="E80" s="7"/>
      <c r="F80" s="7"/>
    </row>
    <row r="81" ht="12.75" customHeight="1">
      <c r="D81" s="6"/>
      <c r="E81" s="7"/>
      <c r="F81" s="7"/>
    </row>
    <row r="82" ht="12.75" customHeight="1">
      <c r="D82" s="6"/>
      <c r="E82" s="7"/>
      <c r="F82" s="7"/>
    </row>
    <row r="83" ht="12.75" customHeight="1">
      <c r="D83" s="6"/>
      <c r="E83" s="7"/>
      <c r="F83" s="7"/>
    </row>
    <row r="84" ht="12.75" customHeight="1">
      <c r="D84" s="6"/>
      <c r="E84" s="7"/>
      <c r="F84" s="7"/>
    </row>
    <row r="85" ht="12.75" customHeight="1">
      <c r="D85" s="6"/>
      <c r="E85" s="7"/>
      <c r="F85" s="7"/>
    </row>
    <row r="86" ht="12.75" customHeight="1">
      <c r="D86" s="6"/>
      <c r="E86" s="7"/>
      <c r="F86" s="7"/>
    </row>
    <row r="87" ht="12.75" customHeight="1">
      <c r="D87" s="6"/>
      <c r="E87" s="7"/>
      <c r="F87" s="7"/>
    </row>
    <row r="88" ht="12.75" customHeight="1">
      <c r="D88" s="6"/>
      <c r="E88" s="7"/>
      <c r="F88" s="7"/>
    </row>
    <row r="89" ht="12.75" customHeight="1">
      <c r="D89" s="6"/>
      <c r="E89" s="7"/>
      <c r="F89" s="7"/>
    </row>
    <row r="90" ht="12.75" customHeight="1">
      <c r="D90" s="6"/>
      <c r="E90" s="7"/>
      <c r="F90" s="7"/>
    </row>
    <row r="91" ht="12.75" customHeight="1">
      <c r="D91" s="6"/>
      <c r="E91" s="7"/>
      <c r="F91" s="7"/>
    </row>
    <row r="92" ht="12.75" customHeight="1">
      <c r="D92" s="6"/>
      <c r="E92" s="7"/>
      <c r="F92" s="7"/>
    </row>
    <row r="93" ht="12.75" customHeight="1">
      <c r="D93" s="6"/>
      <c r="E93" s="7"/>
      <c r="F93" s="7"/>
    </row>
    <row r="94" ht="12.75" customHeight="1">
      <c r="D94" s="6"/>
      <c r="E94" s="7"/>
      <c r="F94" s="7"/>
    </row>
    <row r="95" ht="12.75" customHeight="1">
      <c r="D95" s="6"/>
      <c r="E95" s="7"/>
      <c r="F95" s="7"/>
    </row>
    <row r="96" ht="12.75" customHeight="1">
      <c r="D96" s="6"/>
      <c r="E96" s="7"/>
      <c r="F96" s="7"/>
    </row>
    <row r="97" ht="12.75" customHeight="1">
      <c r="D97" s="6"/>
      <c r="E97" s="7"/>
      <c r="F97" s="7"/>
    </row>
    <row r="98" ht="12.75" customHeight="1">
      <c r="D98" s="6"/>
      <c r="E98" s="7"/>
      <c r="F98" s="7"/>
    </row>
    <row r="99" ht="12.75" customHeight="1">
      <c r="D99" s="6"/>
      <c r="E99" s="7"/>
      <c r="F99" s="7"/>
    </row>
    <row r="100" ht="12.75" customHeight="1">
      <c r="D100" s="6"/>
      <c r="E100" s="7"/>
      <c r="F100" s="7"/>
    </row>
    <row r="101" ht="12.75" customHeight="1">
      <c r="D101" s="6"/>
      <c r="E101" s="7"/>
      <c r="F101" s="7"/>
    </row>
    <row r="102" ht="12.75" customHeight="1">
      <c r="D102" s="6"/>
      <c r="E102" s="7"/>
      <c r="F102" s="7"/>
    </row>
    <row r="103" ht="12.75" customHeight="1">
      <c r="D103" s="6"/>
      <c r="E103" s="7"/>
      <c r="F103" s="7"/>
    </row>
    <row r="104" ht="12.75" customHeight="1">
      <c r="D104" s="6"/>
      <c r="E104" s="7"/>
      <c r="F104" s="7"/>
    </row>
    <row r="105" ht="12.75" customHeight="1">
      <c r="D105" s="6"/>
      <c r="E105" s="7"/>
      <c r="F105" s="7"/>
    </row>
    <row r="106" ht="12.75" customHeight="1">
      <c r="D106" s="6"/>
      <c r="E106" s="7"/>
      <c r="F106" s="7"/>
    </row>
    <row r="107" ht="12.75" customHeight="1">
      <c r="D107" s="6"/>
      <c r="E107" s="7"/>
      <c r="F107" s="7"/>
    </row>
    <row r="108" ht="12.75" customHeight="1">
      <c r="D108" s="6"/>
      <c r="E108" s="7"/>
      <c r="F108" s="7"/>
    </row>
    <row r="109" ht="12.75" customHeight="1">
      <c r="D109" s="6"/>
      <c r="E109" s="7"/>
      <c r="F109" s="7"/>
    </row>
    <row r="110" ht="12.75" customHeight="1">
      <c r="D110" s="6"/>
      <c r="E110" s="7"/>
      <c r="F110" s="7"/>
    </row>
    <row r="111" ht="12.75" customHeight="1">
      <c r="D111" s="6"/>
      <c r="E111" s="7"/>
      <c r="F111" s="7"/>
    </row>
    <row r="112" ht="12.75" customHeight="1">
      <c r="D112" s="6"/>
      <c r="E112" s="7"/>
      <c r="F112" s="7"/>
    </row>
    <row r="113" ht="12.75" customHeight="1">
      <c r="D113" s="6"/>
      <c r="E113" s="7"/>
      <c r="F113" s="7"/>
    </row>
    <row r="114" ht="12.75" customHeight="1">
      <c r="D114" s="6"/>
      <c r="E114" s="7"/>
      <c r="F114" s="7"/>
    </row>
    <row r="115" ht="12.75" customHeight="1">
      <c r="D115" s="6"/>
      <c r="E115" s="7"/>
      <c r="F115" s="7"/>
    </row>
    <row r="116" ht="12.75" customHeight="1">
      <c r="D116" s="6"/>
      <c r="E116" s="7"/>
      <c r="F116" s="7"/>
    </row>
    <row r="117" ht="12.75" customHeight="1">
      <c r="D117" s="6"/>
      <c r="E117" s="7"/>
      <c r="F117" s="7"/>
    </row>
    <row r="118" ht="12.75" customHeight="1">
      <c r="D118" s="6"/>
      <c r="E118" s="7"/>
      <c r="F118" s="7"/>
    </row>
    <row r="119" ht="12.75" customHeight="1">
      <c r="D119" s="6"/>
      <c r="E119" s="7"/>
      <c r="F119" s="7"/>
    </row>
    <row r="120" ht="12.75" customHeight="1">
      <c r="D120" s="6"/>
      <c r="E120" s="7"/>
      <c r="F120" s="7"/>
    </row>
    <row r="121" ht="12.75" customHeight="1">
      <c r="D121" s="6"/>
      <c r="E121" s="7"/>
      <c r="F121" s="7"/>
    </row>
    <row r="122" ht="12.75" customHeight="1">
      <c r="D122" s="6"/>
      <c r="E122" s="7"/>
      <c r="F122" s="7"/>
    </row>
    <row r="123" ht="12.75" customHeight="1">
      <c r="D123" s="6"/>
      <c r="E123" s="7"/>
      <c r="F123" s="7"/>
    </row>
    <row r="124" ht="12.75" customHeight="1">
      <c r="D124" s="6"/>
      <c r="E124" s="7"/>
      <c r="F124" s="7"/>
    </row>
    <row r="125" ht="12.75" customHeight="1">
      <c r="D125" s="6"/>
      <c r="E125" s="7"/>
      <c r="F125" s="7"/>
    </row>
    <row r="126" ht="12.75" customHeight="1">
      <c r="D126" s="6"/>
      <c r="E126" s="7"/>
      <c r="F126" s="7"/>
    </row>
    <row r="127" ht="12.75" customHeight="1">
      <c r="D127" s="6"/>
      <c r="E127" s="7"/>
      <c r="F127" s="7"/>
    </row>
    <row r="128" ht="12.75" customHeight="1">
      <c r="D128" s="6"/>
      <c r="E128" s="7"/>
      <c r="F128" s="7"/>
    </row>
    <row r="129" ht="12.75" customHeight="1">
      <c r="D129" s="6"/>
      <c r="E129" s="7"/>
      <c r="F129" s="7"/>
    </row>
    <row r="130" ht="12.75" customHeight="1">
      <c r="D130" s="6"/>
      <c r="E130" s="7"/>
      <c r="F130" s="7"/>
    </row>
    <row r="131" ht="12.75" customHeight="1">
      <c r="D131" s="6"/>
      <c r="E131" s="7"/>
      <c r="F131" s="7"/>
    </row>
    <row r="132" ht="12.75" customHeight="1">
      <c r="D132" s="6"/>
      <c r="E132" s="7"/>
      <c r="F132" s="7"/>
    </row>
    <row r="133" ht="12.75" customHeight="1">
      <c r="D133" s="6"/>
      <c r="E133" s="7"/>
      <c r="F133" s="7"/>
    </row>
    <row r="134" ht="12.75" customHeight="1">
      <c r="D134" s="6"/>
      <c r="E134" s="7"/>
      <c r="F134" s="7"/>
    </row>
    <row r="135" ht="12.75" customHeight="1">
      <c r="D135" s="6"/>
      <c r="E135" s="7"/>
      <c r="F135" s="7"/>
    </row>
    <row r="136" ht="12.75" customHeight="1">
      <c r="D136" s="6"/>
      <c r="E136" s="7"/>
      <c r="F136" s="7"/>
    </row>
    <row r="137" ht="12.75" customHeight="1">
      <c r="D137" s="6"/>
      <c r="E137" s="7"/>
      <c r="F137" s="7"/>
    </row>
    <row r="138" ht="12.75" customHeight="1">
      <c r="D138" s="6"/>
      <c r="E138" s="7"/>
      <c r="F138" s="7"/>
    </row>
    <row r="139" ht="12.75" customHeight="1">
      <c r="D139" s="6"/>
      <c r="E139" s="7"/>
      <c r="F139" s="7"/>
    </row>
    <row r="140" ht="12.75" customHeight="1">
      <c r="D140" s="6"/>
      <c r="E140" s="7"/>
      <c r="F140" s="7"/>
    </row>
    <row r="141" ht="12.75" customHeight="1">
      <c r="D141" s="6"/>
      <c r="E141" s="7"/>
      <c r="F141" s="7"/>
    </row>
    <row r="142" ht="12.75" customHeight="1">
      <c r="D142" s="6"/>
      <c r="E142" s="7"/>
      <c r="F142" s="7"/>
    </row>
    <row r="143" ht="12.75" customHeight="1">
      <c r="D143" s="6"/>
      <c r="E143" s="7"/>
      <c r="F143" s="7"/>
    </row>
    <row r="144" ht="12.75" customHeight="1">
      <c r="D144" s="6"/>
      <c r="E144" s="7"/>
      <c r="F144" s="7"/>
    </row>
    <row r="145" ht="12.75" customHeight="1">
      <c r="D145" s="6"/>
      <c r="E145" s="7"/>
      <c r="F145" s="7"/>
    </row>
    <row r="146" ht="12.75" customHeight="1">
      <c r="D146" s="6"/>
      <c r="E146" s="7"/>
      <c r="F146" s="7"/>
    </row>
    <row r="147" ht="12.75" customHeight="1">
      <c r="D147" s="6"/>
      <c r="E147" s="7"/>
      <c r="F147" s="7"/>
    </row>
    <row r="148" ht="12.75" customHeight="1">
      <c r="D148" s="6"/>
      <c r="E148" s="7"/>
      <c r="F148" s="7"/>
    </row>
    <row r="149" ht="12.75" customHeight="1">
      <c r="D149" s="6"/>
      <c r="E149" s="7"/>
      <c r="F149" s="7"/>
    </row>
    <row r="150" ht="12.75" customHeight="1">
      <c r="D150" s="6"/>
      <c r="E150" s="7"/>
      <c r="F150" s="7"/>
    </row>
    <row r="151" ht="12.75" customHeight="1">
      <c r="D151" s="6"/>
      <c r="E151" s="7"/>
      <c r="F151" s="7"/>
    </row>
    <row r="152" ht="12.75" customHeight="1">
      <c r="D152" s="6"/>
      <c r="E152" s="7"/>
      <c r="F152" s="7"/>
    </row>
    <row r="153" ht="12.75" customHeight="1">
      <c r="D153" s="6"/>
      <c r="E153" s="7"/>
      <c r="F153" s="7"/>
    </row>
    <row r="154" ht="12.75" customHeight="1">
      <c r="D154" s="6"/>
      <c r="E154" s="7"/>
      <c r="F154" s="7"/>
    </row>
    <row r="155" ht="12.75" customHeight="1">
      <c r="D155" s="6"/>
      <c r="E155" s="7"/>
      <c r="F155" s="7"/>
    </row>
    <row r="156" ht="12.75" customHeight="1">
      <c r="D156" s="6"/>
      <c r="E156" s="7"/>
      <c r="F156" s="7"/>
    </row>
    <row r="157" ht="12.75" customHeight="1">
      <c r="D157" s="6"/>
      <c r="E157" s="7"/>
      <c r="F157" s="7"/>
    </row>
    <row r="158" ht="12.75" customHeight="1">
      <c r="D158" s="6"/>
      <c r="E158" s="7"/>
      <c r="F158" s="7"/>
    </row>
    <row r="159" ht="12.75" customHeight="1">
      <c r="D159" s="6"/>
      <c r="E159" s="7"/>
      <c r="F159" s="7"/>
    </row>
    <row r="160" ht="12.75" customHeight="1">
      <c r="D160" s="6"/>
      <c r="E160" s="7"/>
      <c r="F160" s="7"/>
    </row>
    <row r="161" ht="12.75" customHeight="1">
      <c r="D161" s="6"/>
      <c r="E161" s="7"/>
      <c r="F161" s="7"/>
    </row>
    <row r="162" ht="12.75" customHeight="1">
      <c r="D162" s="6"/>
      <c r="E162" s="7"/>
      <c r="F162" s="7"/>
    </row>
    <row r="163" ht="12.75" customHeight="1">
      <c r="D163" s="6"/>
      <c r="E163" s="7"/>
      <c r="F163" s="7"/>
    </row>
    <row r="164" ht="12.75" customHeight="1">
      <c r="D164" s="6"/>
      <c r="E164" s="7"/>
      <c r="F164" s="7"/>
    </row>
    <row r="165" ht="12.75" customHeight="1">
      <c r="D165" s="6"/>
      <c r="E165" s="7"/>
      <c r="F165" s="7"/>
    </row>
    <row r="166" ht="12.75" customHeight="1">
      <c r="D166" s="6"/>
      <c r="E166" s="7"/>
      <c r="F166" s="7"/>
    </row>
    <row r="167" ht="12.75" customHeight="1">
      <c r="D167" s="6"/>
      <c r="E167" s="7"/>
      <c r="F167" s="7"/>
    </row>
    <row r="168" ht="12.75" customHeight="1">
      <c r="D168" s="6"/>
      <c r="E168" s="7"/>
      <c r="F168" s="7"/>
    </row>
    <row r="169" ht="12.75" customHeight="1">
      <c r="D169" s="6"/>
      <c r="E169" s="7"/>
      <c r="F169" s="7"/>
    </row>
    <row r="170" ht="12.75" customHeight="1">
      <c r="D170" s="6"/>
      <c r="E170" s="7"/>
      <c r="F170" s="7"/>
    </row>
    <row r="171" ht="12.75" customHeight="1">
      <c r="D171" s="6"/>
      <c r="E171" s="7"/>
      <c r="F171" s="7"/>
    </row>
    <row r="172" ht="12.75" customHeight="1">
      <c r="D172" s="6"/>
      <c r="E172" s="7"/>
      <c r="F172" s="7"/>
    </row>
    <row r="173" ht="12.75" customHeight="1">
      <c r="D173" s="6"/>
      <c r="E173" s="7"/>
      <c r="F173" s="7"/>
    </row>
    <row r="174" ht="12.75" customHeight="1">
      <c r="D174" s="6"/>
      <c r="E174" s="7"/>
      <c r="F174" s="7"/>
    </row>
    <row r="175" ht="12.75" customHeight="1">
      <c r="D175" s="6"/>
      <c r="E175" s="7"/>
      <c r="F175" s="7"/>
    </row>
    <row r="176" ht="12.75" customHeight="1">
      <c r="D176" s="6"/>
      <c r="E176" s="7"/>
      <c r="F176" s="7"/>
    </row>
    <row r="177" ht="12.75" customHeight="1">
      <c r="D177" s="6"/>
      <c r="E177" s="7"/>
      <c r="F177" s="7"/>
    </row>
    <row r="178" ht="12.75" customHeight="1">
      <c r="D178" s="6"/>
      <c r="E178" s="7"/>
      <c r="F178" s="7"/>
    </row>
    <row r="179" ht="12.75" customHeight="1">
      <c r="D179" s="6"/>
      <c r="E179" s="7"/>
      <c r="F179" s="7"/>
    </row>
    <row r="180" ht="12.75" customHeight="1">
      <c r="D180" s="6"/>
      <c r="E180" s="7"/>
      <c r="F180" s="7"/>
    </row>
    <row r="181" ht="12.75" customHeight="1">
      <c r="D181" s="6"/>
      <c r="E181" s="7"/>
      <c r="F181" s="7"/>
    </row>
    <row r="182" ht="12.75" customHeight="1">
      <c r="D182" s="6"/>
      <c r="E182" s="7"/>
      <c r="F182" s="7"/>
    </row>
    <row r="183" ht="12.75" customHeight="1">
      <c r="D183" s="6"/>
      <c r="E183" s="7"/>
      <c r="F183" s="7"/>
    </row>
    <row r="184" ht="12.75" customHeight="1">
      <c r="D184" s="6"/>
      <c r="E184" s="7"/>
      <c r="F184" s="7"/>
    </row>
    <row r="185" ht="12.75" customHeight="1">
      <c r="D185" s="6"/>
      <c r="E185" s="7"/>
      <c r="F185" s="7"/>
    </row>
    <row r="186" ht="12.75" customHeight="1">
      <c r="D186" s="6"/>
      <c r="E186" s="7"/>
      <c r="F186" s="7"/>
    </row>
    <row r="187" ht="12.75" customHeight="1">
      <c r="D187" s="6"/>
      <c r="E187" s="7"/>
      <c r="F187" s="7"/>
    </row>
    <row r="188" ht="12.75" customHeight="1">
      <c r="D188" s="6"/>
      <c r="E188" s="7"/>
      <c r="F188" s="7"/>
    </row>
    <row r="189" ht="12.75" customHeight="1">
      <c r="D189" s="6"/>
      <c r="E189" s="7"/>
      <c r="F189" s="7"/>
    </row>
    <row r="190" ht="12.75" customHeight="1">
      <c r="D190" s="6"/>
      <c r="E190" s="7"/>
      <c r="F190" s="7"/>
    </row>
    <row r="191" ht="12.75" customHeight="1">
      <c r="D191" s="6"/>
      <c r="E191" s="7"/>
      <c r="F191" s="7"/>
    </row>
    <row r="192" ht="12.75" customHeight="1">
      <c r="D192" s="6"/>
      <c r="E192" s="7"/>
      <c r="F192" s="7"/>
    </row>
    <row r="193" ht="12.75" customHeight="1">
      <c r="D193" s="6"/>
      <c r="E193" s="7"/>
      <c r="F193" s="7"/>
    </row>
    <row r="194" ht="12.75" customHeight="1">
      <c r="D194" s="6"/>
      <c r="E194" s="7"/>
      <c r="F194" s="7"/>
    </row>
    <row r="195" ht="12.75" customHeight="1">
      <c r="D195" s="6"/>
      <c r="E195" s="7"/>
      <c r="F195" s="7"/>
    </row>
    <row r="196" ht="12.75" customHeight="1">
      <c r="D196" s="6"/>
      <c r="E196" s="7"/>
      <c r="F196" s="7"/>
    </row>
    <row r="197" ht="12.75" customHeight="1">
      <c r="D197" s="6"/>
      <c r="E197" s="7"/>
      <c r="F197" s="7"/>
    </row>
    <row r="198" ht="12.75" customHeight="1">
      <c r="D198" s="6"/>
      <c r="E198" s="7"/>
      <c r="F198" s="7"/>
    </row>
    <row r="199" ht="12.75" customHeight="1">
      <c r="D199" s="6"/>
      <c r="E199" s="7"/>
      <c r="F199" s="7"/>
    </row>
    <row r="200" ht="12.75" customHeight="1">
      <c r="D200" s="6"/>
      <c r="E200" s="7"/>
      <c r="F200" s="7"/>
    </row>
    <row r="201" ht="12.75" customHeight="1">
      <c r="D201" s="6"/>
      <c r="E201" s="7"/>
      <c r="F201" s="7"/>
    </row>
    <row r="202" ht="12.75" customHeight="1">
      <c r="D202" s="6"/>
      <c r="E202" s="7"/>
      <c r="F202" s="7"/>
    </row>
    <row r="203" ht="12.75" customHeight="1">
      <c r="D203" s="6"/>
      <c r="E203" s="7"/>
      <c r="F203" s="7"/>
    </row>
    <row r="204" ht="12.75" customHeight="1">
      <c r="D204" s="6"/>
      <c r="E204" s="7"/>
      <c r="F204" s="7"/>
    </row>
    <row r="205" ht="12.75" customHeight="1">
      <c r="D205" s="6"/>
      <c r="E205" s="7"/>
      <c r="F205" s="7"/>
    </row>
    <row r="206" ht="12.75" customHeight="1">
      <c r="D206" s="6"/>
      <c r="E206" s="7"/>
      <c r="F206" s="7"/>
    </row>
    <row r="207" ht="12.75" customHeight="1">
      <c r="D207" s="6"/>
      <c r="E207" s="7"/>
      <c r="F207" s="7"/>
    </row>
    <row r="208" ht="12.75" customHeight="1">
      <c r="D208" s="6"/>
      <c r="E208" s="7"/>
      <c r="F208" s="7"/>
    </row>
    <row r="209" ht="12.75" customHeight="1">
      <c r="D209" s="6"/>
      <c r="E209" s="7"/>
      <c r="F209" s="7"/>
    </row>
    <row r="210" ht="12.75" customHeight="1">
      <c r="D210" s="6"/>
      <c r="E210" s="7"/>
      <c r="F210" s="7"/>
    </row>
    <row r="211" ht="12.75" customHeight="1">
      <c r="D211" s="6"/>
      <c r="E211" s="7"/>
      <c r="F211" s="7"/>
    </row>
    <row r="212" ht="12.75" customHeight="1">
      <c r="D212" s="6"/>
      <c r="E212" s="7"/>
      <c r="F212" s="7"/>
    </row>
    <row r="213" ht="12.75" customHeight="1">
      <c r="D213" s="6"/>
      <c r="E213" s="7"/>
      <c r="F213" s="7"/>
    </row>
    <row r="214" ht="12.75" customHeight="1">
      <c r="D214" s="6"/>
      <c r="E214" s="7"/>
      <c r="F214" s="7"/>
    </row>
    <row r="215" ht="12.75" customHeight="1">
      <c r="D215" s="6"/>
      <c r="E215" s="7"/>
      <c r="F215" s="7"/>
    </row>
    <row r="216" ht="12.75" customHeight="1">
      <c r="D216" s="6"/>
      <c r="E216" s="7"/>
      <c r="F216" s="7"/>
    </row>
    <row r="217" ht="12.75" customHeight="1">
      <c r="D217" s="6"/>
      <c r="E217" s="7"/>
      <c r="F217" s="7"/>
    </row>
    <row r="218" ht="12.75" customHeight="1">
      <c r="D218" s="6"/>
      <c r="E218" s="7"/>
      <c r="F218" s="7"/>
    </row>
    <row r="219" ht="12.75" customHeight="1">
      <c r="D219" s="6"/>
      <c r="E219" s="7"/>
      <c r="F219" s="7"/>
    </row>
    <row r="220" ht="12.75" customHeight="1">
      <c r="D220" s="6"/>
      <c r="E220" s="7"/>
      <c r="F220" s="7"/>
    </row>
    <row r="221" ht="12.75" customHeight="1">
      <c r="D221" s="6"/>
      <c r="E221" s="7"/>
      <c r="F221" s="7"/>
    </row>
    <row r="222" ht="12.75" customHeight="1">
      <c r="D222" s="6"/>
      <c r="E222" s="7"/>
      <c r="F222" s="7"/>
    </row>
    <row r="223" ht="12.75" customHeight="1">
      <c r="D223" s="6"/>
      <c r="E223" s="7"/>
      <c r="F223" s="7"/>
    </row>
    <row r="224" ht="12.75" customHeight="1">
      <c r="D224" s="6"/>
      <c r="E224" s="7"/>
      <c r="F224" s="7"/>
    </row>
    <row r="225" ht="12.75" customHeight="1">
      <c r="D225" s="6"/>
      <c r="E225" s="7"/>
      <c r="F225" s="7"/>
    </row>
    <row r="226" ht="12.75" customHeight="1">
      <c r="D226" s="6"/>
      <c r="E226" s="7"/>
      <c r="F226" s="7"/>
    </row>
    <row r="227" ht="12.75" customHeight="1">
      <c r="D227" s="6"/>
      <c r="E227" s="7"/>
      <c r="F227" s="7"/>
    </row>
    <row r="228" ht="12.75" customHeight="1">
      <c r="D228" s="6"/>
      <c r="E228" s="7"/>
      <c r="F228" s="7"/>
    </row>
    <row r="229" ht="12.75" customHeight="1">
      <c r="D229" s="6"/>
      <c r="E229" s="7"/>
      <c r="F229" s="7"/>
    </row>
    <row r="230" ht="12.75" customHeight="1">
      <c r="D230" s="6"/>
      <c r="E230" s="7"/>
      <c r="F230" s="7"/>
    </row>
    <row r="231" ht="12.75" customHeight="1">
      <c r="D231" s="6"/>
      <c r="E231" s="7"/>
      <c r="F231" s="7"/>
    </row>
    <row r="232" ht="12.75" customHeight="1">
      <c r="D232" s="6"/>
      <c r="E232" s="7"/>
      <c r="F232" s="7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63"/>
    <col customWidth="1" min="2" max="2" width="39.75"/>
    <col customWidth="1" min="3" max="3" width="20.5"/>
    <col customWidth="1" min="4" max="5" width="35.0"/>
    <col customWidth="1" min="6" max="25" width="11.88"/>
  </cols>
  <sheetData>
    <row r="1" ht="12.75" customHeight="1">
      <c r="A1" s="13" t="s">
        <v>85</v>
      </c>
      <c r="B1" s="13" t="s">
        <v>1</v>
      </c>
      <c r="C1" s="13" t="s">
        <v>2</v>
      </c>
      <c r="D1" s="2" t="s">
        <v>3</v>
      </c>
      <c r="E1" s="3" t="s">
        <v>4</v>
      </c>
      <c r="F1" s="14" t="s">
        <v>5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ht="12.75" customHeight="1">
      <c r="A2" s="5"/>
      <c r="D2" s="6"/>
      <c r="E2" s="7"/>
    </row>
    <row r="3" ht="12.75" customHeight="1">
      <c r="A3" s="5"/>
      <c r="D3" s="6"/>
      <c r="E3" s="7"/>
    </row>
    <row r="4" ht="12.75" customHeight="1">
      <c r="D4" s="6"/>
      <c r="E4" s="7"/>
    </row>
    <row r="5" ht="12.75" customHeight="1">
      <c r="A5" s="6" t="s">
        <v>86</v>
      </c>
      <c r="B5" s="6" t="s">
        <v>87</v>
      </c>
      <c r="C5" s="6" t="s">
        <v>87</v>
      </c>
      <c r="D5" s="2" t="s">
        <v>88</v>
      </c>
      <c r="E5" s="3" t="s">
        <v>89</v>
      </c>
      <c r="F5" s="15" t="str">
        <f>IFERROR(__xludf.DUMMYFUNCTION("GOOGLETRANSLATE(C5,""en"",""or"")"),"ସିଙ୍ଗଲ୍")</f>
        <v>ସିଙ୍ଗଲ୍</v>
      </c>
    </row>
    <row r="6" ht="12.75" customHeight="1">
      <c r="A6" s="6" t="s">
        <v>86</v>
      </c>
      <c r="B6" s="6" t="s">
        <v>90</v>
      </c>
      <c r="C6" s="6" t="s">
        <v>90</v>
      </c>
      <c r="D6" s="2" t="s">
        <v>91</v>
      </c>
      <c r="E6" s="3" t="s">
        <v>92</v>
      </c>
      <c r="F6" s="15" t="str">
        <f>IFERROR(__xludf.DUMMYFUNCTION("GOOGLETRANSLATE(C6,""en"",""or"")"),"ଡବଲ୍")</f>
        <v>ଡବଲ୍</v>
      </c>
    </row>
    <row r="7" ht="12.75" customHeight="1">
      <c r="A7" s="6" t="s">
        <v>86</v>
      </c>
      <c r="B7" s="6" t="s">
        <v>93</v>
      </c>
      <c r="C7" s="6" t="s">
        <v>93</v>
      </c>
      <c r="D7" s="2" t="s">
        <v>94</v>
      </c>
      <c r="E7" s="3" t="s">
        <v>95</v>
      </c>
      <c r="F7" s="15" t="str">
        <f>IFERROR(__xludf.DUMMYFUNCTION("GOOGLETRANSLATE(C7,""en"",""or"")"),"ଟ୍ରିପଲ୍")</f>
        <v>ଟ୍ରିପଲ୍</v>
      </c>
    </row>
    <row r="8" ht="12.75" customHeight="1">
      <c r="D8" s="6"/>
      <c r="E8" s="7"/>
    </row>
    <row r="9" ht="12.75" customHeight="1">
      <c r="A9" s="6" t="s">
        <v>96</v>
      </c>
      <c r="B9" s="6" t="s">
        <v>97</v>
      </c>
      <c r="C9" s="6" t="s">
        <v>97</v>
      </c>
      <c r="D9" s="2" t="s">
        <v>98</v>
      </c>
      <c r="E9" s="3" t="s">
        <v>99</v>
      </c>
      <c r="F9" s="15" t="str">
        <f>IFERROR(__xludf.DUMMYFUNCTION("GOOGLETRANSLATE(C9,""en"",""or"")"),"ବର୍ଷା ଉପରେ ନିର୍ଭରଶୀଳ")</f>
        <v>ବର୍ଷା ଉପରେ ନିର୍ଭରଶୀଳ</v>
      </c>
    </row>
    <row r="10" ht="12.75" customHeight="1">
      <c r="A10" s="6" t="s">
        <v>96</v>
      </c>
      <c r="B10" s="6" t="s">
        <v>100</v>
      </c>
      <c r="C10" s="6" t="s">
        <v>100</v>
      </c>
      <c r="D10" s="2" t="s">
        <v>101</v>
      </c>
      <c r="E10" s="3" t="s">
        <v>102</v>
      </c>
      <c r="F10" s="15" t="str">
        <f>IFERROR(__xludf.DUMMYFUNCTION("GOOGLETRANSLATE(C10,""en"",""or"")"),"ଜଳସେଚନ")</f>
        <v>ଜଳସେଚନ</v>
      </c>
    </row>
    <row r="11" ht="12.75" customHeight="1">
      <c r="D11" s="6"/>
      <c r="E11" s="7"/>
    </row>
    <row r="12" ht="12.75" customHeight="1">
      <c r="A12" s="12" t="s">
        <v>103</v>
      </c>
      <c r="B12" s="12">
        <v>2017.0</v>
      </c>
      <c r="C12" s="12">
        <v>2017.0</v>
      </c>
      <c r="D12" s="2">
        <v>2017.0</v>
      </c>
      <c r="E12" s="3" t="str">
        <f>IFERROR(__xludf.DUMMYFUNCTION("GOOGLETRANSLATE(D12, ""en"", ""kn"")"),"2017")</f>
        <v>2017</v>
      </c>
      <c r="F12" s="15" t="str">
        <f>IFERROR(__xludf.DUMMYFUNCTION("GOOGLETRANSLATE(C12,""en"",""or"")"),"୨୦୧୭")</f>
        <v>୨୦୧୭</v>
      </c>
    </row>
    <row r="13" ht="12.75" customHeight="1">
      <c r="A13" s="12" t="s">
        <v>103</v>
      </c>
      <c r="B13" s="12">
        <v>2018.0</v>
      </c>
      <c r="C13" s="12">
        <v>2018.0</v>
      </c>
      <c r="D13" s="2">
        <v>2018.0</v>
      </c>
      <c r="E13" s="3" t="str">
        <f>IFERROR(__xludf.DUMMYFUNCTION("GOOGLETRANSLATE(D13, ""en"", ""kn"")"),"2018")</f>
        <v>2018</v>
      </c>
      <c r="F13" s="15" t="str">
        <f>IFERROR(__xludf.DUMMYFUNCTION("GOOGLETRANSLATE(C13,""en"",""or"")"),"୨୦୧୮")</f>
        <v>୨୦୧୮</v>
      </c>
    </row>
    <row r="14" ht="12.75" customHeight="1">
      <c r="A14" s="12" t="s">
        <v>103</v>
      </c>
      <c r="B14" s="12">
        <v>2019.0</v>
      </c>
      <c r="C14" s="12">
        <v>2019.0</v>
      </c>
      <c r="D14" s="2">
        <v>2019.0</v>
      </c>
      <c r="E14" s="3" t="str">
        <f>IFERROR(__xludf.DUMMYFUNCTION("GOOGLETRANSLATE(D14, ""en"", ""kn"")"),"2019")</f>
        <v>2019</v>
      </c>
      <c r="F14" s="15" t="str">
        <f>IFERROR(__xludf.DUMMYFUNCTION("GOOGLETRANSLATE(C14,""en"",""or"")"),"୨୦୧୯")</f>
        <v>୨୦୧୯</v>
      </c>
    </row>
    <row r="15" ht="12.75" customHeight="1">
      <c r="A15" s="12" t="s">
        <v>103</v>
      </c>
      <c r="B15" s="12">
        <v>2020.0</v>
      </c>
      <c r="C15" s="12">
        <v>2020.0</v>
      </c>
      <c r="D15" s="2">
        <v>2020.0</v>
      </c>
      <c r="E15" s="3" t="str">
        <f>IFERROR(__xludf.DUMMYFUNCTION("GOOGLETRANSLATE(D15, ""en"", ""kn"")"),"2020")</f>
        <v>2020</v>
      </c>
      <c r="F15" s="15" t="str">
        <f>IFERROR(__xludf.DUMMYFUNCTION("GOOGLETRANSLATE(C15,""en"",""or"")"),"୨୦୨୦")</f>
        <v>୨୦୨୦</v>
      </c>
    </row>
    <row r="16" ht="12.75" customHeight="1">
      <c r="A16" s="12" t="s">
        <v>103</v>
      </c>
      <c r="B16" s="12">
        <v>2021.0</v>
      </c>
      <c r="C16" s="12">
        <v>2021.0</v>
      </c>
      <c r="D16" s="2">
        <v>2021.0</v>
      </c>
      <c r="E16" s="3" t="str">
        <f>IFERROR(__xludf.DUMMYFUNCTION("GOOGLETRANSLATE(D16, ""en"", ""kn"")"),"2021")</f>
        <v>2021</v>
      </c>
      <c r="F16" s="15" t="str">
        <f>IFERROR(__xludf.DUMMYFUNCTION("GOOGLETRANSLATE(C16,""en"",""or"")"),"୨୦୨୧")</f>
        <v>୨୦୨୧</v>
      </c>
    </row>
    <row r="17" ht="12.75" customHeight="1">
      <c r="A17" s="12" t="s">
        <v>103</v>
      </c>
      <c r="B17" s="12">
        <v>2022.0</v>
      </c>
      <c r="C17" s="12">
        <v>2022.0</v>
      </c>
      <c r="D17" s="2">
        <v>2022.0</v>
      </c>
      <c r="E17" s="3" t="str">
        <f>IFERROR(__xludf.DUMMYFUNCTION("GOOGLETRANSLATE(D17, ""en"", ""kn"")"),"2022")</f>
        <v>2022</v>
      </c>
      <c r="F17" s="15" t="str">
        <f>IFERROR(__xludf.DUMMYFUNCTION("GOOGLETRANSLATE(C17,""en"",""or"")"),"୨୦୨୨")</f>
        <v>୨୦୨୨</v>
      </c>
    </row>
    <row r="18" ht="12.75" customHeight="1">
      <c r="A18" s="12" t="s">
        <v>103</v>
      </c>
      <c r="B18" s="12">
        <v>2023.0</v>
      </c>
      <c r="C18" s="12">
        <v>2023.0</v>
      </c>
      <c r="D18" s="2">
        <v>2023.0</v>
      </c>
      <c r="E18" s="3" t="str">
        <f>IFERROR(__xludf.DUMMYFUNCTION("GOOGLETRANSLATE(D18, ""en"", ""kn"")"),"2023")</f>
        <v>2023</v>
      </c>
      <c r="F18" s="15" t="str">
        <f>IFERROR(__xludf.DUMMYFUNCTION("GOOGLETRANSLATE(C18,""en"",""or"")"),"୨୦୨୩")</f>
        <v>୨୦୨୩</v>
      </c>
    </row>
    <row r="19" ht="12.75" customHeight="1">
      <c r="D19" s="6"/>
      <c r="E19" s="7"/>
    </row>
    <row r="20" ht="18.0" customHeight="1">
      <c r="A20" s="6" t="s">
        <v>104</v>
      </c>
      <c r="B20" s="2" t="s">
        <v>105</v>
      </c>
      <c r="C20" s="12" t="s">
        <v>106</v>
      </c>
      <c r="D20" s="2" t="s">
        <v>107</v>
      </c>
      <c r="E20" s="3" t="s">
        <v>108</v>
      </c>
      <c r="F20" s="15" t="str">
        <f>IFERROR(__xludf.DUMMYFUNCTION("GOOGLETRANSLATE(C20,""en"",""or"")"),"ଧାନ")</f>
        <v>ଧାନ</v>
      </c>
    </row>
    <row r="21" ht="12.75" customHeight="1">
      <c r="A21" s="6" t="s">
        <v>104</v>
      </c>
      <c r="B21" s="12" t="s">
        <v>109</v>
      </c>
      <c r="C21" s="12" t="s">
        <v>109</v>
      </c>
      <c r="D21" s="2" t="s">
        <v>110</v>
      </c>
      <c r="E21" s="3" t="s">
        <v>111</v>
      </c>
      <c r="F21" s="15" t="str">
        <f>IFERROR(__xludf.DUMMYFUNCTION("GOOGLETRANSLATE(C21,""en"",""or"")"),"ବାଜରା")</f>
        <v>ବାଜରା</v>
      </c>
    </row>
    <row r="22" ht="12.75" customHeight="1">
      <c r="A22" s="6" t="s">
        <v>104</v>
      </c>
      <c r="B22" s="12" t="s">
        <v>112</v>
      </c>
      <c r="C22" s="12" t="s">
        <v>112</v>
      </c>
      <c r="D22" s="2" t="s">
        <v>113</v>
      </c>
      <c r="E22" s="3" t="s">
        <v>114</v>
      </c>
      <c r="F22" s="15" t="str">
        <f>IFERROR(__xludf.DUMMYFUNCTION("GOOGLETRANSLATE(C22,""en"",""or"")"),"ଡାଲି")</f>
        <v>ଡାଲି</v>
      </c>
    </row>
    <row r="23" ht="12.75" customHeight="1">
      <c r="A23" s="6" t="s">
        <v>104</v>
      </c>
      <c r="B23" s="12" t="s">
        <v>115</v>
      </c>
      <c r="C23" s="12" t="s">
        <v>115</v>
      </c>
      <c r="D23" s="2" t="s">
        <v>116</v>
      </c>
      <c r="E23" s="3" t="s">
        <v>117</v>
      </c>
      <c r="F23" s="15" t="str">
        <f>IFERROR(__xludf.DUMMYFUNCTION("GOOGLETRANSLATE(C23,""en"",""or"")"),"ପନିପରିବା")</f>
        <v>ପନିପରିବା</v>
      </c>
    </row>
    <row r="24" ht="12.75" customHeight="1">
      <c r="A24" s="6" t="s">
        <v>104</v>
      </c>
      <c r="B24" s="12" t="s">
        <v>118</v>
      </c>
      <c r="C24" s="12" t="s">
        <v>118</v>
      </c>
      <c r="D24" s="2" t="s">
        <v>119</v>
      </c>
      <c r="E24" s="3" t="s">
        <v>120</v>
      </c>
      <c r="F24" s="15" t="str">
        <f>IFERROR(__xludf.DUMMYFUNCTION("GOOGLETRANSLATE(C24,""en"",""or"")"),"ଫଳ")</f>
        <v>ଫଳ</v>
      </c>
    </row>
    <row r="25" ht="12.75" customHeight="1">
      <c r="A25" s="6" t="s">
        <v>104</v>
      </c>
      <c r="B25" s="12" t="s">
        <v>121</v>
      </c>
      <c r="C25" s="12" t="s">
        <v>122</v>
      </c>
      <c r="D25" s="2" t="s">
        <v>123</v>
      </c>
      <c r="E25" s="3" t="s">
        <v>124</v>
      </c>
      <c r="F25" s="15" t="str">
        <f>IFERROR(__xludf.DUMMYFUNCTION("GOOGLETRANSLATE(C25,""en"",""or"")"),"ତୈଳବୀଜ")</f>
        <v>ତୈଳବୀଜ</v>
      </c>
    </row>
    <row r="26" ht="12.75" customHeight="1">
      <c r="A26" s="6" t="s">
        <v>104</v>
      </c>
      <c r="B26" s="12" t="s">
        <v>125</v>
      </c>
      <c r="C26" s="12" t="s">
        <v>126</v>
      </c>
      <c r="D26" s="2" t="s">
        <v>127</v>
      </c>
      <c r="E26" s="3" t="s">
        <v>128</v>
      </c>
      <c r="F26" s="15" t="str">
        <f>IFERROR(__xludf.DUMMYFUNCTION("GOOGLETRANSLATE(C26,""en"",""or"")"),"ଚାରା ଫସଲ")</f>
        <v>ଚାରା ଫସଲ</v>
      </c>
    </row>
    <row r="27" ht="12.75" customHeight="1">
      <c r="A27" s="6" t="s">
        <v>104</v>
      </c>
      <c r="B27" s="12" t="s">
        <v>129</v>
      </c>
      <c r="C27" s="12" t="s">
        <v>129</v>
      </c>
      <c r="D27" s="2" t="s">
        <v>130</v>
      </c>
      <c r="E27" s="3" t="s">
        <v>131</v>
      </c>
      <c r="F27" s="15" t="str">
        <f>IFERROR(__xludf.DUMMYFUNCTION("GOOGLETRANSLATE(C27,""en"",""or"")"),"ପଡ଼ିଆ")</f>
        <v>ପଡ଼ିଆ</v>
      </c>
    </row>
    <row r="28" ht="12.75" customHeight="1">
      <c r="D28" s="6"/>
      <c r="E28" s="7"/>
    </row>
    <row r="29" ht="12.75" customHeight="1">
      <c r="A29" s="6" t="s">
        <v>132</v>
      </c>
      <c r="B29" s="12" t="s">
        <v>133</v>
      </c>
      <c r="C29" s="12" t="s">
        <v>106</v>
      </c>
      <c r="D29" s="2" t="s">
        <v>107</v>
      </c>
      <c r="E29" s="3" t="s">
        <v>108</v>
      </c>
      <c r="F29" s="15" t="str">
        <f>IFERROR(__xludf.DUMMYFUNCTION("GOOGLETRANSLATE(C29,""en"",""or"")"),"ଧାନ")</f>
        <v>ଧାନ</v>
      </c>
    </row>
    <row r="30" ht="12.75" customHeight="1">
      <c r="A30" s="6" t="s">
        <v>132</v>
      </c>
      <c r="B30" s="12" t="s">
        <v>109</v>
      </c>
      <c r="C30" s="12" t="s">
        <v>109</v>
      </c>
      <c r="D30" s="2" t="s">
        <v>110</v>
      </c>
      <c r="E30" s="3" t="s">
        <v>111</v>
      </c>
      <c r="F30" s="15" t="str">
        <f>IFERROR(__xludf.DUMMYFUNCTION("GOOGLETRANSLATE(C30,""en"",""or"")"),"ବାଜରା")</f>
        <v>ବାଜରା</v>
      </c>
    </row>
    <row r="31" ht="12.75" customHeight="1">
      <c r="A31" s="6" t="s">
        <v>132</v>
      </c>
      <c r="B31" s="12" t="s">
        <v>112</v>
      </c>
      <c r="C31" s="12" t="s">
        <v>112</v>
      </c>
      <c r="D31" s="2" t="s">
        <v>113</v>
      </c>
      <c r="E31" s="3" t="s">
        <v>114</v>
      </c>
      <c r="F31" s="15" t="str">
        <f>IFERROR(__xludf.DUMMYFUNCTION("GOOGLETRANSLATE(C31,""en"",""or"")"),"ଡାଲି")</f>
        <v>ଡାଲି</v>
      </c>
    </row>
    <row r="32" ht="12.75" customHeight="1">
      <c r="A32" s="6" t="s">
        <v>132</v>
      </c>
      <c r="B32" s="12" t="s">
        <v>115</v>
      </c>
      <c r="C32" s="12" t="s">
        <v>115</v>
      </c>
      <c r="D32" s="2" t="s">
        <v>116</v>
      </c>
      <c r="E32" s="3" t="s">
        <v>117</v>
      </c>
      <c r="F32" s="15" t="str">
        <f>IFERROR(__xludf.DUMMYFUNCTION("GOOGLETRANSLATE(C32,""en"",""or"")"),"ପନିପରିବା")</f>
        <v>ପନିପରିବା</v>
      </c>
    </row>
    <row r="33" ht="12.75" customHeight="1">
      <c r="A33" s="6" t="s">
        <v>132</v>
      </c>
      <c r="B33" s="12" t="s">
        <v>118</v>
      </c>
      <c r="C33" s="12" t="s">
        <v>118</v>
      </c>
      <c r="D33" s="2" t="s">
        <v>119</v>
      </c>
      <c r="E33" s="3" t="s">
        <v>120</v>
      </c>
      <c r="F33" s="15" t="str">
        <f>IFERROR(__xludf.DUMMYFUNCTION("GOOGLETRANSLATE(C33,""en"",""or"")"),"ଫଳ")</f>
        <v>ଫଳ</v>
      </c>
    </row>
    <row r="34" ht="12.75" customHeight="1">
      <c r="A34" s="6" t="s">
        <v>132</v>
      </c>
      <c r="B34" s="12" t="s">
        <v>121</v>
      </c>
      <c r="C34" s="12" t="s">
        <v>122</v>
      </c>
      <c r="D34" s="2" t="s">
        <v>123</v>
      </c>
      <c r="E34" s="3" t="s">
        <v>124</v>
      </c>
      <c r="F34" s="15" t="str">
        <f>IFERROR(__xludf.DUMMYFUNCTION("GOOGLETRANSLATE(C34,""en"",""or"")"),"ତୈଳବୀଜ")</f>
        <v>ତୈଳବୀଜ</v>
      </c>
    </row>
    <row r="35" ht="12.75" customHeight="1">
      <c r="A35" s="6" t="s">
        <v>132</v>
      </c>
      <c r="B35" s="12" t="s">
        <v>125</v>
      </c>
      <c r="C35" s="12" t="s">
        <v>126</v>
      </c>
      <c r="D35" s="2" t="s">
        <v>127</v>
      </c>
      <c r="E35" s="3" t="s">
        <v>128</v>
      </c>
      <c r="F35" s="15" t="str">
        <f>IFERROR(__xludf.DUMMYFUNCTION("GOOGLETRANSLATE(C35,""en"",""or"")"),"ଚାରା ଫସଲ")</f>
        <v>ଚାରା ଫସଲ</v>
      </c>
    </row>
    <row r="36" ht="12.75" customHeight="1">
      <c r="A36" s="6" t="s">
        <v>132</v>
      </c>
      <c r="B36" s="12" t="s">
        <v>129</v>
      </c>
      <c r="C36" s="12" t="s">
        <v>129</v>
      </c>
      <c r="D36" s="2" t="s">
        <v>130</v>
      </c>
      <c r="E36" s="3" t="s">
        <v>131</v>
      </c>
      <c r="F36" s="15" t="str">
        <f>IFERROR(__xludf.DUMMYFUNCTION("GOOGLETRANSLATE(C36,""en"",""or"")"),"ପଡ଼ିଆ")</f>
        <v>ପଡ଼ିଆ</v>
      </c>
    </row>
    <row r="37" ht="12.75" customHeight="1">
      <c r="C37" s="16"/>
      <c r="D37" s="6"/>
      <c r="E37" s="7"/>
    </row>
    <row r="38" ht="12.75" customHeight="1">
      <c r="A38" s="6" t="s">
        <v>134</v>
      </c>
      <c r="B38" s="12" t="s">
        <v>106</v>
      </c>
      <c r="C38" s="12" t="s">
        <v>106</v>
      </c>
      <c r="D38" s="2" t="s">
        <v>107</v>
      </c>
      <c r="E38" s="3" t="s">
        <v>108</v>
      </c>
      <c r="F38" s="15" t="str">
        <f>IFERROR(__xludf.DUMMYFUNCTION("GOOGLETRANSLATE(C38,""en"",""or"")"),"ଧାନ")</f>
        <v>ଧାନ</v>
      </c>
    </row>
    <row r="39" ht="12.75" customHeight="1">
      <c r="A39" s="6" t="s">
        <v>134</v>
      </c>
      <c r="B39" s="12" t="s">
        <v>109</v>
      </c>
      <c r="C39" s="12" t="s">
        <v>109</v>
      </c>
      <c r="D39" s="2" t="s">
        <v>110</v>
      </c>
      <c r="E39" s="3" t="s">
        <v>111</v>
      </c>
      <c r="F39" s="15" t="str">
        <f>IFERROR(__xludf.DUMMYFUNCTION("GOOGLETRANSLATE(C39,""en"",""or"")"),"ବାଜରା")</f>
        <v>ବାଜରା</v>
      </c>
    </row>
    <row r="40" ht="12.75" customHeight="1">
      <c r="A40" s="6" t="s">
        <v>134</v>
      </c>
      <c r="B40" s="12" t="s">
        <v>112</v>
      </c>
      <c r="C40" s="12" t="s">
        <v>112</v>
      </c>
      <c r="D40" s="2" t="s">
        <v>113</v>
      </c>
      <c r="E40" s="3" t="s">
        <v>114</v>
      </c>
      <c r="F40" s="15" t="str">
        <f>IFERROR(__xludf.DUMMYFUNCTION("GOOGLETRANSLATE(C40,""en"",""or"")"),"ଡାଲି")</f>
        <v>ଡାଲି</v>
      </c>
    </row>
    <row r="41" ht="12.75" customHeight="1">
      <c r="A41" s="6" t="s">
        <v>134</v>
      </c>
      <c r="B41" s="12" t="s">
        <v>115</v>
      </c>
      <c r="C41" s="12" t="s">
        <v>115</v>
      </c>
      <c r="D41" s="2" t="s">
        <v>116</v>
      </c>
      <c r="E41" s="3" t="s">
        <v>117</v>
      </c>
      <c r="F41" s="15" t="str">
        <f>IFERROR(__xludf.DUMMYFUNCTION("GOOGLETRANSLATE(C41,""en"",""or"")"),"ପନିପରିବା")</f>
        <v>ପନିପରିବା</v>
      </c>
    </row>
    <row r="42" ht="12.75" customHeight="1">
      <c r="A42" s="6" t="s">
        <v>134</v>
      </c>
      <c r="B42" s="12" t="s">
        <v>118</v>
      </c>
      <c r="C42" s="12" t="s">
        <v>118</v>
      </c>
      <c r="D42" s="2" t="s">
        <v>119</v>
      </c>
      <c r="E42" s="3" t="s">
        <v>120</v>
      </c>
      <c r="F42" s="15" t="str">
        <f>IFERROR(__xludf.DUMMYFUNCTION("GOOGLETRANSLATE(C42,""en"",""or"")"),"ଫଳ")</f>
        <v>ଫଳ</v>
      </c>
    </row>
    <row r="43" ht="12.75" customHeight="1">
      <c r="A43" s="6" t="s">
        <v>134</v>
      </c>
      <c r="B43" s="12" t="s">
        <v>121</v>
      </c>
      <c r="C43" s="12" t="s">
        <v>122</v>
      </c>
      <c r="D43" s="2" t="s">
        <v>123</v>
      </c>
      <c r="E43" s="3" t="s">
        <v>124</v>
      </c>
      <c r="F43" s="15" t="str">
        <f>IFERROR(__xludf.DUMMYFUNCTION("GOOGLETRANSLATE(C43,""en"",""or"")"),"ତୈଳବୀଜ")</f>
        <v>ତୈଳବୀଜ</v>
      </c>
    </row>
    <row r="44" ht="12.75" customHeight="1">
      <c r="A44" s="6" t="s">
        <v>134</v>
      </c>
      <c r="B44" s="12" t="s">
        <v>125</v>
      </c>
      <c r="C44" s="12" t="s">
        <v>126</v>
      </c>
      <c r="D44" s="2" t="s">
        <v>127</v>
      </c>
      <c r="E44" s="3" t="s">
        <v>128</v>
      </c>
      <c r="F44" s="15" t="str">
        <f>IFERROR(__xludf.DUMMYFUNCTION("GOOGLETRANSLATE(C44,""en"",""or"")"),"ଚାରା ଫସଲ")</f>
        <v>ଚାରା ଫସଲ</v>
      </c>
    </row>
    <row r="45" ht="12.75" customHeight="1">
      <c r="A45" s="6" t="s">
        <v>134</v>
      </c>
      <c r="B45" s="12" t="s">
        <v>129</v>
      </c>
      <c r="C45" s="12" t="s">
        <v>129</v>
      </c>
      <c r="D45" s="2" t="s">
        <v>130</v>
      </c>
      <c r="E45" s="3" t="s">
        <v>131</v>
      </c>
      <c r="F45" s="15" t="str">
        <f>IFERROR(__xludf.DUMMYFUNCTION("GOOGLETRANSLATE(C45,""en"",""or"")"),"ପଡ଼ିଆ")</f>
        <v>ପଡ଼ିଆ</v>
      </c>
    </row>
    <row r="46" ht="12.75" customHeight="1">
      <c r="A46" s="6"/>
      <c r="D46" s="6"/>
      <c r="E46" s="7"/>
    </row>
    <row r="47" ht="12.75" customHeight="1">
      <c r="A47" s="6" t="s">
        <v>135</v>
      </c>
      <c r="B47" s="2" t="s">
        <v>136</v>
      </c>
      <c r="C47" s="2" t="s">
        <v>136</v>
      </c>
      <c r="D47" s="2" t="s">
        <v>137</v>
      </c>
      <c r="E47" s="3" t="s">
        <v>138</v>
      </c>
      <c r="F47" s="15" t="str">
        <f>IFERROR(__xludf.DUMMYFUNCTION("GOOGLETRANSLATE(C47,""en"",""or"")"),"ଜୈବିକ
")</f>
        <v>ଜୈବିକ
</v>
      </c>
    </row>
    <row r="48" ht="12.75" customHeight="1">
      <c r="A48" s="6" t="s">
        <v>135</v>
      </c>
      <c r="B48" s="2" t="s">
        <v>139</v>
      </c>
      <c r="C48" s="2" t="s">
        <v>139</v>
      </c>
      <c r="D48" s="2" t="s">
        <v>140</v>
      </c>
      <c r="E48" s="3" t="s">
        <v>141</v>
      </c>
      <c r="F48" s="15" t="str">
        <f>IFERROR(__xludf.DUMMYFUNCTION("GOOGLETRANSLATE(C48,""en"",""or"")"),"ରାସାୟନିକ
")</f>
        <v>ରାସାୟନିକ
</v>
      </c>
    </row>
    <row r="49" ht="12.75" customHeight="1">
      <c r="A49" s="6" t="s">
        <v>135</v>
      </c>
      <c r="B49" s="2" t="s">
        <v>142</v>
      </c>
      <c r="C49" s="2" t="s">
        <v>142</v>
      </c>
      <c r="D49" s="2" t="s">
        <v>143</v>
      </c>
      <c r="E49" s="3" t="s">
        <v>144</v>
      </c>
      <c r="F49" s="15" t="str">
        <f>IFERROR(__xludf.DUMMYFUNCTION("GOOGLETRANSLATE(C49,""en"",""or"")"),"ଉଭୟ
")</f>
        <v>ଉଭୟ
</v>
      </c>
    </row>
    <row r="50" ht="12.75" customHeight="1">
      <c r="D50" s="6"/>
      <c r="E50" s="7"/>
    </row>
    <row r="51" ht="12.75" customHeight="1">
      <c r="A51" s="6" t="s">
        <v>145</v>
      </c>
      <c r="B51" s="2" t="s">
        <v>146</v>
      </c>
      <c r="C51" s="2" t="s">
        <v>146</v>
      </c>
      <c r="D51" s="2" t="s">
        <v>147</v>
      </c>
      <c r="E51" s="3" t="s">
        <v>148</v>
      </c>
      <c r="F51" s="15" t="str">
        <f>IFERROR(__xludf.DUMMYFUNCTION("GOOGLETRANSLATE(C51,""en"",""or"")"),"ଅମଳ ବୃଦ୍ଧି ପାଇଛି
")</f>
        <v>ଅମଳ ବୃଦ୍ଧି ପାଇଛି
</v>
      </c>
    </row>
    <row r="52" ht="12.75" customHeight="1">
      <c r="A52" s="6" t="s">
        <v>145</v>
      </c>
      <c r="B52" s="2" t="s">
        <v>149</v>
      </c>
      <c r="C52" s="2" t="s">
        <v>149</v>
      </c>
      <c r="D52" s="2" t="s">
        <v>150</v>
      </c>
      <c r="E52" s="3" t="s">
        <v>151</v>
      </c>
      <c r="F52" s="15" t="str">
        <f>IFERROR(__xludf.DUMMYFUNCTION("GOOGLETRANSLATE(C52,""en"",""or"")"),"ଅମଳ ହ୍ରାସ ପାଇଛି
")</f>
        <v>ଅମଳ ହ୍ରାସ ପାଇଛି
</v>
      </c>
    </row>
    <row r="53" ht="12.75" customHeight="1">
      <c r="A53" s="6" t="s">
        <v>145</v>
      </c>
      <c r="B53" s="2" t="s">
        <v>152</v>
      </c>
      <c r="C53" s="2" t="s">
        <v>152</v>
      </c>
      <c r="D53" s="2" t="s">
        <v>153</v>
      </c>
      <c r="E53" s="3" t="s">
        <v>154</v>
      </c>
      <c r="F53" s="15" t="str">
        <f>IFERROR(__xludf.DUMMYFUNCTION("GOOGLETRANSLATE(C53,""en"",""or"")"),"କୌଣସି ପରିବର୍ତ୍ତନ ନାହିଁ
")</f>
        <v>କୌଣସି ପରିବର୍ତ୍ତନ ନାହିଁ
</v>
      </c>
    </row>
    <row r="54" ht="12.75" customHeight="1">
      <c r="D54" s="6"/>
      <c r="E54" s="7"/>
    </row>
    <row r="55" ht="12.75" customHeight="1">
      <c r="A55" s="6" t="s">
        <v>155</v>
      </c>
      <c r="B55" s="12" t="s">
        <v>156</v>
      </c>
      <c r="C55" s="12" t="s">
        <v>156</v>
      </c>
      <c r="D55" s="2" t="s">
        <v>157</v>
      </c>
      <c r="E55" s="3" t="s">
        <v>158</v>
      </c>
      <c r="F55" s="15" t="str">
        <f>IFERROR(__xludf.DUMMYFUNCTION("GOOGLETRANSLATE(C55,""en"",""or"")"),"ହଁ, ମରୁଡ଼ି ପ୍ରତିରୋଧୀ ଫସଲକୁ ପରିବର୍ତ୍ତନ କରାଯାଇଛି।")</f>
        <v>ହଁ, ମରୁଡ଼ି ପ୍ରତିରୋଧୀ ଫସଲକୁ ପରିବର୍ତ୍ତନ କରାଯାଇଛି।</v>
      </c>
    </row>
    <row r="56" ht="12.75" customHeight="1">
      <c r="A56" s="6" t="s">
        <v>155</v>
      </c>
      <c r="B56" s="2" t="s">
        <v>159</v>
      </c>
      <c r="C56" s="2" t="s">
        <v>159</v>
      </c>
      <c r="D56" s="2" t="s">
        <v>160</v>
      </c>
      <c r="E56" s="3" t="s">
        <v>161</v>
      </c>
      <c r="F56" s="15" t="str">
        <f>IFERROR(__xludf.DUMMYFUNCTION("GOOGLETRANSLATE(C56,""en"",""or"")"),"ହଁ, ଉଚ୍ଚ-ଅମଳକ୍ଷମ ଫସଲକୁ ପରିବର୍ତ୍ତନ କରାଯାଇଛି
")</f>
        <v>ହଁ, ଉଚ୍ଚ-ଅମଳକ୍ଷମ ଫସଲକୁ ପରିବର୍ତ୍ତନ କରାଯାଇଛି
</v>
      </c>
    </row>
    <row r="57" ht="12.75" customHeight="1">
      <c r="A57" s="6" t="s">
        <v>155</v>
      </c>
      <c r="B57" s="2" t="s">
        <v>162</v>
      </c>
      <c r="C57" s="2" t="s">
        <v>162</v>
      </c>
      <c r="D57" s="2" t="s">
        <v>163</v>
      </c>
      <c r="E57" s="3" t="s">
        <v>164</v>
      </c>
      <c r="F57" s="15" t="str">
        <f>IFERROR(__xludf.DUMMYFUNCTION("GOOGLETRANSLATE(C57,""en"",""or"")"),"ହଁ, ନଗଦ ଫସଲକୁ ପରିବର୍ତ୍ତନ କରାଯାଇଛି
")</f>
        <v>ହଁ, ନଗଦ ଫସଲକୁ ପରିବର୍ତ୍ତନ କରାଯାଇଛି
</v>
      </c>
    </row>
    <row r="58" ht="12.75" customHeight="1">
      <c r="A58" s="6" t="s">
        <v>155</v>
      </c>
      <c r="B58" s="2" t="s">
        <v>165</v>
      </c>
      <c r="C58" s="2" t="s">
        <v>165</v>
      </c>
      <c r="D58" s="2" t="s">
        <v>166</v>
      </c>
      <c r="E58" s="3" t="s">
        <v>167</v>
      </c>
      <c r="F58" s="15" t="str">
        <f>IFERROR(__xludf.DUMMYFUNCTION("GOOGLETRANSLATE(C58,""en"",""or"")"),"ହଁ, ବିବିଧ ଫସଲ (ବିସ୍ତୃତ ପ୍ରକାରର ଫସଲ ଚାଷ କରିବା)
")</f>
        <v>ହଁ, ବିବିଧ ଫସଲ (ବିସ୍ତୃତ ପ୍ରକାରର ଫସଲ ଚାଷ କରିବା)
</v>
      </c>
    </row>
    <row r="59" ht="12.75" customHeight="1">
      <c r="A59" s="6" t="s">
        <v>155</v>
      </c>
      <c r="B59" s="2" t="s">
        <v>168</v>
      </c>
      <c r="C59" s="2" t="s">
        <v>168</v>
      </c>
      <c r="D59" s="2" t="s">
        <v>169</v>
      </c>
      <c r="E59" s="3" t="s">
        <v>170</v>
      </c>
      <c r="F59" s="15" t="str">
        <f>IFERROR(__xludf.DUMMYFUNCTION("GOOGLETRANSLATE(C59,""en"",""or"")"),"ନା, କ୍ରପ୍ ପଦ୍ଧତି ସମାନ ରହିଛି
")</f>
        <v>ନା, କ୍ରପ୍ ପଦ୍ଧତି ସମାନ ରହିଛି
</v>
      </c>
    </row>
    <row r="60" ht="12.75" customHeight="1">
      <c r="D60" s="6"/>
      <c r="E60" s="7"/>
    </row>
    <row r="61" ht="12.75" customHeight="1">
      <c r="A61" s="6" t="s">
        <v>171</v>
      </c>
      <c r="B61" s="2" t="s">
        <v>172</v>
      </c>
      <c r="C61" s="2" t="s">
        <v>172</v>
      </c>
      <c r="D61" s="2" t="s">
        <v>173</v>
      </c>
      <c r="E61" s="3" t="s">
        <v>174</v>
      </c>
      <c r="F61" s="15" t="str">
        <f>IFERROR(__xludf.DUMMYFUNCTION("GOOGLETRANSLATE(C61,""en"",""or"")"),"୨ ସପ୍ତାହରୁ କମ୍
")</f>
        <v>୨ ସପ୍ତାହରୁ କମ୍
</v>
      </c>
    </row>
    <row r="62" ht="12.75" customHeight="1">
      <c r="A62" s="6" t="s">
        <v>171</v>
      </c>
      <c r="B62" s="2" t="s">
        <v>175</v>
      </c>
      <c r="C62" s="2" t="s">
        <v>175</v>
      </c>
      <c r="D62" s="2" t="s">
        <v>176</v>
      </c>
      <c r="E62" s="3" t="s">
        <v>177</v>
      </c>
      <c r="F62" s="15" t="str">
        <f>IFERROR(__xludf.DUMMYFUNCTION("GOOGLETRANSLATE(C62,""en"",""or"")"),"୨-୪ ସପ୍ତାହ
")</f>
        <v>୨-୪ ସପ୍ତାହ
</v>
      </c>
    </row>
    <row r="63" ht="12.75" customHeight="1">
      <c r="A63" s="6" t="s">
        <v>171</v>
      </c>
      <c r="B63" s="2" t="s">
        <v>178</v>
      </c>
      <c r="C63" s="2" t="s">
        <v>178</v>
      </c>
      <c r="D63" s="2" t="s">
        <v>179</v>
      </c>
      <c r="E63" s="3" t="s">
        <v>180</v>
      </c>
      <c r="F63" s="15" t="str">
        <f>IFERROR(__xludf.DUMMYFUNCTION("GOOGLETRANSLATE(C63,""en"",""or"")"),"୪-୬ ସପ୍ତାହ
")</f>
        <v>୪-୬ ସପ୍ତାହ
</v>
      </c>
    </row>
    <row r="64" ht="12.75" customHeight="1">
      <c r="A64" s="6" t="s">
        <v>171</v>
      </c>
      <c r="B64" s="2" t="s">
        <v>181</v>
      </c>
      <c r="C64" s="2" t="s">
        <v>181</v>
      </c>
      <c r="D64" s="2" t="s">
        <v>182</v>
      </c>
      <c r="E64" s="3" t="s">
        <v>183</v>
      </c>
      <c r="F64" s="15" t="str">
        <f>IFERROR(__xludf.DUMMYFUNCTION("GOOGLETRANSLATE(C64,""en"",""or"")"),"୬-୮ ସପ୍ତାହ
")</f>
        <v>୬-୮ ସପ୍ତାହ
</v>
      </c>
    </row>
    <row r="65" ht="12.75" customHeight="1">
      <c r="A65" s="6" t="s">
        <v>171</v>
      </c>
      <c r="B65" s="2" t="s">
        <v>184</v>
      </c>
      <c r="C65" s="2" t="s">
        <v>184</v>
      </c>
      <c r="D65" s="2" t="s">
        <v>185</v>
      </c>
      <c r="E65" s="3" t="s">
        <v>186</v>
      </c>
      <c r="F65" s="15" t="str">
        <f>IFERROR(__xludf.DUMMYFUNCTION("GOOGLETRANSLATE(C65,""en"",""or"")"),"8 ସପ୍ତାହରୁ ଅଧିକ
")</f>
        <v>8 ସପ୍ତାହରୁ ଅଧିକ
</v>
      </c>
    </row>
    <row r="66" ht="12.75" customHeight="1">
      <c r="D66" s="6"/>
      <c r="E66" s="7"/>
    </row>
    <row r="67" ht="12.75" customHeight="1">
      <c r="A67" s="6" t="s">
        <v>187</v>
      </c>
      <c r="B67" s="2" t="s">
        <v>188</v>
      </c>
      <c r="C67" s="2" t="s">
        <v>188</v>
      </c>
      <c r="D67" s="2" t="s">
        <v>189</v>
      </c>
      <c r="E67" s="3" t="s">
        <v>190</v>
      </c>
      <c r="F67" s="15" t="str">
        <f>IFERROR(__xludf.DUMMYFUNCTION("GOOGLETRANSLATE(C67,""en"",""or"")"),"୧୦% ରୁ କମ୍
")</f>
        <v>୧୦% ରୁ କମ୍
</v>
      </c>
    </row>
    <row r="68" ht="12.75" customHeight="1">
      <c r="A68" s="6" t="s">
        <v>187</v>
      </c>
      <c r="B68" s="2" t="s">
        <v>191</v>
      </c>
      <c r="C68" s="2" t="s">
        <v>191</v>
      </c>
      <c r="D68" s="2" t="s">
        <v>192</v>
      </c>
      <c r="E68" s="3" t="s">
        <v>191</v>
      </c>
      <c r="F68" s="15" t="str">
        <f>IFERROR(__xludf.DUMMYFUNCTION("GOOGLETRANSLATE(C68,""en"",""or"")"),"୧୦-୩୦%
")</f>
        <v>୧୦-୩୦%
</v>
      </c>
    </row>
    <row r="69" ht="12.75" customHeight="1">
      <c r="A69" s="6" t="s">
        <v>187</v>
      </c>
      <c r="B69" s="2" t="s">
        <v>193</v>
      </c>
      <c r="C69" s="2" t="s">
        <v>193</v>
      </c>
      <c r="D69" s="2" t="s">
        <v>194</v>
      </c>
      <c r="E69" s="3" t="s">
        <v>193</v>
      </c>
      <c r="F69" s="15" t="str">
        <f>IFERROR(__xludf.DUMMYFUNCTION("GOOGLETRANSLATE(C69,""en"",""or"")"),"୩୦-୫୦%
")</f>
        <v>୩୦-୫୦%
</v>
      </c>
    </row>
    <row r="70" ht="12.75" customHeight="1">
      <c r="A70" s="6" t="s">
        <v>187</v>
      </c>
      <c r="B70" s="2" t="s">
        <v>195</v>
      </c>
      <c r="C70" s="2" t="s">
        <v>195</v>
      </c>
      <c r="D70" s="2" t="s">
        <v>196</v>
      </c>
      <c r="E70" s="3" t="s">
        <v>197</v>
      </c>
      <c r="F70" s="15" t="str">
        <f>IFERROR(__xludf.DUMMYFUNCTION("GOOGLETRANSLATE(C70,""en"",""or"")"),"୫୦% ରୁ ଅଧିକ
")</f>
        <v>୫୦% ରୁ ଅଧିକ
</v>
      </c>
    </row>
    <row r="71" ht="12.75" customHeight="1">
      <c r="D71" s="6"/>
      <c r="E71" s="7"/>
    </row>
    <row r="72" ht="12.75" customHeight="1">
      <c r="A72" s="12" t="s">
        <v>198</v>
      </c>
      <c r="B72" s="12" t="s">
        <v>199</v>
      </c>
      <c r="C72" s="12" t="s">
        <v>199</v>
      </c>
      <c r="D72" s="2" t="s">
        <v>200</v>
      </c>
      <c r="E72" s="3" t="s">
        <v>201</v>
      </c>
      <c r="F72" s="15" t="str">
        <f>IFERROR(__xludf.DUMMYFUNCTION("GOOGLETRANSLATE(C72,""en"",""or"")"),"ହଁ")</f>
        <v>ହଁ</v>
      </c>
    </row>
    <row r="73" ht="12.75" customHeight="1">
      <c r="A73" s="12" t="s">
        <v>198</v>
      </c>
      <c r="B73" s="12" t="s">
        <v>202</v>
      </c>
      <c r="C73" s="12" t="s">
        <v>202</v>
      </c>
      <c r="D73" s="2" t="s">
        <v>203</v>
      </c>
      <c r="E73" s="3" t="s">
        <v>204</v>
      </c>
      <c r="F73" s="15" t="str">
        <f>IFERROR(__xludf.DUMMYFUNCTION("GOOGLETRANSLATE(C73,""en"",""or"")"),"ନା")</f>
        <v>ନା</v>
      </c>
    </row>
    <row r="74" ht="12.75" customHeight="1">
      <c r="D74" s="6"/>
      <c r="E74" s="7"/>
    </row>
    <row r="75" ht="12.75" customHeight="1">
      <c r="A75" s="6" t="s">
        <v>205</v>
      </c>
      <c r="B75" s="17" t="s">
        <v>206</v>
      </c>
      <c r="C75" s="17" t="s">
        <v>206</v>
      </c>
      <c r="D75" s="2" t="s">
        <v>207</v>
      </c>
      <c r="E75" s="3" t="s">
        <v>208</v>
      </c>
      <c r="F75" s="15" t="str">
        <f>IFERROR(__xludf.DUMMYFUNCTION("GOOGLETRANSLATE(C75,""en"",""or"")"),"ଜଙ୍ଗଲ ଜମି")</f>
        <v>ଜଙ୍ଗଲ ଜମି</v>
      </c>
    </row>
    <row r="76" ht="12.75" customHeight="1">
      <c r="A76" s="6" t="s">
        <v>205</v>
      </c>
      <c r="B76" s="2" t="s">
        <v>209</v>
      </c>
      <c r="C76" s="2" t="s">
        <v>209</v>
      </c>
      <c r="D76" s="2" t="s">
        <v>210</v>
      </c>
      <c r="E76" s="3" t="s">
        <v>211</v>
      </c>
      <c r="F76" s="15" t="str">
        <f>IFERROR(__xludf.DUMMYFUNCTION("GOOGLETRANSLATE(C76,""en"",""or"")"),"ଅନୁର୍ବର ଭୂମି")</f>
        <v>ଅନୁର୍ବର ଭୂମି</v>
      </c>
    </row>
    <row r="77" ht="12.75" customHeight="1">
      <c r="A77" s="6" t="s">
        <v>205</v>
      </c>
      <c r="B77" s="2" t="s">
        <v>212</v>
      </c>
      <c r="C77" s="2" t="s">
        <v>212</v>
      </c>
      <c r="D77" s="2" t="s">
        <v>213</v>
      </c>
      <c r="E77" s="3" t="s">
        <v>214</v>
      </c>
      <c r="F77" s="15" t="str">
        <f>IFERROR(__xludf.DUMMYFUNCTION("GOOGLETRANSLATE(C77,""en"",""or"")"),"ତୃଣଭୂମି/ଚରାଭୂମି")</f>
        <v>ତୃଣଭୂମି/ଚରାଭୂମି</v>
      </c>
    </row>
    <row r="78" ht="12.75" customHeight="1">
      <c r="A78" s="6" t="s">
        <v>205</v>
      </c>
      <c r="B78" s="2" t="s">
        <v>215</v>
      </c>
      <c r="C78" s="2" t="s">
        <v>215</v>
      </c>
      <c r="D78" s="2" t="s">
        <v>216</v>
      </c>
      <c r="E78" s="3" t="s">
        <v>217</v>
      </c>
      <c r="F78" s="15" t="str">
        <f>IFERROR(__xludf.DUMMYFUNCTION("GOOGLETRANSLATE(C78,""en"",""or"")"),"ଆର୍ଦ୍ର ଭୂମି")</f>
        <v>ଆର୍ଦ୍ର ଭୂମି</v>
      </c>
    </row>
    <row r="79" ht="12.75" customHeight="1">
      <c r="A79" s="6" t="s">
        <v>205</v>
      </c>
      <c r="B79" s="2" t="s">
        <v>218</v>
      </c>
      <c r="C79" s="2" t="s">
        <v>218</v>
      </c>
      <c r="D79" s="2" t="s">
        <v>219</v>
      </c>
      <c r="E79" s="3" t="s">
        <v>220</v>
      </c>
      <c r="F79" s="15" t="str">
        <f>IFERROR(__xludf.DUMMYFUNCTION("GOOGLETRANSLATE(C79,""en"",""or"")"),"ସଂରକ୍ଷିତ ଅଞ୍ଚଳ (ଜାତୀୟ ଉଦ୍ୟାନ/ସଂରକ୍ଷିତ)")</f>
        <v>ସଂରକ୍ଷିତ ଅଞ୍ଚଳ (ଜାତୀୟ ଉଦ୍ୟାନ/ସଂରକ୍ଷିତ)</v>
      </c>
    </row>
    <row r="80" ht="12.75" customHeight="1">
      <c r="A80" s="6" t="s">
        <v>205</v>
      </c>
      <c r="B80" s="2" t="s">
        <v>221</v>
      </c>
      <c r="C80" s="2" t="s">
        <v>221</v>
      </c>
      <c r="D80" s="2" t="s">
        <v>222</v>
      </c>
      <c r="E80" s="3" t="s">
        <v>223</v>
      </c>
      <c r="F80" s="15" t="str">
        <f>IFERROR(__xludf.DUMMYFUNCTION("GOOGLETRANSLATE(C80,""en"",""or"")"),"ଖଣି ଅଞ୍ଚଳ")</f>
        <v>ଖଣି ଅଞ୍ଚଳ</v>
      </c>
    </row>
    <row r="81" ht="12.75" customHeight="1">
      <c r="A81" s="6" t="s">
        <v>205</v>
      </c>
      <c r="B81" s="2" t="s">
        <v>224</v>
      </c>
      <c r="C81" s="2" t="s">
        <v>224</v>
      </c>
      <c r="D81" s="2" t="s">
        <v>225</v>
      </c>
      <c r="E81" s="3" t="s">
        <v>226</v>
      </c>
      <c r="F81" s="15" t="str">
        <f>IFERROR(__xludf.DUMMYFUNCTION("GOOGLETRANSLATE(C81,""en"",""or"")"),"ବାଣିଜ୍ୟିକ ଜମି")</f>
        <v>ବାଣିଜ୍ୟିକ ଜମି</v>
      </c>
    </row>
    <row r="82" ht="12.75" customHeight="1">
      <c r="A82" s="6" t="s">
        <v>205</v>
      </c>
      <c r="B82" s="2" t="s">
        <v>227</v>
      </c>
      <c r="C82" s="2" t="s">
        <v>227</v>
      </c>
      <c r="D82" s="2" t="s">
        <v>228</v>
      </c>
      <c r="E82" s="3" t="s">
        <v>229</v>
      </c>
      <c r="F82" s="15" t="str">
        <f>IFERROR(__xludf.DUMMYFUNCTION("GOOGLETRANSLATE(C82,""en"",""or"")"),"ବନ୍ୟା ସମତଳ")</f>
        <v>ବନ୍ୟା ସମତଳ</v>
      </c>
    </row>
    <row r="83" ht="12.75" customHeight="1">
      <c r="A83" s="6" t="s">
        <v>205</v>
      </c>
      <c r="B83" s="2" t="s">
        <v>230</v>
      </c>
      <c r="C83" s="2" t="s">
        <v>230</v>
      </c>
      <c r="D83" s="2" t="s">
        <v>231</v>
      </c>
      <c r="E83" s="3" t="s">
        <v>232</v>
      </c>
      <c r="F83" s="15" t="str">
        <f>IFERROR(__xludf.DUMMYFUNCTION("GOOGLETRANSLATE(C83,""en"",""or"")"),"ସ୍କ୍ରବଲ୍ୟାଣ୍ଡ")</f>
        <v>ସ୍କ୍ରବଲ୍ୟାଣ୍ଡ</v>
      </c>
    </row>
    <row r="84" ht="12.75" customHeight="1">
      <c r="A84" s="6" t="s">
        <v>205</v>
      </c>
      <c r="B84" s="2" t="s">
        <v>233</v>
      </c>
      <c r="C84" s="2" t="s">
        <v>233</v>
      </c>
      <c r="D84" s="2" t="s">
        <v>234</v>
      </c>
      <c r="E84" s="3" t="s">
        <v>235</v>
      </c>
      <c r="F84" s="15" t="str">
        <f>IFERROR(__xludf.DUMMYFUNCTION("GOOGLETRANSLATE(C84,""en"",""or"")"),"ଉପକୂଳ/ସାମୁଦ୍ରିକ ଅଞ୍ଚଳ")</f>
        <v>ଉପକୂଳ/ସାମୁଦ୍ରିକ ଅଞ୍ଚଳ</v>
      </c>
    </row>
    <row r="85" ht="12.75" customHeight="1">
      <c r="D85" s="6"/>
      <c r="E85" s="7"/>
    </row>
    <row r="86" ht="12.75" customHeight="1">
      <c r="D86" s="6"/>
      <c r="E86" s="7"/>
    </row>
    <row r="87" ht="12.75" customHeight="1">
      <c r="D87" s="6"/>
      <c r="E87" s="7"/>
    </row>
    <row r="88" ht="12.75" customHeight="1">
      <c r="D88" s="6"/>
      <c r="E88" s="7"/>
    </row>
    <row r="89" ht="12.75" customHeight="1">
      <c r="D89" s="6"/>
      <c r="E89" s="7"/>
    </row>
    <row r="90" ht="12.75" customHeight="1">
      <c r="D90" s="6"/>
      <c r="E90" s="7"/>
    </row>
    <row r="91" ht="12.75" customHeight="1">
      <c r="D91" s="6"/>
      <c r="E91" s="7"/>
    </row>
    <row r="92" ht="12.75" customHeight="1">
      <c r="D92" s="6"/>
      <c r="E92" s="7"/>
    </row>
    <row r="93" ht="12.75" customHeight="1">
      <c r="D93" s="6"/>
      <c r="E93" s="7"/>
    </row>
    <row r="94" ht="12.75" customHeight="1">
      <c r="D94" s="6"/>
      <c r="E94" s="7"/>
    </row>
    <row r="95" ht="12.75" customHeight="1">
      <c r="D95" s="6"/>
      <c r="E95" s="7"/>
    </row>
    <row r="96" ht="12.75" customHeight="1">
      <c r="D96" s="6"/>
      <c r="E96" s="7"/>
    </row>
    <row r="97" ht="12.75" customHeight="1">
      <c r="D97" s="6"/>
      <c r="E97" s="7"/>
    </row>
    <row r="98" ht="12.75" customHeight="1">
      <c r="D98" s="6"/>
      <c r="E98" s="7"/>
    </row>
    <row r="99" ht="12.75" customHeight="1">
      <c r="D99" s="6"/>
      <c r="E99" s="7"/>
    </row>
    <row r="100" ht="12.75" customHeight="1">
      <c r="D100" s="6"/>
      <c r="E100" s="7"/>
    </row>
    <row r="101" ht="12.75" customHeight="1">
      <c r="D101" s="6"/>
      <c r="E101" s="7"/>
    </row>
    <row r="102" ht="12.75" customHeight="1">
      <c r="D102" s="6"/>
      <c r="E102" s="7"/>
    </row>
    <row r="103" ht="12.75" customHeight="1">
      <c r="D103" s="6"/>
      <c r="E103" s="7"/>
    </row>
    <row r="104" ht="12.75" customHeight="1">
      <c r="D104" s="6"/>
      <c r="E104" s="7"/>
    </row>
    <row r="105" ht="12.75" customHeight="1">
      <c r="D105" s="6"/>
      <c r="E105" s="7"/>
    </row>
    <row r="106" ht="12.75" customHeight="1">
      <c r="D106" s="6"/>
      <c r="E106" s="7"/>
    </row>
    <row r="107" ht="12.75" customHeight="1">
      <c r="D107" s="6"/>
      <c r="E107" s="7"/>
    </row>
    <row r="108" ht="12.75" customHeight="1">
      <c r="D108" s="6"/>
      <c r="E108" s="7"/>
    </row>
    <row r="109" ht="12.75" customHeight="1">
      <c r="D109" s="6"/>
      <c r="E109" s="7"/>
    </row>
    <row r="110" ht="12.75" customHeight="1">
      <c r="D110" s="6"/>
      <c r="E110" s="7"/>
    </row>
    <row r="111" ht="12.75" customHeight="1">
      <c r="D111" s="6"/>
      <c r="E111" s="7"/>
    </row>
    <row r="112" ht="12.75" customHeight="1">
      <c r="D112" s="6"/>
      <c r="E112" s="7"/>
    </row>
    <row r="113" ht="12.75" customHeight="1">
      <c r="D113" s="6"/>
      <c r="E113" s="7"/>
    </row>
    <row r="114" ht="12.75" customHeight="1">
      <c r="D114" s="6"/>
      <c r="E114" s="7"/>
    </row>
    <row r="115" ht="12.75" customHeight="1">
      <c r="D115" s="6"/>
      <c r="E115" s="7"/>
    </row>
    <row r="116" ht="12.75" customHeight="1">
      <c r="D116" s="6"/>
      <c r="E116" s="7"/>
    </row>
    <row r="117" ht="12.75" customHeight="1">
      <c r="D117" s="6"/>
      <c r="E117" s="7"/>
    </row>
    <row r="118" ht="12.75" customHeight="1">
      <c r="D118" s="6"/>
      <c r="E118" s="7"/>
    </row>
    <row r="119" ht="12.75" customHeight="1">
      <c r="D119" s="6"/>
      <c r="E119" s="7"/>
    </row>
    <row r="120" ht="12.75" customHeight="1">
      <c r="D120" s="6"/>
      <c r="E120" s="7"/>
    </row>
    <row r="121" ht="12.75" customHeight="1">
      <c r="D121" s="6"/>
      <c r="E121" s="7"/>
    </row>
    <row r="122" ht="12.75" customHeight="1">
      <c r="D122" s="6"/>
      <c r="E122" s="7"/>
    </row>
    <row r="123" ht="12.75" customHeight="1">
      <c r="D123" s="6"/>
      <c r="E123" s="7"/>
    </row>
    <row r="124" ht="12.75" customHeight="1">
      <c r="D124" s="6"/>
      <c r="E124" s="7"/>
    </row>
    <row r="125" ht="12.75" customHeight="1">
      <c r="D125" s="6"/>
      <c r="E125" s="7"/>
    </row>
    <row r="126" ht="12.75" customHeight="1">
      <c r="D126" s="6"/>
      <c r="E126" s="7"/>
    </row>
    <row r="127" ht="12.75" customHeight="1">
      <c r="D127" s="6"/>
      <c r="E127" s="7"/>
    </row>
    <row r="128" ht="12.75" customHeight="1">
      <c r="D128" s="6"/>
      <c r="E128" s="7"/>
    </row>
    <row r="129" ht="12.75" customHeight="1">
      <c r="D129" s="6"/>
      <c r="E129" s="7"/>
    </row>
    <row r="130" ht="12.75" customHeight="1">
      <c r="D130" s="6"/>
      <c r="E130" s="7"/>
    </row>
    <row r="131" ht="12.75" customHeight="1">
      <c r="D131" s="6"/>
      <c r="E131" s="7"/>
    </row>
    <row r="132" ht="12.75" customHeight="1">
      <c r="D132" s="6"/>
      <c r="E132" s="7"/>
    </row>
    <row r="133" ht="12.75" customHeight="1">
      <c r="D133" s="6"/>
      <c r="E133" s="7"/>
    </row>
    <row r="134" ht="12.75" customHeight="1">
      <c r="D134" s="6"/>
      <c r="E134" s="7"/>
    </row>
    <row r="135" ht="12.75" customHeight="1">
      <c r="D135" s="6"/>
      <c r="E135" s="7"/>
    </row>
    <row r="136" ht="12.75" customHeight="1">
      <c r="D136" s="6"/>
      <c r="E136" s="7"/>
    </row>
    <row r="137" ht="12.75" customHeight="1">
      <c r="D137" s="6"/>
      <c r="E137" s="7"/>
    </row>
    <row r="138" ht="12.75" customHeight="1">
      <c r="D138" s="6"/>
      <c r="E138" s="7"/>
    </row>
    <row r="139" ht="12.75" customHeight="1">
      <c r="D139" s="6"/>
      <c r="E139" s="7"/>
    </row>
    <row r="140" ht="12.75" customHeight="1">
      <c r="D140" s="6"/>
      <c r="E140" s="7"/>
    </row>
    <row r="141" ht="12.75" customHeight="1">
      <c r="D141" s="6"/>
      <c r="E141" s="7"/>
    </row>
    <row r="142" ht="12.75" customHeight="1">
      <c r="D142" s="6"/>
      <c r="E142" s="7"/>
    </row>
    <row r="143" ht="12.75" customHeight="1">
      <c r="D143" s="6"/>
      <c r="E143" s="7"/>
    </row>
    <row r="144" ht="12.75" customHeight="1">
      <c r="D144" s="6"/>
      <c r="E144" s="7"/>
    </row>
    <row r="145" ht="12.75" customHeight="1">
      <c r="D145" s="6"/>
      <c r="E145" s="7"/>
    </row>
    <row r="146" ht="12.75" customHeight="1">
      <c r="D146" s="6"/>
      <c r="E146" s="7"/>
    </row>
    <row r="147" ht="12.75" customHeight="1">
      <c r="D147" s="6"/>
      <c r="E147" s="7"/>
    </row>
    <row r="148" ht="12.75" customHeight="1">
      <c r="D148" s="6"/>
      <c r="E148" s="7"/>
    </row>
    <row r="149" ht="12.75" customHeight="1">
      <c r="D149" s="6"/>
      <c r="E149" s="7"/>
    </row>
    <row r="150" ht="12.75" customHeight="1">
      <c r="D150" s="6"/>
      <c r="E150" s="7"/>
    </row>
    <row r="151" ht="12.75" customHeight="1">
      <c r="D151" s="6"/>
      <c r="E151" s="7"/>
    </row>
    <row r="152" ht="12.75" customHeight="1">
      <c r="D152" s="6"/>
      <c r="E152" s="7"/>
    </row>
    <row r="153" ht="12.75" customHeight="1">
      <c r="D153" s="6"/>
      <c r="E153" s="7"/>
    </row>
    <row r="154" ht="12.75" customHeight="1">
      <c r="D154" s="6"/>
      <c r="E154" s="7"/>
    </row>
    <row r="155" ht="12.75" customHeight="1">
      <c r="D155" s="6"/>
      <c r="E155" s="7"/>
    </row>
    <row r="156" ht="12.75" customHeight="1">
      <c r="D156" s="6"/>
      <c r="E156" s="7"/>
    </row>
    <row r="157" ht="12.75" customHeight="1">
      <c r="D157" s="6"/>
      <c r="E157" s="7"/>
    </row>
    <row r="158" ht="12.75" customHeight="1">
      <c r="D158" s="6"/>
      <c r="E158" s="7"/>
    </row>
    <row r="159" ht="12.75" customHeight="1">
      <c r="D159" s="6"/>
      <c r="E159" s="7"/>
    </row>
    <row r="160" ht="12.75" customHeight="1">
      <c r="D160" s="6"/>
      <c r="E160" s="7"/>
    </row>
    <row r="161" ht="12.75" customHeight="1">
      <c r="D161" s="6"/>
      <c r="E161" s="7"/>
    </row>
    <row r="162" ht="12.75" customHeight="1">
      <c r="D162" s="6"/>
      <c r="E162" s="7"/>
    </row>
    <row r="163" ht="12.75" customHeight="1">
      <c r="D163" s="6"/>
      <c r="E163" s="7"/>
    </row>
    <row r="164" ht="12.75" customHeight="1">
      <c r="D164" s="6"/>
      <c r="E164" s="7"/>
    </row>
    <row r="165" ht="12.75" customHeight="1">
      <c r="D165" s="6"/>
      <c r="E165" s="7"/>
    </row>
    <row r="166" ht="12.75" customHeight="1">
      <c r="D166" s="6"/>
      <c r="E166" s="7"/>
    </row>
    <row r="167" ht="12.75" customHeight="1">
      <c r="D167" s="6"/>
      <c r="E167" s="7"/>
    </row>
    <row r="168" ht="12.75" customHeight="1">
      <c r="D168" s="6"/>
      <c r="E168" s="7"/>
    </row>
    <row r="169" ht="12.75" customHeight="1">
      <c r="D169" s="6"/>
      <c r="E169" s="7"/>
    </row>
    <row r="170" ht="12.75" customHeight="1">
      <c r="D170" s="6"/>
      <c r="E170" s="7"/>
    </row>
    <row r="171" ht="12.75" customHeight="1">
      <c r="D171" s="6"/>
      <c r="E171" s="7"/>
    </row>
    <row r="172" ht="12.75" customHeight="1">
      <c r="D172" s="6"/>
      <c r="E172" s="7"/>
    </row>
    <row r="173" ht="12.75" customHeight="1">
      <c r="D173" s="6"/>
      <c r="E173" s="7"/>
    </row>
    <row r="174" ht="12.75" customHeight="1">
      <c r="D174" s="6"/>
      <c r="E174" s="7"/>
    </row>
    <row r="175" ht="12.75" customHeight="1">
      <c r="D175" s="6"/>
      <c r="E175" s="7"/>
    </row>
    <row r="176" ht="12.75" customHeight="1">
      <c r="D176" s="6"/>
      <c r="E176" s="7"/>
    </row>
    <row r="177" ht="12.75" customHeight="1">
      <c r="D177" s="6"/>
      <c r="E177" s="7"/>
    </row>
    <row r="178" ht="12.75" customHeight="1">
      <c r="D178" s="6"/>
      <c r="E178" s="7"/>
    </row>
    <row r="179" ht="12.75" customHeight="1">
      <c r="D179" s="6"/>
      <c r="E179" s="7"/>
    </row>
    <row r="180" ht="12.75" customHeight="1">
      <c r="D180" s="6"/>
      <c r="E180" s="7"/>
    </row>
    <row r="181" ht="12.75" customHeight="1">
      <c r="D181" s="6"/>
      <c r="E181" s="7"/>
    </row>
    <row r="182" ht="12.75" customHeight="1">
      <c r="D182" s="6"/>
      <c r="E182" s="7"/>
    </row>
    <row r="183" ht="12.75" customHeight="1">
      <c r="D183" s="6"/>
      <c r="E183" s="7"/>
    </row>
    <row r="184" ht="12.75" customHeight="1">
      <c r="D184" s="6"/>
      <c r="E184" s="7"/>
    </row>
    <row r="185" ht="12.75" customHeight="1">
      <c r="D185" s="6"/>
      <c r="E185" s="7"/>
    </row>
    <row r="186" ht="12.75" customHeight="1">
      <c r="D186" s="6"/>
      <c r="E186" s="7"/>
    </row>
    <row r="187" ht="12.75" customHeight="1">
      <c r="D187" s="6"/>
      <c r="E187" s="7"/>
    </row>
    <row r="188" ht="12.75" customHeight="1">
      <c r="D188" s="6"/>
      <c r="E188" s="7"/>
    </row>
    <row r="189" ht="12.75" customHeight="1">
      <c r="D189" s="6"/>
      <c r="E189" s="7"/>
    </row>
    <row r="190" ht="12.75" customHeight="1">
      <c r="D190" s="6"/>
      <c r="E190" s="7"/>
    </row>
    <row r="191" ht="12.75" customHeight="1">
      <c r="D191" s="6"/>
      <c r="E191" s="7"/>
    </row>
    <row r="192" ht="12.75" customHeight="1">
      <c r="D192" s="6"/>
      <c r="E192" s="7"/>
    </row>
    <row r="193" ht="12.75" customHeight="1">
      <c r="D193" s="6"/>
      <c r="E193" s="7"/>
    </row>
    <row r="194" ht="12.75" customHeight="1">
      <c r="D194" s="6"/>
      <c r="E194" s="7"/>
    </row>
    <row r="195" ht="12.75" customHeight="1">
      <c r="D195" s="6"/>
      <c r="E195" s="7"/>
    </row>
    <row r="196" ht="12.75" customHeight="1">
      <c r="D196" s="6"/>
      <c r="E196" s="7"/>
    </row>
    <row r="197" ht="12.75" customHeight="1">
      <c r="D197" s="6"/>
      <c r="E197" s="7"/>
    </row>
    <row r="198" ht="12.75" customHeight="1">
      <c r="D198" s="6"/>
      <c r="E198" s="7"/>
    </row>
    <row r="199" ht="12.75" customHeight="1">
      <c r="D199" s="6"/>
      <c r="E199" s="7"/>
    </row>
    <row r="200" ht="12.75" customHeight="1">
      <c r="D200" s="6"/>
      <c r="E200" s="7"/>
    </row>
    <row r="201" ht="12.75" customHeight="1">
      <c r="D201" s="6"/>
      <c r="E201" s="7"/>
    </row>
    <row r="202" ht="12.75" customHeight="1">
      <c r="D202" s="6"/>
      <c r="E202" s="7"/>
    </row>
    <row r="203" ht="12.75" customHeight="1">
      <c r="D203" s="6"/>
      <c r="E203" s="7"/>
    </row>
    <row r="204" ht="12.75" customHeight="1">
      <c r="D204" s="6"/>
      <c r="E204" s="7"/>
    </row>
    <row r="205" ht="12.75" customHeight="1">
      <c r="D205" s="6"/>
      <c r="E205" s="7"/>
    </row>
    <row r="206" ht="12.75" customHeight="1">
      <c r="D206" s="6"/>
      <c r="E206" s="7"/>
    </row>
    <row r="207" ht="12.75" customHeight="1">
      <c r="D207" s="6"/>
      <c r="E207" s="7"/>
    </row>
    <row r="208" ht="12.75" customHeight="1">
      <c r="D208" s="6"/>
      <c r="E208" s="7"/>
    </row>
    <row r="209" ht="12.75" customHeight="1">
      <c r="D209" s="6"/>
      <c r="E209" s="7"/>
    </row>
    <row r="210" ht="12.75" customHeight="1">
      <c r="D210" s="6"/>
      <c r="E210" s="7"/>
    </row>
    <row r="211" ht="12.75" customHeight="1">
      <c r="D211" s="6"/>
      <c r="E211" s="7"/>
    </row>
    <row r="212" ht="12.75" customHeight="1">
      <c r="D212" s="6"/>
      <c r="E212" s="7"/>
    </row>
    <row r="213" ht="12.75" customHeight="1">
      <c r="D213" s="6"/>
      <c r="E213" s="7"/>
    </row>
    <row r="214" ht="12.75" customHeight="1">
      <c r="D214" s="6"/>
      <c r="E214" s="7"/>
    </row>
    <row r="215" ht="12.75" customHeight="1">
      <c r="D215" s="6"/>
      <c r="E215" s="7"/>
    </row>
    <row r="216" ht="12.75" customHeight="1">
      <c r="D216" s="6"/>
      <c r="E216" s="7"/>
    </row>
    <row r="217" ht="12.75" customHeight="1">
      <c r="D217" s="6"/>
      <c r="E217" s="7"/>
    </row>
    <row r="218" ht="12.75" customHeight="1">
      <c r="D218" s="6"/>
      <c r="E218" s="7"/>
    </row>
    <row r="219" ht="12.75" customHeight="1">
      <c r="D219" s="6"/>
      <c r="E219" s="7"/>
    </row>
    <row r="220" ht="12.75" customHeight="1">
      <c r="D220" s="6"/>
      <c r="E220" s="7"/>
    </row>
    <row r="221" ht="12.75" customHeight="1">
      <c r="D221" s="6"/>
      <c r="E221" s="7"/>
    </row>
    <row r="222" ht="12.75" customHeight="1">
      <c r="D222" s="6"/>
      <c r="E222" s="7"/>
    </row>
    <row r="223" ht="12.75" customHeight="1">
      <c r="D223" s="6"/>
      <c r="E223" s="7"/>
    </row>
    <row r="224" ht="12.75" customHeight="1">
      <c r="D224" s="6"/>
      <c r="E224" s="7"/>
    </row>
    <row r="225" ht="12.75" customHeight="1">
      <c r="D225" s="6"/>
      <c r="E225" s="7"/>
    </row>
    <row r="226" ht="12.75" customHeight="1">
      <c r="D226" s="6"/>
      <c r="E226" s="7"/>
    </row>
    <row r="227" ht="12.75" customHeight="1">
      <c r="D227" s="6"/>
      <c r="E227" s="7"/>
    </row>
    <row r="228" ht="12.75" customHeight="1">
      <c r="D228" s="6"/>
      <c r="E228" s="7"/>
    </row>
    <row r="229" ht="12.75" customHeight="1">
      <c r="D229" s="6"/>
      <c r="E229" s="7"/>
    </row>
    <row r="230" ht="12.75" customHeight="1">
      <c r="D230" s="6"/>
      <c r="E230" s="7"/>
    </row>
    <row r="231" ht="12.75" customHeight="1">
      <c r="D231" s="6"/>
      <c r="E231" s="7"/>
    </row>
    <row r="232" ht="12.75" customHeight="1">
      <c r="D232" s="6"/>
      <c r="E232" s="7"/>
    </row>
    <row r="233" ht="12.75" customHeight="1">
      <c r="D233" s="6"/>
      <c r="E233" s="7"/>
    </row>
    <row r="234" ht="12.75" customHeight="1">
      <c r="D234" s="6"/>
      <c r="E234" s="7"/>
    </row>
    <row r="235" ht="12.75" customHeight="1">
      <c r="D235" s="6"/>
      <c r="E235" s="7"/>
    </row>
    <row r="236" ht="12.75" customHeight="1">
      <c r="D236" s="6"/>
      <c r="E236" s="7"/>
    </row>
    <row r="237" ht="12.75" customHeight="1">
      <c r="D237" s="6"/>
      <c r="E237" s="7"/>
    </row>
    <row r="238" ht="12.75" customHeight="1">
      <c r="D238" s="6"/>
      <c r="E238" s="7"/>
    </row>
    <row r="239" ht="12.75" customHeight="1">
      <c r="D239" s="6"/>
      <c r="E239" s="7"/>
    </row>
    <row r="240" ht="12.75" customHeight="1">
      <c r="D240" s="6"/>
      <c r="E240" s="7"/>
    </row>
    <row r="241" ht="12.75" customHeight="1">
      <c r="D241" s="6"/>
      <c r="E241" s="7"/>
    </row>
    <row r="242" ht="12.75" customHeight="1">
      <c r="D242" s="6"/>
      <c r="E242" s="7"/>
    </row>
    <row r="243" ht="12.75" customHeight="1">
      <c r="D243" s="6"/>
      <c r="E243" s="7"/>
    </row>
    <row r="244" ht="12.75" customHeight="1">
      <c r="D244" s="6"/>
      <c r="E244" s="7"/>
    </row>
    <row r="245" ht="12.75" customHeight="1">
      <c r="D245" s="6"/>
      <c r="E245" s="7"/>
    </row>
    <row r="246" ht="12.75" customHeight="1">
      <c r="D246" s="6"/>
      <c r="E246" s="7"/>
    </row>
    <row r="247" ht="12.75" customHeight="1">
      <c r="D247" s="6"/>
      <c r="E247" s="7"/>
    </row>
    <row r="248" ht="12.75" customHeight="1">
      <c r="D248" s="6"/>
      <c r="E248" s="7"/>
    </row>
    <row r="249" ht="12.75" customHeight="1">
      <c r="D249" s="6"/>
      <c r="E249" s="7"/>
    </row>
    <row r="250" ht="12.75" customHeight="1">
      <c r="D250" s="6"/>
      <c r="E250" s="7"/>
    </row>
    <row r="251" ht="12.75" customHeight="1">
      <c r="D251" s="6"/>
      <c r="E251" s="7"/>
    </row>
    <row r="252" ht="12.75" customHeight="1">
      <c r="D252" s="6"/>
      <c r="E252" s="7"/>
    </row>
    <row r="253" ht="12.75" customHeight="1">
      <c r="D253" s="6"/>
      <c r="E253" s="7"/>
    </row>
    <row r="254" ht="12.75" customHeight="1">
      <c r="D254" s="6"/>
      <c r="E254" s="7"/>
    </row>
    <row r="255" ht="12.75" customHeight="1">
      <c r="D255" s="6"/>
      <c r="E255" s="7"/>
    </row>
    <row r="256" ht="12.75" customHeight="1">
      <c r="D256" s="6"/>
      <c r="E256" s="7"/>
    </row>
    <row r="257" ht="12.75" customHeight="1">
      <c r="D257" s="6"/>
      <c r="E257" s="7"/>
    </row>
    <row r="258" ht="12.75" customHeight="1">
      <c r="D258" s="6"/>
      <c r="E258" s="7"/>
    </row>
    <row r="259" ht="12.75" customHeight="1">
      <c r="D259" s="6"/>
      <c r="E259" s="7"/>
    </row>
    <row r="260" ht="12.75" customHeight="1">
      <c r="D260" s="6"/>
      <c r="E260" s="7"/>
    </row>
    <row r="261" ht="12.75" customHeight="1">
      <c r="D261" s="6"/>
      <c r="E261" s="7"/>
    </row>
    <row r="262" ht="12.75" customHeight="1">
      <c r="D262" s="6"/>
      <c r="E262" s="7"/>
    </row>
    <row r="263" ht="12.75" customHeight="1">
      <c r="D263" s="6"/>
      <c r="E263" s="7"/>
    </row>
    <row r="264" ht="12.75" customHeight="1">
      <c r="D264" s="6"/>
      <c r="E264" s="7"/>
    </row>
    <row r="265" ht="12.75" customHeight="1">
      <c r="D265" s="6"/>
      <c r="E265" s="7"/>
    </row>
    <row r="266" ht="12.75" customHeight="1">
      <c r="D266" s="6"/>
      <c r="E266" s="7"/>
    </row>
    <row r="267" ht="12.75" customHeight="1">
      <c r="D267" s="6"/>
      <c r="E267" s="7"/>
    </row>
    <row r="268" ht="12.75" customHeight="1">
      <c r="D268" s="6"/>
      <c r="E268" s="7"/>
    </row>
    <row r="269" ht="12.75" customHeight="1">
      <c r="D269" s="6"/>
      <c r="E269" s="7"/>
    </row>
    <row r="270" ht="12.75" customHeight="1">
      <c r="D270" s="6"/>
      <c r="E270" s="7"/>
    </row>
    <row r="271" ht="12.75" customHeight="1">
      <c r="D271" s="6"/>
      <c r="E271" s="7"/>
    </row>
    <row r="272" ht="12.75" customHeight="1">
      <c r="D272" s="6"/>
      <c r="E272" s="7"/>
    </row>
    <row r="273" ht="12.75" customHeight="1">
      <c r="D273" s="6"/>
      <c r="E273" s="7"/>
    </row>
    <row r="274" ht="12.75" customHeight="1">
      <c r="D274" s="6"/>
      <c r="E274" s="7"/>
    </row>
    <row r="275" ht="12.75" customHeight="1">
      <c r="D275" s="6"/>
      <c r="E275" s="7"/>
    </row>
    <row r="276" ht="12.75" customHeight="1">
      <c r="D276" s="6"/>
      <c r="E276" s="7"/>
    </row>
    <row r="277" ht="12.75" customHeight="1">
      <c r="D277" s="6"/>
      <c r="E277" s="7"/>
    </row>
    <row r="278" ht="12.75" customHeight="1">
      <c r="D278" s="6"/>
      <c r="E278" s="7"/>
    </row>
    <row r="279" ht="12.75" customHeight="1">
      <c r="D279" s="6"/>
      <c r="E279" s="7"/>
    </row>
    <row r="280" ht="12.75" customHeight="1">
      <c r="D280" s="6"/>
      <c r="E280" s="7"/>
    </row>
    <row r="281" ht="12.75" customHeight="1">
      <c r="D281" s="6"/>
      <c r="E281" s="7"/>
    </row>
    <row r="282" ht="12.75" customHeight="1">
      <c r="D282" s="6"/>
      <c r="E282" s="7"/>
    </row>
    <row r="283" ht="12.75" customHeight="1">
      <c r="D283" s="6"/>
      <c r="E283" s="7"/>
    </row>
    <row r="284" ht="12.75" customHeight="1">
      <c r="D284" s="6"/>
      <c r="E284" s="7"/>
    </row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39.88"/>
    <col customWidth="1" min="3" max="3" width="20.75"/>
    <col customWidth="1" min="4" max="23" width="11.88"/>
  </cols>
  <sheetData>
    <row r="1" ht="12.75" customHeight="1">
      <c r="A1" s="18" t="s">
        <v>236</v>
      </c>
      <c r="B1" s="18" t="s">
        <v>237</v>
      </c>
      <c r="C1" s="18" t="s">
        <v>238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2.75" customHeight="1">
      <c r="A2" s="2" t="s">
        <v>239</v>
      </c>
      <c r="B2" s="12" t="s">
        <v>240</v>
      </c>
      <c r="C2" s="12" t="s">
        <v>241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