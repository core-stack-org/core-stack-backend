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TT3HSBxNUNBEr8rZvWGN+mQ5q6DMhC7C9YOSVZB8RS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ID#AAAB3F38-9M
    (2024-02-23 09:09:18)
[Threaded comment]
Your version of Excel allows you to read this threaded comment; however, any edits to it will get removed if the file is opened in a newer version of Excel. Learn more: https://go.microsoft.com/fwlink/?linkid=870924
Comment:
    This template only includes English columns. To add a second language, duplicate the columns with headers ending in “::English”, replacing “English” with the name of the new language. 
Reply:
    (Note, there must be 2 colons between the column header and language name)</t>
      </text>
    </comment>
  </commentList>
  <extLst>
    <ext uri="GoogleSheetsCustomDataVersion2">
      <go:sheetsCustomData xmlns:go="http://customooxmlschemas.google.com/" r:id="rId1" roundtripDataSignature="AMtx7mi5LrTWkfnQVdpdfnichpzlKdtP1Q=="/>
    </ext>
  </extLst>
</comments>
</file>

<file path=xl/sharedStrings.xml><?xml version="1.0" encoding="utf-8"?>
<sst xmlns="http://schemas.openxmlformats.org/spreadsheetml/2006/main" count="711" uniqueCount="460">
  <si>
    <t>type</t>
  </si>
  <si>
    <t>name</t>
  </si>
  <si>
    <t>label::English(en)</t>
  </si>
  <si>
    <t>label::Hindi(hi)</t>
  </si>
  <si>
    <t>label::Gujarati(gu)</t>
  </si>
  <si>
    <t>label::Kannada(kn)</t>
  </si>
  <si>
    <t>label::Odia(or)</t>
  </si>
  <si>
    <t>relevant</t>
  </si>
  <si>
    <t>calculation</t>
  </si>
  <si>
    <t>read_only</t>
  </si>
  <si>
    <t>hint::English(en)</t>
  </si>
  <si>
    <t>hint::Hindi(hi)</t>
  </si>
  <si>
    <t>hint::Gujarati(gu)</t>
  </si>
  <si>
    <t>hint::Kannada(kn)</t>
  </si>
  <si>
    <t>hint::Odia(or)</t>
  </si>
  <si>
    <t>appearance</t>
  </si>
  <si>
    <t>parameters</t>
  </si>
  <si>
    <t>required</t>
  </si>
  <si>
    <t>constraint</t>
  </si>
  <si>
    <t>constraint_message::English(en)</t>
  </si>
  <si>
    <t>constraint_message::Hindi(hi)</t>
  </si>
  <si>
    <t>constraint_message::Gujarati(gu)</t>
  </si>
  <si>
    <t>constraint_message::Kannada(kn)</t>
  </si>
  <si>
    <t>constraint_message::Odia(or)</t>
  </si>
  <si>
    <t>start</t>
  </si>
  <si>
    <t>end</t>
  </si>
  <si>
    <t>today</t>
  </si>
  <si>
    <t>deviceid</t>
  </si>
  <si>
    <t>text</t>
  </si>
  <si>
    <t>beneficiary_settlement</t>
  </si>
  <si>
    <t>Name of Beneficiary's Settlement</t>
  </si>
  <si>
    <t xml:space="preserve">लाभ मिलने वाला टोला का नाम </t>
  </si>
  <si>
    <t xml:space="preserve">ಫಲಾನುಭವಿಯ ಹೆಸರು </t>
  </si>
  <si>
    <t>yes</t>
  </si>
  <si>
    <t>select_one demand</t>
  </si>
  <si>
    <t>demand_type</t>
  </si>
  <si>
    <t>Type of demand</t>
  </si>
  <si>
    <t>ಬೇಡಿಕೆಯ ಪ್ರಕಾರ</t>
  </si>
  <si>
    <t>Beneficiary_Name</t>
  </si>
  <si>
    <t>Beneficiary's Name</t>
  </si>
  <si>
    <t>ಫಲಾನುಭವಿಯ ಹೆಸರು</t>
  </si>
  <si>
    <t>${demand_type}='Individual_demand'</t>
  </si>
  <si>
    <t>select_one gender</t>
  </si>
  <si>
    <t>select_gender</t>
  </si>
  <si>
    <t>Gender</t>
  </si>
  <si>
    <t>ಲಿಂಗ</t>
  </si>
  <si>
    <t>ben_father</t>
  </si>
  <si>
    <t>Beneficiary's Father/Husband name</t>
  </si>
  <si>
    <t>लाभार्थी के पिता का नाम</t>
  </si>
  <si>
    <t>ಫಲಾನುಭವಿಯ ತಂದೆಯ ಹೆಸರು</t>
  </si>
  <si>
    <t>integer</t>
  </si>
  <si>
    <t>Beneficiary_Contact_Number</t>
  </si>
  <si>
    <t>Beneficiary's Contact Number</t>
  </si>
  <si>
    <t>लाभार्थी का फोन नंबर</t>
  </si>
  <si>
    <t>ಫಲಾನುಭವಿಯ ಸಂಪರ್ಕ ಸಂಖ್ಯೆ</t>
  </si>
  <si>
    <t>regex(., '^(\\+?91[ -]?)?0?[6-9][0-9]{2}[ -]?[0-9]{3}[ -]?[0-9]{4}$')</t>
  </si>
  <si>
    <t>Enter a phone number (format: 9876543210)</t>
  </si>
  <si>
    <t>ಫೋನ್ ಸಂಖ್ಯೆಯನ್ನು ನಮೂದಿಸಿ (ಸ್ವರೂಪ: 9876543210)</t>
  </si>
  <si>
    <t>ଏକ ଫୋନ୍ ନମ୍ବର ଲେଖନ୍ତୁ (ଫର୍ମାଟ୍: 9876543210)</t>
  </si>
  <si>
    <t>select_one TYPE_OF_WORK</t>
  </si>
  <si>
    <t>TYPE_OF_WORK</t>
  </si>
  <si>
    <t>Select the type of surface water structure for repair work</t>
  </si>
  <si>
    <t>कार्य का प्रकार चुनें</t>
  </si>
  <si>
    <t>ದುರಸ್ತಿ ಕೆಲಸಕ್ಕಾಗಿ ಮೇಲ್ಮೈ ನೀರಿನ ರಚನೆಯ ಪ್ರಕಾರವನ್ನು ಆಯ್ಕೆಮಾಡಿ.</t>
  </si>
  <si>
    <t>${demand_type}='Individual_demand' or ${demand_type}='Community_demand'</t>
  </si>
  <si>
    <t>select_multiple farm_pond or_other</t>
  </si>
  <si>
    <t>select_one_farm_pond</t>
  </si>
  <si>
    <r>
      <rPr>
        <rFont val="Calibri"/>
        <color rgb="FF000000"/>
        <sz val="11.0"/>
      </rPr>
      <t xml:space="preserve">Repair of </t>
    </r>
    <r>
      <rPr>
        <rFont val="Calibri"/>
        <color rgb="FF000000"/>
        <sz val="11.0"/>
      </rPr>
      <t>farm pond</t>
    </r>
  </si>
  <si>
    <t>खेत में बनाये गए तालाबों/डोभा की मरम्मत</t>
  </si>
  <si>
    <t>ಕೃಷಿ ಹೊಂಡ ದುರಸ್ತಿ</t>
  </si>
  <si>
    <t>${TYPE_OF_WORK}=’Farm pond’</t>
  </si>
  <si>
    <t>select_one Soil</t>
  </si>
  <si>
    <t>select_one_soil_fp</t>
  </si>
  <si>
    <t>Type of Soil</t>
  </si>
  <si>
    <t>मिट्टी का प्रकार</t>
  </si>
  <si>
    <t>માટીનો પ્રકાર</t>
  </si>
  <si>
    <t>ಮಣ್ಣಿನ ವಿಧ</t>
  </si>
  <si>
    <t>selected(${select_one_farm_pond}, ’De_sitling’)</t>
  </si>
  <si>
    <t>select_one silt</t>
  </si>
  <si>
    <t>Select_one_silt_fp</t>
  </si>
  <si>
    <t>Amount of Silt</t>
  </si>
  <si>
    <t>गाद का ढेर</t>
  </si>
  <si>
    <t>કાંપનો પર્વત</t>
  </si>
  <si>
    <t>ಸಿಲ್ಟ್ ಪರ್ವತ</t>
  </si>
  <si>
    <t>select_multiple community_pond or_other</t>
  </si>
  <si>
    <t>select_one_community_pond</t>
  </si>
  <si>
    <r>
      <rPr>
        <rFont val="Calibri"/>
        <color rgb="FF000000"/>
        <sz val="11.0"/>
      </rPr>
      <t>Repair of c</t>
    </r>
    <r>
      <rPr>
        <rFont val="Calibri"/>
        <color rgb="FF000000"/>
        <sz val="11.0"/>
      </rPr>
      <t>ommunity Pond</t>
    </r>
  </si>
  <si>
    <t>सामुदायिक तालाब की मरम्मत</t>
  </si>
  <si>
    <t>ಸಮುದಾಯ ಕೆರೆ ದುರಸ್ತಿ</t>
  </si>
  <si>
    <t>${TYPE_OF_WORK}=’Community Pond’</t>
  </si>
  <si>
    <t>select_one_soil_cp</t>
  </si>
  <si>
    <t>selected(${select_one_community_pond}, ’De_sitling’)</t>
  </si>
  <si>
    <t>Select_one_silt_cp</t>
  </si>
  <si>
    <t>select_multiple large_water_body or_other</t>
  </si>
  <si>
    <t>select_one_repair_large_water_body</t>
  </si>
  <si>
    <t>Repair of large water body</t>
  </si>
  <si>
    <t xml:space="preserve">बड़े जल स्रोत की मरम्मत </t>
  </si>
  <si>
    <t>ದೊಡ್ಡ ನೀರಿನ ಜಲಾಶಯದ ದುರಸ್ತಿ</t>
  </si>
  <si>
    <t>${TYPE_OF_WORK}=’Large water body’</t>
  </si>
  <si>
    <t>select_one_soil_lwb</t>
  </si>
  <si>
    <t>selected(${select_one_repair_large_water_body}, ’De_sitling’)</t>
  </si>
  <si>
    <t>Select_one_silt_lwb</t>
  </si>
  <si>
    <t>select_multiple canal or_other</t>
  </si>
  <si>
    <t>select_one_repair_canal</t>
  </si>
  <si>
    <t xml:space="preserve">Repair of canal
</t>
  </si>
  <si>
    <t>नहर की मरम्मत</t>
  </si>
  <si>
    <t xml:space="preserve">ಕಾಲುವೆ ದುರಸ್ತಿ
</t>
  </si>
  <si>
    <t>${TYPE_OF_WORK}=’Canal’</t>
  </si>
  <si>
    <t>select_one_soil_canal</t>
  </si>
  <si>
    <t>selected(${select_one_repair_canal}, ’Desilting’)</t>
  </si>
  <si>
    <t>Select_one_silt_canal</t>
  </si>
  <si>
    <t>select_multiple check_dam or_other</t>
  </si>
  <si>
    <t>select_one_check_dam</t>
  </si>
  <si>
    <r>
      <rPr>
        <rFont val="Calibri"/>
        <color rgb="FF000000"/>
        <sz val="11.0"/>
      </rPr>
      <t>Repair of c</t>
    </r>
    <r>
      <rPr>
        <rFont val="Calibri"/>
        <color rgb="FF000000"/>
        <sz val="11.0"/>
      </rPr>
      <t>heck dam</t>
    </r>
  </si>
  <si>
    <t>चेक डैम की मरम्मत</t>
  </si>
  <si>
    <t>ಚೆಕ್ ಡ್ಯಾಂ ದುರಸ್ತಿ</t>
  </si>
  <si>
    <t>${TYPE_OF_WORK}=’Check dam’</t>
  </si>
  <si>
    <t>select_one_soil_cd</t>
  </si>
  <si>
    <t>selected(${select_one_check_dam}, 'De_sitling')</t>
  </si>
  <si>
    <t>Select_one_silt_cd</t>
  </si>
  <si>
    <t>select_multiple percolation_tank or_other</t>
  </si>
  <si>
    <t>select_one_percolation_tank</t>
  </si>
  <si>
    <r>
      <rPr>
        <rFont val="Calibri"/>
        <color rgb="FF000000"/>
        <sz val="11.0"/>
      </rPr>
      <t xml:space="preserve">Repair of </t>
    </r>
    <r>
      <rPr>
        <rFont val="Calibri"/>
        <color rgb="FF000000"/>
        <sz val="11.0"/>
      </rPr>
      <t>Percolation tank</t>
    </r>
  </si>
  <si>
    <t>परकोलेशन टैंक की मरम्मत</t>
  </si>
  <si>
    <t>ಪರ್ಕೊಲೇಷನ್ ಟ್ಯಾಂಕ್ ದುರಸ್ತಿ</t>
  </si>
  <si>
    <r>
      <rPr>
        <rFont val="Calibri"/>
        <color rgb="FF000000"/>
        <sz val="11.0"/>
      </rPr>
      <t>${TYPE_OF_WORK}=’</t>
    </r>
    <r>
      <rPr>
        <rFont val="Calibri"/>
        <color rgb="FF000000"/>
        <sz val="11.0"/>
      </rPr>
      <t>Percolation tank’</t>
    </r>
  </si>
  <si>
    <t>select_one_soil_pt</t>
  </si>
  <si>
    <t>selected(${select_one_percolation_tank}, 'De_sitling')</t>
  </si>
  <si>
    <t>Select_one_silt_pt</t>
  </si>
  <si>
    <t>select_multiple rock_fill_dam or_other</t>
  </si>
  <si>
    <t>select_one_rock_fill_dam</t>
  </si>
  <si>
    <r>
      <rPr>
        <rFont val="Calibri"/>
        <color rgb="FF000000"/>
        <sz val="11.0"/>
      </rPr>
      <t>Repair of r</t>
    </r>
    <r>
      <rPr>
        <rFont val="Calibri"/>
        <color rgb="FF000000"/>
        <sz val="11.0"/>
      </rPr>
      <t>ock fill dam</t>
    </r>
  </si>
  <si>
    <t>रॉक फिल बांध की मरम्मत</t>
  </si>
  <si>
    <t>ಕಲ್ಲು ತುಂಬಿದ ಅಣೆಕಟ್ಟು ದುರಸ್ತಿ</t>
  </si>
  <si>
    <t>${TYPE_OF_WORK}=’Rock fill dam’</t>
  </si>
  <si>
    <t>select_one_soil_rfd</t>
  </si>
  <si>
    <t>selected(${select_one_rock_fill_dam}, 'De_sitling')</t>
  </si>
  <si>
    <t>Select_one_silt_rfd</t>
  </si>
  <si>
    <t>select_multiple loose_boulder_structure or_other</t>
  </si>
  <si>
    <t>select_one_loose_boulder_structure</t>
  </si>
  <si>
    <r>
      <rPr>
        <rFont val="Calibri"/>
        <color rgb="FF000000"/>
        <sz val="11.0"/>
      </rPr>
      <t>Repair of l</t>
    </r>
    <r>
      <rPr>
        <rFont val="Calibri"/>
        <color rgb="FF000000"/>
        <sz val="11.0"/>
      </rPr>
      <t>oose boulder structure</t>
    </r>
  </si>
  <si>
    <t xml:space="preserve">लूज बोल्डर स्ट्रक्चर की मरम्मत </t>
  </si>
  <si>
    <t>ಸಡಿಲವಾದ ಬಂಡೆಯ ರಚನೆಯ ದುರಸ್ತಿ</t>
  </si>
  <si>
    <t>${TYPE_OF_WORK}=’Loose boulder structure’</t>
  </si>
  <si>
    <t>select_multiple Model5_structure or_other</t>
  </si>
  <si>
    <t>select_one_model5_structure</t>
  </si>
  <si>
    <r>
      <rPr>
        <rFont val="Calibri"/>
        <color rgb="FF000000"/>
        <sz val="11.0"/>
      </rPr>
      <t xml:space="preserve">Repair of </t>
    </r>
    <r>
      <rPr>
        <rFont val="Calibri"/>
        <color rgb="FF000000"/>
        <sz val="11.0"/>
      </rPr>
      <t>5% Model structure</t>
    </r>
  </si>
  <si>
    <t>5% मॉडल स्ट्रक्चर की मरम्मत</t>
  </si>
  <si>
    <t>5% ಮಾದರಿ ರಚನೆಯ ದುರಸ್ತಿ</t>
  </si>
  <si>
    <t>${TYPE_OF_WORK}=’5% Model structure’</t>
  </si>
  <si>
    <t>select_one_soil_model5</t>
  </si>
  <si>
    <t>selected(${select_one_model5_structure}, 'De_sitling')</t>
  </si>
  <si>
    <t>Select_one_silt_model5</t>
  </si>
  <si>
    <t>select_multiple Model30_40_structure or_other</t>
  </si>
  <si>
    <t>select_one_model30_40_structure</t>
  </si>
  <si>
    <r>
      <rPr>
        <rFont val="Calibri"/>
        <color rgb="FF000000"/>
        <sz val="11.0"/>
      </rPr>
      <t xml:space="preserve">Repair of </t>
    </r>
    <r>
      <rPr>
        <rFont val="Calibri"/>
        <color rgb="FF000000"/>
        <sz val="11.0"/>
      </rPr>
      <t>30-40 Model structure</t>
    </r>
  </si>
  <si>
    <t>30-40 मॉडल स्ट्रक्चर की मरम्मत</t>
  </si>
  <si>
    <t>30-40 ಮಾದರಿ ರಚನೆಯ ದುರಸ್ತಿ</t>
  </si>
  <si>
    <t>${TYPE_OF_WORK}=’30-40 Model structure’</t>
  </si>
  <si>
    <t>select_one_soil_model30</t>
  </si>
  <si>
    <t>selected(${select_one_model30_40_structure}, 'De_sitling')</t>
  </si>
  <si>
    <t>Select_one_silt_model30</t>
  </si>
  <si>
    <t>image</t>
  </si>
  <si>
    <t>image_widget</t>
  </si>
  <si>
    <t>Photo of the area</t>
  </si>
  <si>
    <t>क्षेत्र का फोटो</t>
  </si>
  <si>
    <t>ಪ್ರದೇಶದ ಫೋಟೋ</t>
  </si>
  <si>
    <t>max-pixels=3000</t>
  </si>
  <si>
    <t>audio</t>
  </si>
  <si>
    <t>audio_record</t>
  </si>
  <si>
    <t xml:space="preserve">Record a message justifying the need for the maintenance of surface water structure  at this location
</t>
  </si>
  <si>
    <t xml:space="preserve">ಈ ಸ್ಥಳದಲ್ಲಿ ಮೇಲ್ಮೈ ನೀರಿನ ರಚನೆಯ ನಿರ್ವಹಣೆಯ ಅಗತ್ಯವನ್ನು ಸಮರ್ಥಿಸುವ ಸಂದೇಶವನ್ನು ರೆಕಾರ್ಡ್ ಮಾಡಿ
</t>
  </si>
  <si>
    <t>text_record</t>
  </si>
  <si>
    <t>If you cannot record, write down the justification for the need of maintenance of water structure at this location</t>
  </si>
  <si>
    <t>false()</t>
  </si>
  <si>
    <t>note</t>
  </si>
  <si>
    <t>pm_swb_note_1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</si>
  <si>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</si>
  <si>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</si>
  <si>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 ಈ ಅಂಶವನ್ನು ಮೀರಿ ಏನನ್ನೂ ಮಾರ್ಪಡಿಸಬೇಡಿ ಮತ್ತು ನಿಮ್ಮ ಫಾರ್ಮ್ ಡೇಟಾವನ್ನು ಸಲ್ಲಿಸಿ&lt;/span&gt;</t>
  </si>
  <si>
    <t>begin_group</t>
  </si>
  <si>
    <t>GPS_point</t>
  </si>
  <si>
    <t>Lat/Lon</t>
  </si>
  <si>
    <t>अक्षांश/देशांतर</t>
  </si>
  <si>
    <t>ಅಕ್ಷಾಂಶ/ಲೋನ್</t>
  </si>
  <si>
    <t>compact</t>
  </si>
  <si>
    <t>geopoint</t>
  </si>
  <si>
    <t>point_mapsappearance</t>
  </si>
  <si>
    <t>जियोपॉइंट</t>
  </si>
  <si>
    <t>ଜିଓପଏଣ୍ଟ |</t>
  </si>
  <si>
    <t>maps</t>
  </si>
  <si>
    <t>end_group</t>
  </si>
  <si>
    <t>block_name</t>
  </si>
  <si>
    <t>Block name</t>
  </si>
  <si>
    <t>ब्लॉक का नाम</t>
  </si>
  <si>
    <t>ಬ್ಲಾಕ್ ಹೆಸರು</t>
  </si>
  <si>
    <t>plan_id</t>
  </si>
  <si>
    <t>Plan ID</t>
  </si>
  <si>
    <t>योजना का आईडी</t>
  </si>
  <si>
    <t>ಯೋಜನೆ ಐಡಿ</t>
  </si>
  <si>
    <t>plan_name</t>
  </si>
  <si>
    <t>Plan name</t>
  </si>
  <si>
    <t>योजना का नाम</t>
  </si>
  <si>
    <t>ಯೋಜನೆಯ ಹೆಸರು</t>
  </si>
  <si>
    <t>corresponding_work_id</t>
  </si>
  <si>
    <t>Corresponding Work ID</t>
  </si>
  <si>
    <t xml:space="preserve">सम्बंधित कार्य का आईडी </t>
  </si>
  <si>
    <t>ಸಂಬಂಧಿತ ಕೆಲಸದ ಐಡಿ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</si>
  <si>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</si>
  <si>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</si>
  <si>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</si>
  <si>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</si>
  <si>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work_id</t>
  </si>
  <si>
    <t>Work ID</t>
  </si>
  <si>
    <t>कार्य आईडी</t>
  </si>
  <si>
    <t>ನಿಮ್ಮ ಕೆಲಸದ ಗುರುತಿನ ಸಂಖ್ಯೆ</t>
  </si>
  <si>
    <t>once(uuid(10))</t>
  </si>
  <si>
    <t>list_name</t>
  </si>
  <si>
    <t>Farm pond</t>
  </si>
  <si>
    <t>खेत का तालाब</t>
  </si>
  <si>
    <t>ಕೃಷಿ ಹೊಂಡ</t>
  </si>
  <si>
    <t>Community Pond</t>
  </si>
  <si>
    <t xml:space="preserve">सामुदायिक तालाब </t>
  </si>
  <si>
    <t>ಸಮುದಾಯ ಕೊಳ</t>
  </si>
  <si>
    <t>Large water body</t>
  </si>
  <si>
    <t xml:space="preserve">बड़े जल स्रोत </t>
  </si>
  <si>
    <t>ದೊಡ್ಡ ನೀರಿನ ದೇಹ</t>
  </si>
  <si>
    <t>Canal</t>
  </si>
  <si>
    <t>नहर</t>
  </si>
  <si>
    <t>ಕಾಲುವೆ</t>
  </si>
  <si>
    <t>Check dam</t>
  </si>
  <si>
    <t>चेक डैम</t>
  </si>
  <si>
    <t>ಚೆಕ್ ಡ್ಯಾಮ್</t>
  </si>
  <si>
    <t>Percolation tank</t>
  </si>
  <si>
    <t xml:space="preserve">परकोलेशन टैंक </t>
  </si>
  <si>
    <t>ಪರ್ಕೋಲೇಷನ್ ಟ್ಯಾಂಕ್</t>
  </si>
  <si>
    <t>Rock fill dam</t>
  </si>
  <si>
    <t xml:space="preserve">रॉक फिल डैम </t>
  </si>
  <si>
    <t>ಕಲ್ಲು ತುಂಬಿದ ಅಣೆಕಟ್ಟು</t>
  </si>
  <si>
    <t>Loose boulder structure</t>
  </si>
  <si>
    <t xml:space="preserve">लूज बोल्डर स्ट्रक्चर </t>
  </si>
  <si>
    <t>ಸಡಿಲವಾದ ಬಂಡೆಯ ರಚನೆ</t>
  </si>
  <si>
    <t>5% Model structure</t>
  </si>
  <si>
    <t xml:space="preserve">5% मॉडल स्ट्रक्चर </t>
  </si>
  <si>
    <t>5% ಮಾದರಿ ರಚನೆ</t>
  </si>
  <si>
    <t>30-40 Model structure</t>
  </si>
  <si>
    <t xml:space="preserve">30-40 मॉडल स्ट्रक्चर </t>
  </si>
  <si>
    <t>30-40 ಮಾದರಿ ರಚನೆ</t>
  </si>
  <si>
    <t>check_dam_to_repair</t>
  </si>
  <si>
    <t>Yes</t>
  </si>
  <si>
    <t>हाँ</t>
  </si>
  <si>
    <t>ಹೌದು</t>
  </si>
  <si>
    <t>No</t>
  </si>
  <si>
    <t>नहीं</t>
  </si>
  <si>
    <t>ಸಂಖ್ಯೆ</t>
  </si>
  <si>
    <t>large_water_body</t>
  </si>
  <si>
    <t xml:space="preserve">De_sitling
</t>
  </si>
  <si>
    <t xml:space="preserve">De sitling
</t>
  </si>
  <si>
    <t>डी सिटलिंग</t>
  </si>
  <si>
    <t>ಡಿ ಸಿಟ್ಲಿಂಗ್</t>
  </si>
  <si>
    <t>Shoreline_erosion_control</t>
  </si>
  <si>
    <t>Shoreline erosion control</t>
  </si>
  <si>
    <t xml:space="preserve">किनारे का कटाव रोकना </t>
  </si>
  <si>
    <t>ತೀರದ ಸವೆತ ನಿಯಂತ್ರಣ</t>
  </si>
  <si>
    <t>Dam_Repairs</t>
  </si>
  <si>
    <t>Dam Repairs</t>
  </si>
  <si>
    <t>बांध की मरम्मत</t>
  </si>
  <si>
    <t>ಅಣೆಕಟ್ಟು ದುರಸ್ತಿ</t>
  </si>
  <si>
    <t>Controlling_excessive_growth_of_aquatic_vegetation</t>
  </si>
  <si>
    <t>Controlling excessive growth of aquatic vegetation</t>
  </si>
  <si>
    <t>जलीय पौधों की वृद्धि को नियंत्रित करना</t>
  </si>
  <si>
    <t>ಜಲಸಸ್ಯಗಳ ಅತಿಯಾದ ಬೆಳವಣಿಗೆಯನ್ನು ನಿಯಂತ್ರಿಸುವುದು</t>
  </si>
  <si>
    <t>irrigation_channel</t>
  </si>
  <si>
    <t>Bed_leveling</t>
  </si>
  <si>
    <t>Bed leveling</t>
  </si>
  <si>
    <t xml:space="preserve">सिंचाई नालों की समतलीकरण </t>
  </si>
  <si>
    <t>ಹಾಸಿಗೆಯನ್ನು ನೆಲಸಮ ಮಾಡುವುದು</t>
  </si>
  <si>
    <t>Lining_repairs</t>
  </si>
  <si>
    <t>Lining Repairs</t>
  </si>
  <si>
    <t>परत की मरम्मत</t>
  </si>
  <si>
    <t>ಲೈನಿಂಗ್ ದುರಸ್ತಿಗಳು</t>
  </si>
  <si>
    <t>Clearing_debris,_vegetation,_or_other_obstructions_that_impede_water_flow</t>
  </si>
  <si>
    <t>Clearing debris, vegetation, or other obstructions that impede water flow</t>
  </si>
  <si>
    <t>जल प्रवाह में रूकावट डालने वाले मलबे, वनस्पति या अन्य अवरोधों को साफ़ करना</t>
  </si>
  <si>
    <t>ನೀರಿನ ಹರಿವಿಗೆ ಅಡ್ಡಿಯಾಗುವ ಶಿಲಾಖಂಡರಾಶಿಗಳು, ಸಸ್ಯವರ್ಗ ಅಥವಾ ಇತರ ಅಡೆತಡೆಗಳನ್ನು ತೆರವುಗೊಳಿಸುವುದು.</t>
  </si>
  <si>
    <t>Gates_and_valves_maintenance</t>
  </si>
  <si>
    <t>Gates and valves maintenance</t>
  </si>
  <si>
    <t>गेट और वाल्व का रखरखाव</t>
  </si>
  <si>
    <t>ನೀೀರಿನ ಗೇಟ ಹಾಗೂ ಅದರ ಚಾವಿ ಯಾವ ರೀತಿಯಾಗಿ ಬಳಕೆಯನ್ನು ಮಾಡಿತ್ತಿರಿ?</t>
  </si>
  <si>
    <t>canal</t>
  </si>
  <si>
    <t>Stabilizing_canal_banks_to_prevent_erosion</t>
  </si>
  <si>
    <t xml:space="preserve">Stabilizing canal banks to prevent erosion
</t>
  </si>
  <si>
    <t>कटाव को रोकने के लिए नहर के किनारों को मजबूत करना</t>
  </si>
  <si>
    <t xml:space="preserve">ಸವೆತವನ್ನು ತಡೆಗಟ್ಟಲು ಕಾಲುವೆ ದಂಡೆಗಳನ್ನು ಸ್ಥಿರಗೊಳಿಸುವುದು 
</t>
  </si>
  <si>
    <t>Desilting</t>
  </si>
  <si>
    <t xml:space="preserve">गाद निकालना </t>
  </si>
  <si>
    <t>ಹೂಳು ತೆಗೆಯುವಿಕೆ</t>
  </si>
  <si>
    <t>Structural_repairs</t>
  </si>
  <si>
    <t>Structural repairs</t>
  </si>
  <si>
    <t>स्ट्रक्चर की मरम्मत</t>
  </si>
  <si>
    <t>ರಚನಾತ್ಮಕ ದುರಸ್ತಿಗಳು</t>
  </si>
  <si>
    <t>farm_pond</t>
  </si>
  <si>
    <t>Repairing_cracks_or_damage_in_embankments</t>
  </si>
  <si>
    <t>Repairing cracks or damage in embankments</t>
  </si>
  <si>
    <t>तटबंधों में दरारों या नुक़सान की मरम्मत</t>
  </si>
  <si>
    <t>ಒಡ್ಡುಗಳಲ್ಲಿನ ಬಿರುಕುಗಳು ಅಥವಾ ಹಾನಿಯನ್ನು ಸರಿಪಡಿಸುವುದು</t>
  </si>
  <si>
    <t>Controlling_seepage_or_leaks_in_the_pond_bed</t>
  </si>
  <si>
    <t>Controlling seepage or leaks in the pond bed</t>
  </si>
  <si>
    <t>तालाब तल में रिसाव या लीक को नियंत्रित करना</t>
  </si>
  <si>
    <t>ಕೊಳದ ತಳದಲ್ಲಿ ನೀರು ಸೋರುವಿಕೆ ಅಥವಾ ಸೋರಿಕೆಯನ್ನು ನಿಯಂತ್ರಿಸುವುದು.</t>
  </si>
  <si>
    <t>Erosion_control_on_embankments</t>
  </si>
  <si>
    <t>Erosion control on embankments</t>
  </si>
  <si>
    <t>तटबंधों पर कटाव नियंत्रण</t>
  </si>
  <si>
    <t>ಒಡ್ಡುಗಳ ಮೇಲಿನ ಸವೆತ ನಿಯಂತ್ರಣ</t>
  </si>
  <si>
    <t>Addressing_excessive_aquatic_vegetation_growth</t>
  </si>
  <si>
    <t>Addressing excessive aquatic vegetation growth</t>
  </si>
  <si>
    <t xml:space="preserve">अधिक जलीय पौधों की वृद्धि को रोकना </t>
  </si>
  <si>
    <t>ಅತಿಯಾದ ಜಲಸಸ್ಯಗಳ ಬೆಳವಣಿಗೆಯನ್ನು ತಡೆಗಟ್ಟುವುದು</t>
  </si>
  <si>
    <t>community_pond</t>
  </si>
  <si>
    <t>तटबंधों में दरारों या टूट की मरम्मत</t>
  </si>
  <si>
    <t>Controlling_excessive_aquatic_vegetation_growth</t>
  </si>
  <si>
    <t>Controlling excessive aquatic vegetation growth</t>
  </si>
  <si>
    <t>ಅತಿಯಾದ ಜಲಸಸ್ಯಗಳ ಬೆಳವಣಿಗೆಯನ್ನು ನಿಯಂತ್ರಿಸುವುದು</t>
  </si>
  <si>
    <t>Repair_or_cleaning_of_inlet_outlet_structures</t>
  </si>
  <si>
    <t>Repair or cleaning of inlet/outlet structures</t>
  </si>
  <si>
    <t>इनलेट/आउटलेट स्ट्रक्चर की मरम्मत या सफाई</t>
  </si>
  <si>
    <t>ಒಳಹರಿವು/ಹೊರಹರಿವಿನ ರಚನೆಗಳ ದುರಸ್ತಿ ಅಥವಾ ಶುಚಿಗೊಳಿಸುವಿಕೆ</t>
  </si>
  <si>
    <t xml:space="preserve"> check_dam</t>
  </si>
  <si>
    <t>Erosion_on_the_check_dam</t>
  </si>
  <si>
    <t>Erosion on the check dam</t>
  </si>
  <si>
    <t>चेक डैम पर कटाव</t>
  </si>
  <si>
    <t>ಚೆಕ್ ಡ್ಯಾಂ ಮೇಲೆ ಸವೆತ</t>
  </si>
  <si>
    <t>Structural_damage_on_the_check_dam</t>
  </si>
  <si>
    <t>Structural damage on the check dam</t>
  </si>
  <si>
    <t xml:space="preserve">चेक डैम के स्ट्रक्चर का नुकसान </t>
  </si>
  <si>
    <t>ಚೆಕ್ ಡ್ಯಾಂ ಮೇಲಿನ ರಚನಾತ್ಮಕ ಹಾನಿ</t>
  </si>
  <si>
    <r>
      <rPr>
        <rFont val="Calibri"/>
        <color rgb="FF000000"/>
        <sz val="11.0"/>
      </rPr>
      <t>p</t>
    </r>
    <r>
      <rPr>
        <rFont val="Calibri"/>
        <color rgb="FF000000"/>
        <sz val="11.0"/>
      </rPr>
      <t>ercolation_tank</t>
    </r>
  </si>
  <si>
    <r>
      <rPr>
        <rFont val="Calibri"/>
        <color rgb="FF000000"/>
        <sz val="11.0"/>
      </rPr>
      <t>p</t>
    </r>
    <r>
      <rPr>
        <rFont val="Calibri"/>
        <color rgb="FF000000"/>
        <sz val="11.0"/>
      </rPr>
      <t>ercolation_tank</t>
    </r>
  </si>
  <si>
    <t>Breach_in_embankments</t>
  </si>
  <si>
    <t>Breach in embankments</t>
  </si>
  <si>
    <t>तटबंधों का टूटना</t>
  </si>
  <si>
    <t>ಒಡ್ಡುಗಳಲ್ಲಿ ಬಿರುಕು</t>
  </si>
  <si>
    <r>
      <rPr>
        <rFont val="Calibri"/>
        <color rgb="FF000000"/>
        <sz val="11.0"/>
      </rPr>
      <t>p</t>
    </r>
    <r>
      <rPr>
        <rFont val="Calibri"/>
        <color rgb="FF000000"/>
        <sz val="11.0"/>
      </rPr>
      <t>ercolation_tank</t>
    </r>
  </si>
  <si>
    <t>Erosion_on_tank_bund_or_inlet_outlet</t>
  </si>
  <si>
    <t>Erosion on tank bund or inlet/outlet</t>
  </si>
  <si>
    <t>टैंक बांध या इनलेट/आउटलेट पर कटाव</t>
  </si>
  <si>
    <t>ಟ್ಯಾಂಕ್ ಬಂಡ್ ಅಥವಾ ಒಳಹರಿವು/ಹೊರಹರಿವಿನ ಮೇಲೆ ಸವೆತ</t>
  </si>
  <si>
    <r>
      <rPr>
        <rFont val="Calibri"/>
        <color rgb="FF000000"/>
        <sz val="11.0"/>
      </rPr>
      <t>p</t>
    </r>
    <r>
      <rPr>
        <rFont val="Calibri"/>
        <color rgb="FF000000"/>
        <sz val="11.0"/>
      </rPr>
      <t>ercolation_tank</t>
    </r>
  </si>
  <si>
    <t>Vegetation_growth_blocking_water_entry</t>
  </si>
  <si>
    <t>Vegetation growth blocking water entry</t>
  </si>
  <si>
    <t>पौधों की वृद्धि से पानी का बहाव रुक रहा है</t>
  </si>
  <si>
    <t>ಸಸ್ಯವರ್ಗದ ಬೆಳವಣಿಗೆ ನೀರಿನ ಪ್ರವೇಶವನ್ನು ತಡೆಯುತ್ತದೆ</t>
  </si>
  <si>
    <r>
      <rPr>
        <rFont val="Calibri"/>
        <color rgb="FF000000"/>
        <sz val="11.0"/>
      </rPr>
      <t>p</t>
    </r>
    <r>
      <rPr>
        <rFont val="Calibri"/>
        <color rgb="FF000000"/>
        <sz val="11.0"/>
      </rPr>
      <t>ercolation_tank</t>
    </r>
  </si>
  <si>
    <t>Damage_to_spillway_or_outlet_structure</t>
  </si>
  <si>
    <t>Damage to spillway or outlet structure</t>
  </si>
  <si>
    <t>स्पिलवे या आउटलेट स्ट्रक्चर को नुकसान</t>
  </si>
  <si>
    <t>ಸ್ಪಿಲ್ವೇ ಅಥವಾ ಔಟ್ಲೆಟ್ ರಚನೆಗೆ ಹಾನಿ</t>
  </si>
  <si>
    <t>loose_boulder_structure</t>
  </si>
  <si>
    <t>Dislodged_boulders</t>
  </si>
  <si>
    <t>Dislodged boulders</t>
  </si>
  <si>
    <t>उखड़े हुए पत्थर</t>
  </si>
  <si>
    <t>ಸ್ಥಳಾಂತರಗೊಂಡ ಬಂಡೆಗಳು</t>
  </si>
  <si>
    <t xml:space="preserve">Grouting </t>
  </si>
  <si>
    <t xml:space="preserve">दरार को भरना </t>
  </si>
  <si>
    <t>ಗ್ರೌಟಿಂಗ್</t>
  </si>
  <si>
    <t>Erosion_around_boulder_structure</t>
  </si>
  <si>
    <t>Erosion around boulder structure</t>
  </si>
  <si>
    <t>बोल्डर स्ट्रक्चर के आस-पास कटाव</t>
  </si>
  <si>
    <t>ಬಂಡೆಯ ರಚನೆಯ ಸುತ್ತ ಸವೆತ</t>
  </si>
  <si>
    <t>rock_fill_dam</t>
  </si>
  <si>
    <t>Dislodged_or_loose_rocks</t>
  </si>
  <si>
    <t>Dislodged or loose rocks</t>
  </si>
  <si>
    <t>उखड़ी हुई या ढीली चट्टानें</t>
  </si>
  <si>
    <t>ಸ್ಥಳಾಂತರಗೊಂಡ ಅಥವಾ ಸಡಿಲವಾದ ಬಂಡೆಗಳು</t>
  </si>
  <si>
    <t>Erosion_around_or_under_the_dam_structure</t>
  </si>
  <si>
    <t>Erosion around or under the dam structure</t>
  </si>
  <si>
    <t>बांध स्ट्रक्चर के आसपास या नीचे कटाव</t>
  </si>
  <si>
    <t>ಅಣೆಕಟ್ಟು ರಚನೆಯ ಸುತ್ತಲೂ ಅಥವಾ ಕೆಳಗೆ ಸವೆತ</t>
  </si>
  <si>
    <t>Model5_structure</t>
  </si>
  <si>
    <t>Breaches_or_leaks_in_the_embankment</t>
  </si>
  <si>
    <t>Breaches or leaks in the embankment</t>
  </si>
  <si>
    <t>तटबंध में दरारें या रिसाव</t>
  </si>
  <si>
    <t>ಒಡ್ಡಿನಲ್ಲಿ ಬಿರುಕುಗಳು ಅಥವಾ ಸೋರಿಕೆಗಳು</t>
  </si>
  <si>
    <t>Erosion_on_sides_or_base</t>
  </si>
  <si>
    <t>Erosion on sides or base</t>
  </si>
  <si>
    <t>किनारों या आधार पर कटाव</t>
  </si>
  <si>
    <t>ಬದಿಗಳಲ್ಲಿ ಅಥವಾ ತಳದಲ್ಲಿ ಸವೆತ</t>
  </si>
  <si>
    <t>Model30_40_structure</t>
  </si>
  <si>
    <t>Breaches_in_bunding_or_structure_walls</t>
  </si>
  <si>
    <t>Breaches in bunding or structure walls</t>
  </si>
  <si>
    <t>बाँध या स्ट्रक्चर की दीवारों में दरारें</t>
  </si>
  <si>
    <t>ಕಂಬಗಳು ಅಥವಾ ರಚನೆಯ ಗೋಡೆಗಳಲ್ಲಿನ ಬಿರುಕುಗಳು</t>
  </si>
  <si>
    <t>Erosion_along_trenches_or_bunds</t>
  </si>
  <si>
    <t>Erosion along trenches or bunds</t>
  </si>
  <si>
    <t>खाइयों या बांधों के किनारों पर कटाव</t>
  </si>
  <si>
    <t>ಕಂದಕಗಳು ಅಥವಾ ಕಟ್ಟೆಗಳ ಉದ್ದಕ್ಕೂ ಸವೆತ</t>
  </si>
  <si>
    <t>demand</t>
  </si>
  <si>
    <t>Community_demand</t>
  </si>
  <si>
    <t>Community Demand</t>
  </si>
  <si>
    <t>ಸಮುದಾಯದ ಬೇಡಿಕೆ</t>
  </si>
  <si>
    <t>Individual_demand</t>
  </si>
  <si>
    <t>Individual Demand</t>
  </si>
  <si>
    <t>ವೈಯಕ್ತಿಕ ಬೇಡಿಕೆ</t>
  </si>
  <si>
    <t>gender</t>
  </si>
  <si>
    <t xml:space="preserve">Male </t>
  </si>
  <si>
    <t>ಗಂಡು</t>
  </si>
  <si>
    <t>Female</t>
  </si>
  <si>
    <t>ಹೆಣ್ಣು</t>
  </si>
  <si>
    <t>Soil</t>
  </si>
  <si>
    <t>Black</t>
  </si>
  <si>
    <t>काला</t>
  </si>
  <si>
    <t>કાળો</t>
  </si>
  <si>
    <t>ಕಪ್ಪು</t>
  </si>
  <si>
    <t>Red</t>
  </si>
  <si>
    <t>लाल</t>
  </si>
  <si>
    <t>લાલ</t>
  </si>
  <si>
    <t>ಕೆಂಪು</t>
  </si>
  <si>
    <t>Laterite</t>
  </si>
  <si>
    <t>लैटेराइट</t>
  </si>
  <si>
    <t>લેટરાઇટ</t>
  </si>
  <si>
    <t>ಲ್ಯಾಟರೈಟ್</t>
  </si>
  <si>
    <t>Alluvial</t>
  </si>
  <si>
    <t>जलोढ़</t>
  </si>
  <si>
    <t>એલુવિયલ</t>
  </si>
  <si>
    <t>ಮೆಕ್ಕಲು</t>
  </si>
  <si>
    <t>Sandy</t>
  </si>
  <si>
    <t>रेतीला</t>
  </si>
  <si>
    <t>રેતાળ</t>
  </si>
  <si>
    <t>ಮರಳು</t>
  </si>
  <si>
    <t>Clay</t>
  </si>
  <si>
    <t>मिट्टी</t>
  </si>
  <si>
    <t>માટી</t>
  </si>
  <si>
    <t>ಜೇಡಿಮಣ್ಣು</t>
  </si>
  <si>
    <t>Rocky</t>
  </si>
  <si>
    <t>चट्टानी</t>
  </si>
  <si>
    <t>રોકી</t>
  </si>
  <si>
    <t>ರಾಕಿ</t>
  </si>
  <si>
    <t>silt</t>
  </si>
  <si>
    <t>Low</t>
  </si>
  <si>
    <t>कम</t>
  </si>
  <si>
    <t>નીચું</t>
  </si>
  <si>
    <t>ಕಡಿಮೆ</t>
  </si>
  <si>
    <t>Moderate</t>
  </si>
  <si>
    <t>मध्यम</t>
  </si>
  <si>
    <t>મધ્યમ</t>
  </si>
  <si>
    <t>ಮಧ್ಯಮ</t>
  </si>
  <si>
    <t>High</t>
  </si>
  <si>
    <t>ज़्यादा</t>
  </si>
  <si>
    <t>ઉચ્ચ</t>
  </si>
  <si>
    <t>ಹೆಚ್ಚು</t>
  </si>
  <si>
    <t>form_title</t>
  </si>
  <si>
    <t>form_id</t>
  </si>
  <si>
    <t>default_language</t>
  </si>
  <si>
    <t>instanceID</t>
  </si>
  <si>
    <t>version</t>
  </si>
  <si>
    <t>Propose Maintenance of Remotely Sensed Water Structure</t>
  </si>
  <si>
    <t>PM_Remote_Sensed_Surface_Water_structure_V1.0.0</t>
  </si>
  <si>
    <t>Hindi(hi)</t>
  </si>
  <si>
    <t>’’uuid:’,uuid(work_id)’</t>
  </si>
  <si>
    <t>2.1.1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</si>
</sst>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sz val="11.0"/>
      <color theme="1"/>
      <name val="Courier New"/>
    </font>
    <font>
      <sz val="11.0"/>
      <color theme="1"/>
      <name val="Arial"/>
    </font>
    <font>
      <sz val="11.0"/>
      <color theme="1"/>
      <name val="Roboto"/>
    </font>
    <font>
      <b/>
      <sz val="11.0"/>
      <color theme="1"/>
      <name val="Arial"/>
    </font>
    <font>
      <sz val="11.0"/>
      <color rgb="FF000000"/>
      <name val="Calibri"/>
    </font>
    <font>
      <sz val="11.0"/>
      <color rgb="FF333333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EF2CB"/>
        <bgColor rgb="FFFEF2CB"/>
      </patternFill>
    </fill>
  </fills>
  <borders count="3">
    <border/>
    <border>
      <left/>
      <right/>
      <top/>
      <bottom/>
    </border>
    <border>
      <left/>
      <right/>
      <top/>
      <bottom style="thick">
        <color rgb="FFA6BFDD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readingOrder="0"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0" fillId="2" fontId="2" numFmtId="0" xfId="0" applyAlignment="1" applyFont="1">
      <alignment vertical="bottom"/>
    </xf>
    <xf borderId="1" fillId="3" fontId="3" numFmtId="0" xfId="0" applyAlignment="1" applyBorder="1" applyFill="1" applyFont="1">
      <alignment shrinkToFit="0" wrapText="1"/>
    </xf>
    <xf borderId="0" fillId="0" fontId="2" numFmtId="0" xfId="0" applyAlignment="1" applyFont="1">
      <alignment vertical="bottom"/>
    </xf>
    <xf borderId="0" fillId="3" fontId="2" numFmtId="0" xfId="0" applyFont="1"/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4" fontId="4" numFmtId="0" xfId="0" applyAlignment="1" applyFill="1" applyFont="1">
      <alignment shrinkToFit="0" vertical="bottom" wrapText="1"/>
    </xf>
    <xf borderId="0" fillId="4" fontId="2" numFmtId="0" xfId="0" applyAlignment="1" applyFont="1">
      <alignment shrinkToFit="0" vertical="bottom" wrapText="1"/>
    </xf>
    <xf borderId="0" fillId="4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5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4" fontId="2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5" fontId="2" numFmtId="0" xfId="0" applyAlignment="1" applyFill="1" applyFont="1">
      <alignment shrinkToFit="0" vertical="bottom" wrapText="1"/>
    </xf>
    <xf borderId="0" fillId="5" fontId="2" numFmtId="0" xfId="0" applyAlignment="1" applyFont="1">
      <alignment vertical="bottom"/>
    </xf>
    <xf borderId="0" fillId="5" fontId="2" numFmtId="0" xfId="0" applyFont="1"/>
    <xf borderId="1" fillId="6" fontId="2" numFmtId="0" xfId="0" applyAlignment="1" applyBorder="1" applyFill="1" applyFont="1">
      <alignment vertical="bottom"/>
    </xf>
    <xf borderId="0" fillId="6" fontId="2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1" fillId="2" fontId="1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0" fillId="2" fontId="1" numFmtId="0" xfId="0" applyAlignment="1" applyFont="1">
      <alignment vertical="bottom"/>
    </xf>
    <xf borderId="2" fillId="2" fontId="1" numFmtId="0" xfId="0" applyAlignment="1" applyBorder="1" applyFont="1">
      <alignment horizontal="center" shrinkToFit="0" wrapText="1"/>
    </xf>
    <xf borderId="0" fillId="2" fontId="2" numFmtId="0" xfId="0" applyAlignment="1" applyFont="1">
      <alignment readingOrder="0" vertical="bottom"/>
    </xf>
    <xf borderId="2" fillId="4" fontId="2" numFmtId="0" xfId="0" applyBorder="1" applyFont="1"/>
    <xf borderId="0" fillId="0" fontId="5" numFmtId="0" xfId="0" applyAlignment="1" applyFont="1">
      <alignment vertical="bottom"/>
    </xf>
    <xf borderId="2" fillId="2" fontId="1" numFmtId="0" xfId="0" applyAlignment="1" applyBorder="1" applyFont="1">
      <alignment horizontal="center" shrinkToFit="0" vertical="center" wrapText="1"/>
    </xf>
    <xf borderId="0" fillId="2" fontId="1" numFmtId="0" xfId="0" applyFont="1"/>
    <xf borderId="0" fillId="0" fontId="8" numFmtId="0" xfId="0" applyAlignment="1" applyFont="1">
      <alignment horizontal="center" shrinkToFit="0" vertical="bottom" wrapText="1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86"/>
    <col customWidth="1" min="2" max="2" width="55.71"/>
    <col customWidth="1" min="3" max="3" width="50.43"/>
    <col customWidth="1" hidden="1" min="4" max="5" width="55.71"/>
    <col customWidth="1" min="6" max="7" width="55.71"/>
    <col customWidth="1" min="8" max="8" width="61.86"/>
    <col customWidth="1" min="9" max="15" width="24.14"/>
    <col customWidth="1" min="16" max="17" width="21.43"/>
    <col customWidth="1" min="18" max="18" width="24.0"/>
    <col customWidth="1" min="19" max="19" width="25.29"/>
    <col customWidth="1" min="20" max="20" width="38.14"/>
    <col customWidth="1" min="21" max="21" width="58.71"/>
    <col customWidth="1" min="22" max="22" width="53.0"/>
    <col customWidth="1" min="23" max="24" width="62.14"/>
    <col customWidth="1" min="25" max="44" width="8.86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ht="13.5" customHeight="1">
      <c r="A2" s="6" t="s">
        <v>24</v>
      </c>
      <c r="B2" s="6" t="s">
        <v>24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ht="13.5" customHeight="1">
      <c r="A3" s="6" t="s">
        <v>25</v>
      </c>
      <c r="B3" s="6" t="s">
        <v>25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ht="13.5" customHeight="1">
      <c r="A4" s="6" t="s">
        <v>26</v>
      </c>
      <c r="B4" s="6" t="s">
        <v>26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ht="13.5" customHeight="1">
      <c r="A5" s="6" t="s">
        <v>27</v>
      </c>
      <c r="B5" s="6" t="s">
        <v>27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ht="13.5" customHeight="1">
      <c r="A6" s="8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ht="13.5" customHeight="1">
      <c r="A7" s="9" t="s">
        <v>28</v>
      </c>
      <c r="B7" s="9" t="s">
        <v>29</v>
      </c>
      <c r="C7" s="9" t="s">
        <v>30</v>
      </c>
      <c r="D7" s="9" t="s">
        <v>31</v>
      </c>
      <c r="E7" s="9" t="str">
        <f>IFERROR(__xludf.DUMMYFUNCTION("GOOGLETRANSLATE(C7, ""en"", ""gu"")"),"લાભાર્થીના સમાધાનનું નામ")</f>
        <v>લાભાર્થીના સમાધાનનું નામ</v>
      </c>
      <c r="F7" s="9" t="s">
        <v>32</v>
      </c>
      <c r="G7" s="9" t="str">
        <f>IFERROR(__xludf.DUMMYFUNCTION("GOOGLETRANSLATE(C7,""en"",""or"")"),"ହିତାଧିକାରୀଙ୍କ ବନ୍ଦୋବସ୍ତ ନାମ")</f>
        <v>ହିତାଧିକାରୀଙ୍କ ବନ୍ଦୋବସ୍ତ ନାମ</v>
      </c>
      <c r="H7" s="7"/>
      <c r="I7" s="7"/>
      <c r="J7" s="7"/>
      <c r="K7" s="7"/>
      <c r="L7" s="7"/>
      <c r="M7" s="7"/>
      <c r="N7" s="7"/>
      <c r="O7" s="7"/>
      <c r="P7" s="7"/>
      <c r="Q7" s="7"/>
      <c r="R7" s="9" t="s">
        <v>33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ht="13.5" customHeight="1">
      <c r="A8" s="7"/>
      <c r="B8" s="7"/>
      <c r="C8" s="7"/>
      <c r="D8" s="7"/>
      <c r="E8" s="7"/>
      <c r="F8" s="7"/>
      <c r="G8" s="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ht="13.5" customHeight="1">
      <c r="A9" s="7"/>
      <c r="B9" s="7"/>
      <c r="C9" s="7"/>
      <c r="D9" s="7"/>
      <c r="E9" s="7"/>
      <c r="F9" s="7"/>
      <c r="G9" s="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>
      <c r="A10" s="7"/>
      <c r="B10" s="7"/>
      <c r="C10" s="7"/>
      <c r="D10" s="7"/>
      <c r="E10" s="7"/>
      <c r="F10" s="7"/>
      <c r="G10" s="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ht="13.5" customHeight="1">
      <c r="A11" s="7"/>
      <c r="B11" s="7"/>
      <c r="C11" s="7"/>
      <c r="D11" s="7"/>
      <c r="E11" s="7"/>
      <c r="F11" s="7"/>
      <c r="G11" s="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ht="13.5" customHeight="1">
      <c r="A12" s="10" t="s">
        <v>34</v>
      </c>
      <c r="B12" s="10" t="s">
        <v>35</v>
      </c>
      <c r="C12" s="9" t="s">
        <v>36</v>
      </c>
      <c r="D12" s="11" t="str">
        <f>IFERROR(__xludf.DUMMYFUNCTION("GOOGLETRANSLATE(C12, ""en"", ""hi"")"),"मांग का प्रकार")</f>
        <v>मांग का प्रकार</v>
      </c>
      <c r="E12" s="11" t="str">
        <f>IFERROR(__xludf.DUMMYFUNCTION("GOOGLETRANSLATE(D12, ""hi"", ""gu"")"),"માંગનો પ્રકાર")</f>
        <v>માંગનો પ્રકાર</v>
      </c>
      <c r="F12" s="9" t="s">
        <v>37</v>
      </c>
      <c r="G12" s="9" t="str">
        <f>IFERROR(__xludf.DUMMYFUNCTION("GOOGLETRANSLATE(C12,""en"",""or"")"),"ଚାହିଦାର ପ୍ରକାର")</f>
        <v>ଚାହିଦାର ପ୍ରକାର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 t="s">
        <v>33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ht="13.5" customHeight="1">
      <c r="A13" s="10" t="s">
        <v>28</v>
      </c>
      <c r="B13" s="12" t="s">
        <v>38</v>
      </c>
      <c r="C13" s="13" t="s">
        <v>39</v>
      </c>
      <c r="D13" s="11" t="str">
        <f>IFERROR(__xludf.DUMMYFUNCTION("GOOGLETRANSLATE(C13, ""en"", ""hi"")"),"लाभार्थी का नाम")</f>
        <v>लाभार्थी का नाम</v>
      </c>
      <c r="E13" s="11" t="str">
        <f>IFERROR(__xludf.DUMMYFUNCTION("GOOGLETRANSLATE(D13, ""hi"", ""gu"")"),"લાભાર્થીનું નામ")</f>
        <v>લાભાર્થીનું નામ</v>
      </c>
      <c r="F13" s="9" t="s">
        <v>40</v>
      </c>
      <c r="G13" s="9" t="str">
        <f>IFERROR(__xludf.DUMMYFUNCTION("GOOGLETRANSLATE(C13,""en"",""or"")"),"ହିତାଧିକାରୀଙ୍କ ନାମ")</f>
        <v>ହିତାଧିକାରୀଙ୍କ ନାମ</v>
      </c>
      <c r="H13" s="14" t="s">
        <v>41</v>
      </c>
      <c r="I13" s="14"/>
      <c r="J13" s="14"/>
      <c r="K13" s="14"/>
      <c r="L13" s="14"/>
      <c r="M13" s="14"/>
      <c r="N13" s="14"/>
      <c r="O13" s="14"/>
      <c r="P13" s="14"/>
      <c r="Q13" s="14"/>
      <c r="R13" s="13" t="s">
        <v>33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</row>
    <row r="14" ht="13.5" customHeight="1">
      <c r="A14" s="15" t="s">
        <v>42</v>
      </c>
      <c r="B14" s="16" t="s">
        <v>43</v>
      </c>
      <c r="C14" s="17" t="s">
        <v>44</v>
      </c>
      <c r="D14" s="11" t="str">
        <f>IFERROR(__xludf.DUMMYFUNCTION("GOOGLETRANSLATE(C14, ""en"", ""hi"")"),"लिंग")</f>
        <v>लिंग</v>
      </c>
      <c r="E14" s="11" t="str">
        <f>IFERROR(__xludf.DUMMYFUNCTION("GOOGLETRANSLATE(D14, ""hi"", ""gu"")"),"લિંગ")</f>
        <v>લિંગ</v>
      </c>
      <c r="F14" s="9" t="s">
        <v>45</v>
      </c>
      <c r="G14" s="9" t="str">
        <f>IFERROR(__xludf.DUMMYFUNCTION("GOOGLETRANSLATE(C14,""en"",""or"")"),"ଲିଙ୍ଗ")</f>
        <v>ଲିଙ୍ଗ</v>
      </c>
      <c r="H14" s="14" t="s">
        <v>41</v>
      </c>
      <c r="I14" s="14"/>
      <c r="J14" s="14"/>
      <c r="K14" s="14"/>
      <c r="L14" s="14"/>
      <c r="M14" s="14"/>
      <c r="N14" s="14"/>
      <c r="O14" s="14"/>
      <c r="P14" s="14"/>
      <c r="Q14" s="14"/>
      <c r="R14" s="13" t="s">
        <v>33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 ht="27.0" customHeight="1">
      <c r="A15" s="15" t="s">
        <v>28</v>
      </c>
      <c r="B15" s="16" t="s">
        <v>46</v>
      </c>
      <c r="C15" s="17" t="s">
        <v>47</v>
      </c>
      <c r="D15" s="17" t="s">
        <v>48</v>
      </c>
      <c r="E15" s="18" t="str">
        <f>IFERROR(__xludf.DUMMYFUNCTION("GOOGLETRANSLATE(D15, ""hi"", ""gu"")"),"લાભાર્થીના પિતાનું નામ")</f>
        <v>લાભાર્થીના પિતાનું નામ</v>
      </c>
      <c r="F15" s="9" t="s">
        <v>49</v>
      </c>
      <c r="G15" s="9" t="str">
        <f>IFERROR(__xludf.DUMMYFUNCTION("GOOGLETRANSLATE(C15,""en"",""or"")"),"ହିତାଧିକାରୀଙ୍କ ପିତା/ସ୍ୱାମୀଙ୍କ ନାମ")</f>
        <v>ହିତାଧିକାରୀଙ୍କ ପିତା/ସ୍ୱାମୀଙ୍କ ନାମ</v>
      </c>
      <c r="H15" s="14" t="s">
        <v>41</v>
      </c>
      <c r="I15" s="14"/>
      <c r="J15" s="14"/>
      <c r="K15" s="14"/>
      <c r="L15" s="14"/>
      <c r="M15" s="14"/>
      <c r="N15" s="14"/>
      <c r="O15" s="14"/>
      <c r="P15" s="14"/>
      <c r="Q15" s="14"/>
      <c r="R15" s="13" t="s">
        <v>33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 ht="36.75" customHeight="1">
      <c r="A16" s="10" t="s">
        <v>50</v>
      </c>
      <c r="B16" s="12" t="s">
        <v>51</v>
      </c>
      <c r="C16" s="13" t="s">
        <v>52</v>
      </c>
      <c r="D16" s="13" t="s">
        <v>53</v>
      </c>
      <c r="E16" s="13" t="str">
        <f>IFERROR(__xludf.DUMMYFUNCTION("GOOGLETRANSLATE(C16, ""en"", ""gu"")"),"લાભાર્થીનો સંપર્ક નંબર")</f>
        <v>લાભાર્થીનો સંપર્ક નંબર</v>
      </c>
      <c r="F16" s="9" t="s">
        <v>54</v>
      </c>
      <c r="G16" s="9" t="str">
        <f>IFERROR(__xludf.DUMMYFUNCTION("GOOGLETRANSLATE(C16,""en"",""or"")"),"ହିତାଧିକାରୀଙ୍କ ଯୋଗାଯୋଗ ନମ୍ବର")</f>
        <v>ହିତାଧିକାରୀଙ୍କ ଯୋଗାଯୋଗ ନମ୍ବର</v>
      </c>
      <c r="H16" s="14" t="s">
        <v>41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3" t="s">
        <v>55</v>
      </c>
      <c r="T16" s="13" t="s">
        <v>56</v>
      </c>
      <c r="U16" s="13" t="str">
        <f>IFERROR(__xludf.DUMMYFUNCTION("GOOGLETRANSLATE(T16, ""en"", ""hi"")"),"फ़ोन नंबर दर्ज करें (फ़ॉर्मेट: 9876543210)")</f>
        <v>फ़ोन नंबर दर्ज करें (फ़ॉर्मेट: 9876543210)</v>
      </c>
      <c r="V16" s="13" t="str">
        <f>IFERROR(__xludf.DUMMYFUNCTION("GOOGLETRANSLATE(T16, ""en"", ""gu"")"),"ફોન નંબર દાખલ કરો (ફોર્મેટ: 9876543210)")</f>
        <v>ફોન નંબર દાખલ કરો (ફોર્મેટ: 9876543210)</v>
      </c>
      <c r="W16" s="14" t="s">
        <v>57</v>
      </c>
      <c r="X16" s="19" t="s">
        <v>58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 ht="36.75" customHeight="1">
      <c r="A17" s="7"/>
      <c r="B17" s="7"/>
      <c r="C17" s="7"/>
      <c r="D17" s="7"/>
      <c r="E17" s="7"/>
      <c r="F17" s="7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ht="36.75" customHeight="1">
      <c r="A18" s="7"/>
      <c r="B18" s="7"/>
      <c r="C18" s="7"/>
      <c r="D18" s="7"/>
      <c r="E18" s="7"/>
      <c r="F18" s="7"/>
      <c r="G18" s="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ht="36.75" customHeight="1">
      <c r="A19" s="9" t="s">
        <v>59</v>
      </c>
      <c r="B19" s="9" t="s">
        <v>60</v>
      </c>
      <c r="C19" s="9" t="s">
        <v>61</v>
      </c>
      <c r="D19" s="9" t="s">
        <v>62</v>
      </c>
      <c r="E19" s="9" t="str">
        <f>IFERROR(__xludf.DUMMYFUNCTION("GOOGLETRANSLATE(C19, ""en"", ""gu"")"),"સમારકામ કાર્ય માટે સપાટીના પાણીની રચનાનો પ્રકાર પસંદ કરો")</f>
        <v>સમારકામ કાર્ય માટે સપાટીના પાણીની રચનાનો પ્રકાર પસંદ કરો</v>
      </c>
      <c r="F19" s="9" t="s">
        <v>63</v>
      </c>
      <c r="G19" s="9" t="str">
        <f>IFERROR(__xludf.DUMMYFUNCTION("GOOGLETRANSLATE(C19,""en"",""or"")"),"ମରାମତି କାର୍ଯ୍ୟ ପାଇଁ ପୃଷ୍ଠ ଜଳ ଗଠନର ପ୍ରକାର ଚୟନ କରନ୍ତୁ।")</f>
        <v>ମରାମତି କାର୍ଯ୍ୟ ପାଇଁ ପୃଷ୍ଠ ଜଳ ଗଠନର ପ୍ରକାର ଚୟନ କରନ୍ତୁ।</v>
      </c>
      <c r="H19" s="9" t="s">
        <v>64</v>
      </c>
      <c r="I19" s="7"/>
      <c r="J19" s="7"/>
      <c r="K19" s="7"/>
      <c r="L19" s="7"/>
      <c r="M19" s="7"/>
      <c r="N19" s="7"/>
      <c r="O19" s="7"/>
      <c r="P19" s="7"/>
      <c r="Q19" s="7"/>
      <c r="R19" s="9" t="s">
        <v>33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ht="36.75" customHeight="1">
      <c r="A20" s="7"/>
      <c r="B20" s="7"/>
      <c r="C20" s="7"/>
      <c r="D20" s="7"/>
      <c r="E20" s="7"/>
      <c r="F20" s="7"/>
      <c r="G20" s="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ht="36.75" customHeight="1">
      <c r="A21" s="9" t="s">
        <v>65</v>
      </c>
      <c r="B21" s="9" t="s">
        <v>66</v>
      </c>
      <c r="C21" s="9" t="s">
        <v>67</v>
      </c>
      <c r="D21" s="9" t="s">
        <v>68</v>
      </c>
      <c r="E21" s="9" t="str">
        <f>IFERROR(__xludf.DUMMYFUNCTION("GOOGLETRANSLATE(C21, ""en"", ""gu"")"),"ખેત તળાવનું સમારકામ")</f>
        <v>ખેત તળાવનું સમારકામ</v>
      </c>
      <c r="F21" s="9" t="s">
        <v>69</v>
      </c>
      <c r="G21" s="9" t="str">
        <f>IFERROR(__xludf.DUMMYFUNCTION("GOOGLETRANSLATE(C21,""en"",""or"")"),"କୃଷି ପୋଖରୀ ମରାମତି")</f>
        <v>କୃଷି ପୋଖରୀ ମରାମତି</v>
      </c>
      <c r="H21" s="9" t="s">
        <v>70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ht="13.5" customHeight="1">
      <c r="A22" s="16" t="s">
        <v>71</v>
      </c>
      <c r="B22" s="16" t="s">
        <v>72</v>
      </c>
      <c r="C22" s="20" t="s">
        <v>73</v>
      </c>
      <c r="D22" s="18" t="s">
        <v>74</v>
      </c>
      <c r="E22" s="18" t="s">
        <v>75</v>
      </c>
      <c r="F22" s="18" t="s">
        <v>76</v>
      </c>
      <c r="G22" s="9" t="str">
        <f>IFERROR(__xludf.DUMMYFUNCTION("GOOGLETRANSLATE(C22,""en"",""or"")"),"ମାଟିର ପ୍ରକାର")</f>
        <v>ମାଟିର ପ୍ରକାର</v>
      </c>
      <c r="H22" s="21" t="s">
        <v>77</v>
      </c>
      <c r="I22" s="14"/>
      <c r="J22" s="14"/>
      <c r="K22" s="14"/>
      <c r="L22" s="14"/>
      <c r="M22" s="14"/>
      <c r="N22" s="14"/>
      <c r="O22" s="14"/>
      <c r="P22" s="14"/>
      <c r="Q22" s="14"/>
      <c r="R22" s="19" t="s">
        <v>33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 ht="13.5" customHeight="1">
      <c r="A23" s="15" t="s">
        <v>78</v>
      </c>
      <c r="B23" s="16" t="s">
        <v>79</v>
      </c>
      <c r="C23" s="20" t="s">
        <v>80</v>
      </c>
      <c r="D23" s="18" t="s">
        <v>81</v>
      </c>
      <c r="E23" s="18" t="s">
        <v>82</v>
      </c>
      <c r="F23" s="18" t="s">
        <v>83</v>
      </c>
      <c r="G23" s="9" t="str">
        <f>IFERROR(__xludf.DUMMYFUNCTION("GOOGLETRANSLATE(C23,""en"",""or"")"),"ସିଲ୍ଟର ପରିମାଣ")</f>
        <v>ସିଲ୍ଟର ପରିମାଣ</v>
      </c>
      <c r="H23" s="21" t="s">
        <v>77</v>
      </c>
      <c r="I23" s="14"/>
      <c r="J23" s="14"/>
      <c r="K23" s="14"/>
      <c r="L23" s="14"/>
      <c r="M23" s="14"/>
      <c r="N23" s="14"/>
      <c r="O23" s="14"/>
      <c r="P23" s="14"/>
      <c r="Q23" s="14"/>
      <c r="R23" s="19" t="s">
        <v>33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 ht="31.5" customHeight="1">
      <c r="A24" s="9" t="s">
        <v>84</v>
      </c>
      <c r="B24" s="9" t="s">
        <v>85</v>
      </c>
      <c r="C24" s="9" t="s">
        <v>86</v>
      </c>
      <c r="D24" s="9" t="s">
        <v>87</v>
      </c>
      <c r="E24" s="9" t="str">
        <f>IFERROR(__xludf.DUMMYFUNCTION("GOOGLETRANSLATE(C24, ""en"", ""gu"")"),"સામુદાયિક તળાવનું સમારકામ")</f>
        <v>સામુદાયિક તળાવનું સમારકામ</v>
      </c>
      <c r="F24" s="9" t="s">
        <v>88</v>
      </c>
      <c r="G24" s="9" t="str">
        <f>IFERROR(__xludf.DUMMYFUNCTION("GOOGLETRANSLATE(C24,""en"",""or"")"),"ସାମୁଦାୟିକ ପୋଖରୀର ମରାମତି")</f>
        <v>ସାମୁଦାୟିକ ପୋଖରୀର ମରାମତି</v>
      </c>
      <c r="H24" s="9" t="s">
        <v>89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ht="13.5" customHeight="1">
      <c r="A25" s="16" t="s">
        <v>71</v>
      </c>
      <c r="B25" s="16" t="s">
        <v>90</v>
      </c>
      <c r="C25" s="20" t="s">
        <v>73</v>
      </c>
      <c r="D25" s="18" t="s">
        <v>74</v>
      </c>
      <c r="E25" s="18" t="s">
        <v>75</v>
      </c>
      <c r="F25" s="18" t="s">
        <v>76</v>
      </c>
      <c r="G25" s="9" t="str">
        <f>IFERROR(__xludf.DUMMYFUNCTION("GOOGLETRANSLATE(C25,""en"",""or"")"),"ମାଟିର ପ୍ରକାର")</f>
        <v>ମାଟିର ପ୍ରକାର</v>
      </c>
      <c r="H25" s="21" t="s">
        <v>91</v>
      </c>
      <c r="I25" s="14"/>
      <c r="J25" s="14"/>
      <c r="K25" s="14"/>
      <c r="L25" s="14"/>
      <c r="M25" s="14"/>
      <c r="N25" s="14"/>
      <c r="O25" s="14"/>
      <c r="P25" s="14"/>
      <c r="Q25" s="14"/>
      <c r="R25" s="19" t="s">
        <v>33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</row>
    <row r="26" ht="13.5" customHeight="1">
      <c r="A26" s="15" t="s">
        <v>78</v>
      </c>
      <c r="B26" s="16" t="s">
        <v>92</v>
      </c>
      <c r="C26" s="20" t="s">
        <v>80</v>
      </c>
      <c r="D26" s="18" t="s">
        <v>81</v>
      </c>
      <c r="E26" s="18" t="s">
        <v>82</v>
      </c>
      <c r="F26" s="18" t="s">
        <v>83</v>
      </c>
      <c r="G26" s="9" t="str">
        <f>IFERROR(__xludf.DUMMYFUNCTION("GOOGLETRANSLATE(C26,""en"",""or"")"),"ସିଲ୍ଟର ପରିମାଣ")</f>
        <v>ସିଲ୍ଟର ପରିମାଣ</v>
      </c>
      <c r="H26" s="21" t="s">
        <v>91</v>
      </c>
      <c r="I26" s="14"/>
      <c r="J26" s="14"/>
      <c r="K26" s="14"/>
      <c r="L26" s="14"/>
      <c r="M26" s="14"/>
      <c r="N26" s="14"/>
      <c r="O26" s="14"/>
      <c r="P26" s="14"/>
      <c r="Q26" s="14"/>
      <c r="R26" s="19" t="s">
        <v>33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</row>
    <row r="27" ht="13.5" customHeight="1">
      <c r="A27" s="9" t="s">
        <v>93</v>
      </c>
      <c r="B27" s="9" t="s">
        <v>94</v>
      </c>
      <c r="C27" s="9" t="s">
        <v>95</v>
      </c>
      <c r="D27" s="9" t="s">
        <v>96</v>
      </c>
      <c r="E27" s="9" t="str">
        <f>IFERROR(__xludf.DUMMYFUNCTION("GOOGLETRANSLATE(C27, ""en"", ""gu"")"),"મોટા જળાશયનું સમારકામ")</f>
        <v>મોટા જળાશયનું સમારકામ</v>
      </c>
      <c r="F27" s="9" t="s">
        <v>97</v>
      </c>
      <c r="G27" s="9" t="str">
        <f>IFERROR(__xludf.DUMMYFUNCTION("GOOGLETRANSLATE(C27,""en"",""or"")"),"ବଡ଼ ଜଳାଶୟର ମରାମତି")</f>
        <v>ବଡ଼ ଜଳାଶୟର ମରାମତି</v>
      </c>
      <c r="H27" s="9" t="s">
        <v>98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ht="13.5" customHeight="1">
      <c r="A28" s="16" t="s">
        <v>71</v>
      </c>
      <c r="B28" s="16" t="s">
        <v>99</v>
      </c>
      <c r="C28" s="20" t="s">
        <v>73</v>
      </c>
      <c r="D28" s="18" t="s">
        <v>74</v>
      </c>
      <c r="E28" s="18" t="s">
        <v>75</v>
      </c>
      <c r="F28" s="18" t="s">
        <v>76</v>
      </c>
      <c r="G28" s="9" t="str">
        <f>IFERROR(__xludf.DUMMYFUNCTION("GOOGLETRANSLATE(C28,""en"",""or"")"),"ମାଟିର ପ୍ରକାର")</f>
        <v>ମାଟିର ପ୍ରକାର</v>
      </c>
      <c r="H28" s="21" t="s">
        <v>100</v>
      </c>
      <c r="I28" s="14"/>
      <c r="J28" s="14"/>
      <c r="K28" s="14"/>
      <c r="L28" s="14"/>
      <c r="M28" s="14"/>
      <c r="N28" s="14"/>
      <c r="O28" s="14"/>
      <c r="P28" s="14"/>
      <c r="Q28" s="14"/>
      <c r="R28" s="19" t="s">
        <v>33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</row>
    <row r="29" ht="13.5" customHeight="1">
      <c r="A29" s="16" t="s">
        <v>78</v>
      </c>
      <c r="B29" s="16" t="s">
        <v>101</v>
      </c>
      <c r="C29" s="20" t="s">
        <v>80</v>
      </c>
      <c r="D29" s="18" t="s">
        <v>81</v>
      </c>
      <c r="E29" s="18" t="s">
        <v>82</v>
      </c>
      <c r="F29" s="18" t="s">
        <v>83</v>
      </c>
      <c r="G29" s="9" t="str">
        <f>IFERROR(__xludf.DUMMYFUNCTION("GOOGLETRANSLATE(C29,""en"",""or"")"),"ସିଲ୍ଟର ପରିମାଣ")</f>
        <v>ସିଲ୍ଟର ପରିମାଣ</v>
      </c>
      <c r="H29" s="21" t="s">
        <v>100</v>
      </c>
      <c r="I29" s="14"/>
      <c r="J29" s="14"/>
      <c r="K29" s="14"/>
      <c r="L29" s="14"/>
      <c r="M29" s="14"/>
      <c r="N29" s="14"/>
      <c r="O29" s="14"/>
      <c r="P29" s="14"/>
      <c r="Q29" s="14"/>
      <c r="R29" s="19" t="s">
        <v>33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</row>
    <row r="30" ht="13.5" customHeight="1">
      <c r="A30" s="9" t="s">
        <v>102</v>
      </c>
      <c r="B30" s="9" t="s">
        <v>103</v>
      </c>
      <c r="C30" s="9" t="s">
        <v>104</v>
      </c>
      <c r="D30" s="9" t="s">
        <v>105</v>
      </c>
      <c r="E30" s="9" t="str">
        <f>IFERROR(__xludf.DUMMYFUNCTION("GOOGLETRANSLATE(C30, ""en"", ""gu"")"),"નહેરનું સમારકામ
")</f>
        <v>નહેરનું સમારકામ
</v>
      </c>
      <c r="F30" s="9" t="s">
        <v>106</v>
      </c>
      <c r="G30" s="9" t="str">
        <f>IFERROR(__xludf.DUMMYFUNCTION("GOOGLETRANSLATE(C30,""en"",""or"")"),"କେନାଲ ମରାମତି
")</f>
        <v>କେନାଲ ମରାମତି
</v>
      </c>
      <c r="H30" s="9" t="s">
        <v>107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ht="13.5" customHeight="1">
      <c r="A31" s="16" t="s">
        <v>71</v>
      </c>
      <c r="B31" s="16" t="s">
        <v>108</v>
      </c>
      <c r="C31" s="20" t="s">
        <v>73</v>
      </c>
      <c r="D31" s="18" t="s">
        <v>74</v>
      </c>
      <c r="E31" s="18" t="s">
        <v>75</v>
      </c>
      <c r="F31" s="18" t="s">
        <v>76</v>
      </c>
      <c r="G31" s="9" t="str">
        <f>IFERROR(__xludf.DUMMYFUNCTION("GOOGLETRANSLATE(C31,""en"",""or"")"),"ମାଟିର ପ୍ରକାର")</f>
        <v>ମାଟିର ପ୍ରକାର</v>
      </c>
      <c r="H31" s="21" t="s">
        <v>109</v>
      </c>
      <c r="I31" s="14"/>
      <c r="J31" s="14"/>
      <c r="K31" s="14"/>
      <c r="L31" s="14"/>
      <c r="M31" s="14"/>
      <c r="N31" s="14"/>
      <c r="O31" s="14"/>
      <c r="P31" s="14"/>
      <c r="Q31" s="14"/>
      <c r="R31" s="19" t="s">
        <v>33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</row>
    <row r="32" ht="13.5" customHeight="1">
      <c r="A32" s="15" t="s">
        <v>78</v>
      </c>
      <c r="B32" s="16" t="s">
        <v>110</v>
      </c>
      <c r="C32" s="20" t="s">
        <v>80</v>
      </c>
      <c r="D32" s="18" t="s">
        <v>81</v>
      </c>
      <c r="E32" s="18" t="s">
        <v>82</v>
      </c>
      <c r="F32" s="18" t="s">
        <v>83</v>
      </c>
      <c r="G32" s="9" t="str">
        <f>IFERROR(__xludf.DUMMYFUNCTION("GOOGLETRANSLATE(C32,""en"",""or"")"),"ସିଲ୍ଟର ପରିମାଣ")</f>
        <v>ସିଲ୍ଟର ପରିମାଣ</v>
      </c>
      <c r="H32" s="21" t="s">
        <v>109</v>
      </c>
      <c r="I32" s="14"/>
      <c r="J32" s="14"/>
      <c r="K32" s="14"/>
      <c r="L32" s="14"/>
      <c r="M32" s="14"/>
      <c r="N32" s="14"/>
      <c r="O32" s="14"/>
      <c r="P32" s="14"/>
      <c r="Q32" s="14"/>
      <c r="R32" s="19" t="s">
        <v>33</v>
      </c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</row>
    <row r="33" ht="13.5" customHeight="1">
      <c r="A33" s="9" t="s">
        <v>111</v>
      </c>
      <c r="B33" s="9" t="s">
        <v>112</v>
      </c>
      <c r="C33" s="9" t="s">
        <v>113</v>
      </c>
      <c r="D33" s="9" t="s">
        <v>114</v>
      </c>
      <c r="E33" s="9" t="str">
        <f>IFERROR(__xludf.DUMMYFUNCTION("GOOGLETRANSLATE(C33, ""en"", ""gu"")"),"ચેક ડેમનું સમારકામ")</f>
        <v>ચેક ડેમનું સમારકામ</v>
      </c>
      <c r="F33" s="9" t="s">
        <v>115</v>
      </c>
      <c r="G33" s="9" t="str">
        <f>IFERROR(__xludf.DUMMYFUNCTION("GOOGLETRANSLATE(C33,""en"",""or"")"),"ଚେକ୍ ଡ୍ୟାମର ମରାମତି")</f>
        <v>ଚେକ୍ ଡ୍ୟାମର ମରାମତି</v>
      </c>
      <c r="H33" s="9" t="s">
        <v>116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ht="13.5" customHeight="1">
      <c r="A34" s="16" t="s">
        <v>71</v>
      </c>
      <c r="B34" s="16" t="s">
        <v>117</v>
      </c>
      <c r="C34" s="20" t="s">
        <v>73</v>
      </c>
      <c r="D34" s="18" t="s">
        <v>74</v>
      </c>
      <c r="E34" s="18" t="s">
        <v>75</v>
      </c>
      <c r="F34" s="18" t="s">
        <v>76</v>
      </c>
      <c r="G34" s="9" t="str">
        <f>IFERROR(__xludf.DUMMYFUNCTION("GOOGLETRANSLATE(C34,""en"",""or"")"),"ମାଟିର ପ୍ରକାର")</f>
        <v>ମାଟିର ପ୍ରକାର</v>
      </c>
      <c r="H34" s="20" t="s">
        <v>118</v>
      </c>
      <c r="I34" s="14"/>
      <c r="J34" s="14"/>
      <c r="K34" s="14"/>
      <c r="L34" s="14"/>
      <c r="M34" s="14"/>
      <c r="N34" s="14"/>
      <c r="O34" s="14"/>
      <c r="P34" s="14"/>
      <c r="Q34" s="14"/>
      <c r="R34" s="19" t="s">
        <v>33</v>
      </c>
      <c r="S34" s="7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</row>
    <row r="35" ht="13.5" customHeight="1">
      <c r="A35" s="16" t="s">
        <v>78</v>
      </c>
      <c r="B35" s="16" t="s">
        <v>119</v>
      </c>
      <c r="C35" s="20" t="s">
        <v>80</v>
      </c>
      <c r="D35" s="18" t="s">
        <v>81</v>
      </c>
      <c r="E35" s="18" t="s">
        <v>82</v>
      </c>
      <c r="F35" s="18" t="s">
        <v>83</v>
      </c>
      <c r="G35" s="9" t="str">
        <f>IFERROR(__xludf.DUMMYFUNCTION("GOOGLETRANSLATE(C35,""en"",""or"")"),"ସିଲ୍ଟର ପରିମାଣ")</f>
        <v>ସିଲ୍ଟର ପରିମାଣ</v>
      </c>
      <c r="H35" s="20" t="s">
        <v>118</v>
      </c>
      <c r="I35" s="14"/>
      <c r="J35" s="14"/>
      <c r="K35" s="14"/>
      <c r="L35" s="14"/>
      <c r="M35" s="14"/>
      <c r="N35" s="14"/>
      <c r="O35" s="14"/>
      <c r="P35" s="14"/>
      <c r="Q35" s="14"/>
      <c r="R35" s="19" t="s">
        <v>33</v>
      </c>
      <c r="S35" s="7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</row>
    <row r="36" ht="13.5" customHeight="1">
      <c r="A36" s="9" t="s">
        <v>120</v>
      </c>
      <c r="B36" s="9" t="s">
        <v>121</v>
      </c>
      <c r="C36" s="9" t="s">
        <v>122</v>
      </c>
      <c r="D36" s="9" t="s">
        <v>123</v>
      </c>
      <c r="E36" s="9" t="str">
        <f>IFERROR(__xludf.DUMMYFUNCTION("GOOGLETRANSLATE(C36, ""en"", ""gu"")"),"પરકોલેશન ટાંકીનું સમારકામ")</f>
        <v>પરકોલેશન ટાંકીનું સમારકામ</v>
      </c>
      <c r="F36" s="9" t="s">
        <v>124</v>
      </c>
      <c r="G36" s="9" t="str">
        <f>IFERROR(__xludf.DUMMYFUNCTION("GOOGLETRANSLATE(C36,""en"",""or"")"),"ପର୍କୋଲେସନ୍ ଟାଙ୍କିର ମରାମତି")</f>
        <v>ପର୍କୋଲେସନ୍ ଟାଙ୍କିର ମରାମତି</v>
      </c>
      <c r="H36" s="9" t="s">
        <v>125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ht="13.5" customHeight="1">
      <c r="A37" s="16" t="s">
        <v>71</v>
      </c>
      <c r="B37" s="16" t="s">
        <v>126</v>
      </c>
      <c r="C37" s="20" t="s">
        <v>73</v>
      </c>
      <c r="D37" s="18" t="s">
        <v>74</v>
      </c>
      <c r="E37" s="18" t="s">
        <v>75</v>
      </c>
      <c r="F37" s="18" t="s">
        <v>76</v>
      </c>
      <c r="G37" s="9" t="str">
        <f>IFERROR(__xludf.DUMMYFUNCTION("GOOGLETRANSLATE(C37,""en"",""or"")"),"ମାଟିର ପ୍ରକାର")</f>
        <v>ମାଟିର ପ୍ରକାର</v>
      </c>
      <c r="H37" s="20" t="s">
        <v>127</v>
      </c>
      <c r="I37" s="14"/>
      <c r="J37" s="14"/>
      <c r="K37" s="14"/>
      <c r="L37" s="14"/>
      <c r="M37" s="14"/>
      <c r="N37" s="14"/>
      <c r="O37" s="14"/>
      <c r="P37" s="14"/>
      <c r="Q37" s="14"/>
      <c r="R37" s="19" t="s">
        <v>33</v>
      </c>
      <c r="S37" s="7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</row>
    <row r="38" ht="13.5" customHeight="1">
      <c r="A38" s="16" t="s">
        <v>78</v>
      </c>
      <c r="B38" s="16" t="s">
        <v>128</v>
      </c>
      <c r="C38" s="20" t="s">
        <v>80</v>
      </c>
      <c r="D38" s="18" t="s">
        <v>81</v>
      </c>
      <c r="E38" s="18" t="s">
        <v>82</v>
      </c>
      <c r="F38" s="18" t="s">
        <v>83</v>
      </c>
      <c r="G38" s="9" t="str">
        <f>IFERROR(__xludf.DUMMYFUNCTION("GOOGLETRANSLATE(C38,""en"",""or"")"),"ସିଲ୍ଟର ପରିମାଣ")</f>
        <v>ସିଲ୍ଟର ପରିମାଣ</v>
      </c>
      <c r="H38" s="20" t="s">
        <v>127</v>
      </c>
      <c r="I38" s="14"/>
      <c r="J38" s="14"/>
      <c r="K38" s="14"/>
      <c r="L38" s="14"/>
      <c r="M38" s="14"/>
      <c r="N38" s="14"/>
      <c r="O38" s="14"/>
      <c r="P38" s="14"/>
      <c r="Q38" s="14"/>
      <c r="R38" s="19" t="s">
        <v>33</v>
      </c>
      <c r="S38" s="7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</row>
    <row r="39" ht="13.5" customHeight="1">
      <c r="A39" s="9" t="s">
        <v>129</v>
      </c>
      <c r="B39" s="9" t="s">
        <v>130</v>
      </c>
      <c r="C39" s="9" t="s">
        <v>131</v>
      </c>
      <c r="D39" s="9" t="s">
        <v>132</v>
      </c>
      <c r="E39" s="9" t="str">
        <f>IFERROR(__xludf.DUMMYFUNCTION("GOOGLETRANSLATE(C39, ""en"", ""gu"")"),"રોકફિલ ડેમનું સમારકામ")</f>
        <v>રોકફિલ ડેમનું સમારકામ</v>
      </c>
      <c r="F39" s="9" t="s">
        <v>133</v>
      </c>
      <c r="G39" s="9" t="str">
        <f>IFERROR(__xludf.DUMMYFUNCTION("GOOGLETRANSLATE(C39,""en"",""or"")"),"ପଥର ପୂରଣ ବନ୍ଧର ମରାମତି")</f>
        <v>ପଥର ପୂରଣ ବନ୍ଧର ମରାମତି</v>
      </c>
      <c r="H39" s="9" t="s">
        <v>134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ht="13.5" customHeight="1">
      <c r="A40" s="16" t="s">
        <v>71</v>
      </c>
      <c r="B40" s="16" t="s">
        <v>135</v>
      </c>
      <c r="C40" s="20" t="s">
        <v>73</v>
      </c>
      <c r="D40" s="18" t="s">
        <v>74</v>
      </c>
      <c r="E40" s="18" t="s">
        <v>75</v>
      </c>
      <c r="F40" s="18" t="s">
        <v>76</v>
      </c>
      <c r="G40" s="9" t="str">
        <f>IFERROR(__xludf.DUMMYFUNCTION("GOOGLETRANSLATE(C40,""en"",""or"")"),"ମାଟିର ପ୍ରକାର")</f>
        <v>ମାଟିର ପ୍ରକାର</v>
      </c>
      <c r="H40" s="20" t="s">
        <v>136</v>
      </c>
      <c r="I40" s="14"/>
      <c r="J40" s="14"/>
      <c r="K40" s="14"/>
      <c r="L40" s="14"/>
      <c r="M40" s="14"/>
      <c r="N40" s="14"/>
      <c r="O40" s="14"/>
      <c r="P40" s="14"/>
      <c r="Q40" s="14"/>
      <c r="R40" s="19" t="s">
        <v>33</v>
      </c>
      <c r="S40" s="7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</row>
    <row r="41" ht="13.5" customHeight="1">
      <c r="A41" s="16" t="s">
        <v>78</v>
      </c>
      <c r="B41" s="16" t="s">
        <v>137</v>
      </c>
      <c r="C41" s="20" t="s">
        <v>80</v>
      </c>
      <c r="D41" s="18" t="s">
        <v>81</v>
      </c>
      <c r="E41" s="18" t="s">
        <v>82</v>
      </c>
      <c r="F41" s="18" t="s">
        <v>83</v>
      </c>
      <c r="G41" s="9" t="str">
        <f>IFERROR(__xludf.DUMMYFUNCTION("GOOGLETRANSLATE(C41,""en"",""or"")"),"ସିଲ୍ଟର ପରିମାଣ")</f>
        <v>ସିଲ୍ଟର ପରିମାଣ</v>
      </c>
      <c r="H41" s="20" t="s">
        <v>136</v>
      </c>
      <c r="I41" s="14"/>
      <c r="J41" s="14"/>
      <c r="K41" s="14"/>
      <c r="L41" s="14"/>
      <c r="M41" s="14"/>
      <c r="N41" s="14"/>
      <c r="O41" s="14"/>
      <c r="P41" s="14"/>
      <c r="Q41" s="14"/>
      <c r="R41" s="19" t="s">
        <v>33</v>
      </c>
      <c r="S41" s="7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</row>
    <row r="42" ht="13.5" customHeight="1">
      <c r="A42" s="9" t="s">
        <v>138</v>
      </c>
      <c r="B42" s="9" t="s">
        <v>139</v>
      </c>
      <c r="C42" s="9" t="s">
        <v>140</v>
      </c>
      <c r="D42" s="9" t="s">
        <v>141</v>
      </c>
      <c r="E42" s="9" t="str">
        <f>IFERROR(__xludf.DUMMYFUNCTION("GOOGLETRANSLATE(C42, ""en"", ""gu"")"),"છૂટા પથ્થરના માળખાનું સમારકામ")</f>
        <v>છૂટા પથ્થરના માળખાનું સમારકામ</v>
      </c>
      <c r="F42" s="9" t="s">
        <v>142</v>
      </c>
      <c r="G42" s="9" t="str">
        <f>IFERROR(__xludf.DUMMYFUNCTION("GOOGLETRANSLATE(C42,""en"",""or"")"),"ଢିଲା ପଥର ଗଠନର ମରାମତି")</f>
        <v>ଢିଲା ପଥର ଗଠନର ମରାମତି</v>
      </c>
      <c r="H42" s="9" t="s">
        <v>143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ht="13.5" customHeight="1">
      <c r="A43" s="9" t="s">
        <v>144</v>
      </c>
      <c r="B43" s="9" t="s">
        <v>145</v>
      </c>
      <c r="C43" s="9" t="s">
        <v>146</v>
      </c>
      <c r="D43" s="9" t="s">
        <v>147</v>
      </c>
      <c r="E43" s="9" t="str">
        <f>IFERROR(__xludf.DUMMYFUNCTION("GOOGLETRANSLATE(C43, ""en"", ""gu"")"),"૫% મોડેલ સ્ટ્રક્ચરનું સમારકામ")</f>
        <v>૫% મોડેલ સ્ટ્રક્ચરનું સમારકામ</v>
      </c>
      <c r="F43" s="9" t="s">
        <v>148</v>
      </c>
      <c r="G43" s="9" t="str">
        <f>IFERROR(__xludf.DUMMYFUNCTION("GOOGLETRANSLATE(C43,""en"",""or"")"),"୫% ମଡେଲ ଗଠନର ମରାମତି")</f>
        <v>୫% ମଡେଲ ଗଠନର ମରାମତି</v>
      </c>
      <c r="H43" s="9" t="s">
        <v>149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ht="13.5" customHeight="1">
      <c r="A44" s="16" t="s">
        <v>71</v>
      </c>
      <c r="B44" s="16" t="s">
        <v>150</v>
      </c>
      <c r="C44" s="20" t="s">
        <v>73</v>
      </c>
      <c r="D44" s="18" t="s">
        <v>74</v>
      </c>
      <c r="E44" s="18" t="s">
        <v>75</v>
      </c>
      <c r="F44" s="18" t="s">
        <v>76</v>
      </c>
      <c r="G44" s="9" t="str">
        <f>IFERROR(__xludf.DUMMYFUNCTION("GOOGLETRANSLATE(C44,""en"",""or"")"),"ମାଟିର ପ୍ରକାର")</f>
        <v>ମାଟିର ପ୍ରକାର</v>
      </c>
      <c r="H44" s="20" t="s">
        <v>151</v>
      </c>
      <c r="I44" s="14"/>
      <c r="J44" s="14"/>
      <c r="K44" s="14"/>
      <c r="L44" s="14"/>
      <c r="M44" s="14"/>
      <c r="N44" s="14"/>
      <c r="O44" s="14"/>
      <c r="P44" s="14"/>
      <c r="Q44" s="14"/>
      <c r="R44" s="19" t="s">
        <v>33</v>
      </c>
      <c r="S44" s="7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</row>
    <row r="45" ht="13.5" customHeight="1">
      <c r="A45" s="16" t="s">
        <v>78</v>
      </c>
      <c r="B45" s="16" t="s">
        <v>152</v>
      </c>
      <c r="C45" s="20" t="s">
        <v>80</v>
      </c>
      <c r="D45" s="18" t="s">
        <v>81</v>
      </c>
      <c r="E45" s="18" t="s">
        <v>82</v>
      </c>
      <c r="F45" s="18" t="s">
        <v>83</v>
      </c>
      <c r="G45" s="9" t="str">
        <f>IFERROR(__xludf.DUMMYFUNCTION("GOOGLETRANSLATE(C45,""en"",""or"")"),"ସିଲ୍ଟର ପରିମାଣ")</f>
        <v>ସିଲ୍ଟର ପରିମାଣ</v>
      </c>
      <c r="H45" s="20" t="s">
        <v>151</v>
      </c>
      <c r="I45" s="14"/>
      <c r="J45" s="14"/>
      <c r="K45" s="14"/>
      <c r="L45" s="14"/>
      <c r="M45" s="14"/>
      <c r="N45" s="14"/>
      <c r="O45" s="14"/>
      <c r="P45" s="14"/>
      <c r="Q45" s="14"/>
      <c r="R45" s="19" t="s">
        <v>33</v>
      </c>
      <c r="S45" s="7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</row>
    <row r="46" ht="13.5" customHeight="1">
      <c r="A46" s="9" t="s">
        <v>153</v>
      </c>
      <c r="B46" s="9" t="s">
        <v>154</v>
      </c>
      <c r="C46" s="9" t="s">
        <v>155</v>
      </c>
      <c r="D46" s="9" t="s">
        <v>156</v>
      </c>
      <c r="E46" s="9" t="str">
        <f>IFERROR(__xludf.DUMMYFUNCTION("GOOGLETRANSLATE(C46, ""en"", ""gu"")"),"૩૦-૪૦ મોડેલ સ્ટ્રક્ચરનું સમારકામ")</f>
        <v>૩૦-૪૦ મોડેલ સ્ટ્રક્ચરનું સમારકામ</v>
      </c>
      <c r="F46" s="9" t="s">
        <v>157</v>
      </c>
      <c r="G46" s="9" t="str">
        <f>IFERROR(__xludf.DUMMYFUNCTION("GOOGLETRANSLATE(C46,""en"",""or"")"),"30-40 ମଡେଲ ଗଠନର ମରାମତି")</f>
        <v>30-40 ମଡେଲ ଗଠନର ମରାମତି</v>
      </c>
      <c r="H46" s="9" t="s">
        <v>158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ht="13.5" customHeight="1">
      <c r="A47" s="16" t="s">
        <v>71</v>
      </c>
      <c r="B47" s="16" t="s">
        <v>159</v>
      </c>
      <c r="C47" s="20" t="s">
        <v>73</v>
      </c>
      <c r="D47" s="18" t="s">
        <v>74</v>
      </c>
      <c r="E47" s="18" t="s">
        <v>75</v>
      </c>
      <c r="F47" s="18" t="s">
        <v>76</v>
      </c>
      <c r="G47" s="9" t="str">
        <f>IFERROR(__xludf.DUMMYFUNCTION("GOOGLETRANSLATE(C47,""en"",""or"")"),"ମାଟିର ପ୍ରକାର")</f>
        <v>ମାଟିର ପ୍ରକାର</v>
      </c>
      <c r="H47" s="20" t="s">
        <v>160</v>
      </c>
      <c r="I47" s="14"/>
      <c r="J47" s="14"/>
      <c r="K47" s="14"/>
      <c r="L47" s="14"/>
      <c r="M47" s="14"/>
      <c r="N47" s="14"/>
      <c r="O47" s="14"/>
      <c r="P47" s="14"/>
      <c r="Q47" s="14"/>
      <c r="R47" s="19" t="s">
        <v>33</v>
      </c>
      <c r="S47" s="7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</row>
    <row r="48" ht="13.5" customHeight="1">
      <c r="A48" s="16" t="s">
        <v>78</v>
      </c>
      <c r="B48" s="16" t="s">
        <v>161</v>
      </c>
      <c r="C48" s="20" t="s">
        <v>80</v>
      </c>
      <c r="D48" s="18" t="s">
        <v>81</v>
      </c>
      <c r="E48" s="18" t="s">
        <v>82</v>
      </c>
      <c r="F48" s="18" t="s">
        <v>83</v>
      </c>
      <c r="G48" s="9" t="str">
        <f>IFERROR(__xludf.DUMMYFUNCTION("GOOGLETRANSLATE(C48,""en"",""or"")"),"ସିଲ୍ଟର ପରିମାଣ")</f>
        <v>ସିଲ୍ଟର ପରିମାଣ</v>
      </c>
      <c r="H48" s="20" t="s">
        <v>160</v>
      </c>
      <c r="I48" s="14"/>
      <c r="J48" s="14"/>
      <c r="K48" s="14"/>
      <c r="L48" s="14"/>
      <c r="M48" s="14"/>
      <c r="N48" s="14"/>
      <c r="O48" s="14"/>
      <c r="P48" s="14"/>
      <c r="Q48" s="14"/>
      <c r="R48" s="19" t="s">
        <v>33</v>
      </c>
      <c r="S48" s="7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</row>
    <row r="49" ht="13.5" customHeight="1">
      <c r="A49" s="9" t="s">
        <v>162</v>
      </c>
      <c r="B49" s="9" t="s">
        <v>163</v>
      </c>
      <c r="C49" s="9" t="s">
        <v>164</v>
      </c>
      <c r="D49" s="9" t="s">
        <v>165</v>
      </c>
      <c r="E49" s="9" t="str">
        <f>IFERROR(__xludf.DUMMYFUNCTION("GOOGLETRANSLATE(C49, ""en"", ""gu"")"),"વિસ્તારનો ફોટો")</f>
        <v>વિસ્તારનો ફોટો</v>
      </c>
      <c r="F49" s="9" t="s">
        <v>166</v>
      </c>
      <c r="G49" s="9" t="str">
        <f>IFERROR(__xludf.DUMMYFUNCTION("GOOGLETRANSLATE(C49,""en"",""or"")"),"ଅଞ୍ଚଳର ଫଟୋ")</f>
        <v>ଅଞ୍ଚଳର ଫଟୋ</v>
      </c>
      <c r="H49" s="7"/>
      <c r="I49" s="7"/>
      <c r="J49" s="7"/>
      <c r="K49" s="7"/>
      <c r="L49" s="7"/>
      <c r="M49" s="7"/>
      <c r="N49" s="7"/>
      <c r="O49" s="7"/>
      <c r="P49" s="7"/>
      <c r="Q49" s="9" t="s">
        <v>167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ht="13.5" customHeight="1">
      <c r="A50" s="7" t="s">
        <v>168</v>
      </c>
      <c r="B50" s="9" t="s">
        <v>169</v>
      </c>
      <c r="C50" s="9" t="s">
        <v>170</v>
      </c>
      <c r="D50" s="9" t="str">
        <f>IFERROR(__xludf.DUMMYFUNCTION("GOOGLETRANSLATE(C50, ""en"", ""hi"")"),"इस स्थान पर सतही जल संरचना के रखरखाव की आवश्यकता को उचित ठहराते हुए एक संदेश रिकॉर्ड करें।
")</f>
        <v>इस स्थान पर सतही जल संरचना के रखरखाव की आवश्यकता को उचित ठहराते हुए एक संदेश रिकॉर्ड करें।
</v>
      </c>
      <c r="E50" s="9" t="str">
        <f>IFERROR(__xludf.DUMMYFUNCTION("GOOGLETRANSLATE(D50, ""hi"", ""gu"")"),"આ સ્થાન પર સપાટીના પાણીની રચનાની જાળવણીની જરૂરિયાતને વાજબી ઠેરવતો સંદેશ રેકોર્ડ કરો.")</f>
        <v>આ સ્થાન પર સપાટીના પાણીની રચનાની જાળવણીની જરૂરિયાતને વાજબી ઠેરવતો સંદેશ રેકોર્ડ કરો.</v>
      </c>
      <c r="F50" s="9" t="s">
        <v>171</v>
      </c>
      <c r="G50" s="9" t="str">
        <f>IFERROR(__xludf.DUMMYFUNCTION("GOOGLETRANSLATE(C50,""en"",""or"")"),"ଏହି ସ୍ଥାନରେ ପୃଷ୍ଠ ଜଳ ଗଠନର ରକ୍ଷଣାବେକ୍ଷଣର ଆବଶ୍ୟକତାକୁ ଯଥାର୍ଥ କରି ଏକ ବାର୍ତ୍ତା ରେକର୍ଡ କରନ୍ତୁ।
")</f>
        <v>ଏହି ସ୍ଥାନରେ ପୃଷ୍ଠ ଜଳ ଗଠନର ରକ୍ଷଣାବେକ୍ଷଣର ଆବଶ୍ୟକତାକୁ ଯଥାର୍ଥ କରି ଏକ ବାର୍ତ୍ତା ରେକର୍ଡ କରନ୍ତୁ।
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ht="13.5" customHeight="1">
      <c r="A51" s="22" t="s">
        <v>28</v>
      </c>
      <c r="B51" s="22" t="s">
        <v>172</v>
      </c>
      <c r="C51" s="22" t="s">
        <v>173</v>
      </c>
      <c r="D51" s="22" t="str">
        <f>IFERROR(__xludf.DUMMYFUNCTION("GOOGLETRANSLATE(C51, ""en"", ""hi"")"),"यदि आप रिकॉर्ड नहीं कर सकते हैं, तो इस स्थान पर जल संरचना के रखरखाव की आवश्यकता के औचित्य को लिख लें।")</f>
        <v>यदि आप रिकॉर्ड नहीं कर सकते हैं, तो इस स्थान पर जल संरचना के रखरखाव की आवश्यकता के औचित्य को लिख लें।</v>
      </c>
      <c r="E51" s="22" t="str">
        <f>IFERROR(__xludf.DUMMYFUNCTION("GOOGLETRANSLATE(D51, ""hi"", ""gu"")"),"જો તમે રેકોર્ડ કરી શકતા નથી, તો આ સ્થાન પર પાણીની રચના જાળવવાની જરૂરિયાતનું કારણ લખો.")</f>
        <v>જો તમે રેકોર્ડ કરી શકતા નથી, તો આ સ્થાન પર પાણીની રચના જાળવવાની જરૂરિયાતનું કારણ લખો.</v>
      </c>
      <c r="F51" s="22" t="str">
        <f>IFERROR(__xludf.DUMMYFUNCTION("GOOGLETRANSLATE(E51, ""en"", ""kn"")"),"ಜೋ ನಿಮ್ಮ ರೆಕಾರ್ಡ್ ಕರಿ ಶಕತಾ ನತಿ, ತೋ ಆ ಸ್ಥಾವರ ಪಾಣಿನಿ ರಚನಾ ಜಾಲವಾಣಿ ಜರೂರಿಯಾತನು ಖಾಂ.ಫಲಕ")</f>
        <v>ಜೋ ನಿಮ್ಮ ರೆಕಾರ್ಡ್ ಕರಿ ಶಕತಾ ನತಿ, ತೋ ಆ ಸ್ಥಾವರ ಪಾಣಿನಿ ರಚನಾ ಜಾಲವಾಣಿ ಜರೂರಿಯಾತನು ಖಾಂ.ಫಲಕ</v>
      </c>
      <c r="G51" s="9" t="str">
        <f>IFERROR(__xludf.DUMMYFUNCTION("GOOGLETRANSLATE(C51,""en"",""or"")"),"ଯଦି ଆପଣ ରେକର୍ଡ କରିପାରିବେ ନାହିଁ, ତେବେ ଏହି ସ୍ଥାନରେ ଜଳ ସଂରଚନାର ରକ୍ଷଣାବେକ୍ଷଣର ଆବଶ୍ୟକତାର ଯଥାର୍ଥତା ଲେଖନ୍ତୁ।")</f>
        <v>ଯଦି ଆପଣ ରେକର୍ଡ କରିପାରିବେ ନାହିଁ, ତେବେ ଏହି ସ୍ଥାନରେ ଜଳ ସଂରଚନାର ରକ୍ଷଣାବେକ୍ଷଣର ଆବଶ୍ୟକତାର ଯଥାର୍ଥତା ଲେଖନ୍ତୁ।</v>
      </c>
      <c r="H51" s="22" t="s">
        <v>174</v>
      </c>
      <c r="I51" s="23"/>
      <c r="J51" s="23"/>
      <c r="K51" s="24"/>
      <c r="L51" s="24"/>
      <c r="M51" s="24"/>
      <c r="N51" s="24"/>
      <c r="O51" s="24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</row>
    <row r="52" ht="13.5" customHeight="1">
      <c r="A52" s="7"/>
      <c r="B52" s="7"/>
      <c r="C52" s="7"/>
      <c r="D52" s="7"/>
      <c r="E52" s="7"/>
      <c r="F52" s="7"/>
      <c r="G52" s="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ht="13.5" customHeight="1">
      <c r="A53" s="7"/>
      <c r="B53" s="7"/>
      <c r="C53" s="7"/>
      <c r="D53" s="7"/>
      <c r="E53" s="7"/>
      <c r="F53" s="7"/>
      <c r="G53" s="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ht="13.5" customHeight="1">
      <c r="A54" s="7" t="s">
        <v>175</v>
      </c>
      <c r="B54" s="7" t="s">
        <v>176</v>
      </c>
      <c r="C54" s="9" t="s">
        <v>177</v>
      </c>
      <c r="D54" s="11" t="s">
        <v>178</v>
      </c>
      <c r="E54" s="11" t="str">
        <f>IFERROR(__xludf.DUMMYFUNCTION("GOOGLETRANSLATE(D54,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54" s="9" t="s">
        <v>179</v>
      </c>
      <c r="G54" s="9" t="str">
        <f>IFERROR(__xludf.DUMMYFUNCTION("GOOGLETRANSLATE(C54,""en"",""or"")"),"&lt;span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ht="13.5" customHeight="1">
      <c r="A55" s="9" t="s">
        <v>180</v>
      </c>
      <c r="B55" s="9" t="s">
        <v>181</v>
      </c>
      <c r="C55" s="11" t="s">
        <v>182</v>
      </c>
      <c r="D55" s="7" t="s">
        <v>183</v>
      </c>
      <c r="E55" s="11" t="str">
        <f>IFERROR(__xludf.DUMMYFUNCTION("GOOGLETRANSLATE(D55, ""hi"", ""gu"")"),"અક્ષાંશ રેખાંશ")</f>
        <v>અક્ષાંશ રેખાંશ</v>
      </c>
      <c r="F55" s="9" t="s">
        <v>184</v>
      </c>
      <c r="G55" s="9" t="str">
        <f>IFERROR(__xludf.DUMMYFUNCTION("GOOGLETRANSLATE(C55,""en"",""or"")"),"ଅକ୍ଷାଂଶ/ଲୋନ")</f>
        <v>ଅକ୍ଷାଂଶ/ଲୋନ</v>
      </c>
      <c r="H55" s="7"/>
      <c r="I55" s="7"/>
      <c r="J55" s="7"/>
      <c r="K55" s="7"/>
      <c r="L55" s="7"/>
      <c r="M55" s="7"/>
      <c r="N55" s="7"/>
      <c r="O55" s="7"/>
      <c r="P55" s="25" t="s">
        <v>185</v>
      </c>
      <c r="Q55" s="2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ht="13.5" customHeight="1">
      <c r="A56" s="9" t="s">
        <v>186</v>
      </c>
      <c r="B56" s="9" t="s">
        <v>187</v>
      </c>
      <c r="C56" s="7"/>
      <c r="D56" s="7"/>
      <c r="E56" s="7"/>
      <c r="F56" s="7"/>
      <c r="G56" s="9"/>
      <c r="H56" s="7"/>
      <c r="I56" s="7"/>
      <c r="J56" s="7"/>
      <c r="K56" s="11" t="s">
        <v>186</v>
      </c>
      <c r="L56" s="11" t="s">
        <v>188</v>
      </c>
      <c r="M56" s="11" t="str">
        <f>IFERROR(__xludf.DUMMYFUNCTION("GOOGLETRANSLATE(K56, ""en"", ""gu"")"),"જીઓપોઇન્ટ")</f>
        <v>જીઓપોઇન્ટ</v>
      </c>
      <c r="N56" s="11" t="str">
        <f>IFERROR(__xludf.DUMMYFUNCTION("GOOGLETRANSLATE(K56, ""en"", ""kn"")"),"ಜಿಯೋಪಾಯಿಂಟ್")</f>
        <v>ಜಿಯೋಪಾಯಿಂಟ್</v>
      </c>
      <c r="O56" s="27" t="s">
        <v>189</v>
      </c>
      <c r="P56" s="9" t="s">
        <v>190</v>
      </c>
      <c r="Q56" s="7"/>
      <c r="R56" s="9" t="s">
        <v>33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ht="13.5" customHeight="1">
      <c r="A57" s="9" t="s">
        <v>191</v>
      </c>
      <c r="B57" s="7"/>
      <c r="C57" s="7"/>
      <c r="D57" s="7"/>
      <c r="E57" s="7"/>
      <c r="F57" s="7"/>
      <c r="G57" s="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ht="13.5" customHeight="1">
      <c r="A58" s="7" t="s">
        <v>28</v>
      </c>
      <c r="B58" s="9" t="s">
        <v>192</v>
      </c>
      <c r="C58" s="7" t="s">
        <v>193</v>
      </c>
      <c r="D58" s="9" t="s">
        <v>194</v>
      </c>
      <c r="E58" s="9" t="str">
        <f>IFERROR(__xludf.DUMMYFUNCTION("GOOGLETRANSLATE(C58, ""en"", ""gu"")"),"બ્લોકનું નામ")</f>
        <v>બ્લોકનું નામ</v>
      </c>
      <c r="F58" s="9" t="s">
        <v>195</v>
      </c>
      <c r="G58" s="9" t="str">
        <f>IFERROR(__xludf.DUMMYFUNCTION("GOOGLETRANSLATE(C58,""en"",""or"")"),"ବ୍ଲକ୍ ନାମ")</f>
        <v>ବ୍ଲକ୍ ନାମ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ht="13.5" customHeight="1">
      <c r="A59" s="9" t="s">
        <v>28</v>
      </c>
      <c r="B59" s="9" t="s">
        <v>196</v>
      </c>
      <c r="C59" s="9" t="s">
        <v>197</v>
      </c>
      <c r="D59" s="9" t="s">
        <v>198</v>
      </c>
      <c r="E59" s="9" t="str">
        <f>IFERROR(__xludf.DUMMYFUNCTION("GOOGLETRANSLATE(C59, ""en"", ""gu"")"),"પ્લાન ID")</f>
        <v>પ્લાન ID</v>
      </c>
      <c r="F59" s="9" t="s">
        <v>199</v>
      </c>
      <c r="G59" s="9" t="str">
        <f>IFERROR(__xludf.DUMMYFUNCTION("GOOGLETRANSLATE(C59,""en"",""or"")"),"ପ୍ଲାନ୍ ID")</f>
        <v>ପ୍ଲାନ୍ ID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ht="13.5" customHeight="1">
      <c r="A60" s="9" t="s">
        <v>28</v>
      </c>
      <c r="B60" s="9" t="s">
        <v>200</v>
      </c>
      <c r="C60" s="9" t="s">
        <v>201</v>
      </c>
      <c r="D60" s="9" t="s">
        <v>202</v>
      </c>
      <c r="E60" s="9" t="str">
        <f>IFERROR(__xludf.DUMMYFUNCTION("GOOGLETRANSLATE(C60, ""en"", ""gu"")"),"યોજનાનું નામ")</f>
        <v>યોજનાનું નામ</v>
      </c>
      <c r="F60" s="9" t="s">
        <v>203</v>
      </c>
      <c r="G60" s="9" t="str">
        <f>IFERROR(__xludf.DUMMYFUNCTION("GOOGLETRANSLATE(C60,""en"",""or"")"),"ଯୋଜନାର ନାମ")</f>
        <v>ଯୋଜନାର ନାମ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ht="13.5" customHeight="1">
      <c r="A61" s="9" t="s">
        <v>28</v>
      </c>
      <c r="B61" s="9" t="s">
        <v>204</v>
      </c>
      <c r="C61" s="9" t="s">
        <v>205</v>
      </c>
      <c r="D61" s="7" t="s">
        <v>206</v>
      </c>
      <c r="E61" s="9" t="str">
        <f>IFERROR(__xludf.DUMMYFUNCTION("GOOGLETRANSLATE(C61, ""en"", ""gu"")"),"અનુરૂપ કાર્યાલય ID")</f>
        <v>અનુરૂપ કાર્યાલય ID</v>
      </c>
      <c r="F61" s="9" t="s">
        <v>207</v>
      </c>
      <c r="G61" s="9" t="str">
        <f>IFERROR(__xludf.DUMMYFUNCTION("GOOGLETRANSLATE(C61,""en"",""or"")"),"ଅନୁରୂପ କାର୍ଯ୍ୟ ID")</f>
        <v>ଅନୁରୂପ କାର୍ଯ୍ୟ ID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ht="13.5" customHeight="1">
      <c r="A62" s="9" t="s">
        <v>28</v>
      </c>
      <c r="B62" s="9" t="s">
        <v>208</v>
      </c>
      <c r="C62" s="9" t="s">
        <v>209</v>
      </c>
      <c r="D62" s="7" t="s">
        <v>210</v>
      </c>
      <c r="E62" s="9" t="str">
        <f>IFERROR(__xludf.DUMMYFUNCTION("GOOGLETRANSLATE(D62, ""hi"", ""gu"")"),"વપરાશકર્તાનું વર્તમાન સ્થાન")</f>
        <v>વપરાશકર્તાનું વર્તમાન સ્થાન</v>
      </c>
      <c r="F62" s="9" t="s">
        <v>211</v>
      </c>
      <c r="G62" s="9" t="str">
        <f>IFERROR(__xludf.DUMMYFUNCTION("GOOGLETRANSLATE(C62,""en"",""or"")"),"ଉପଯୋଗକର୍ତ୍ତାଙ୍କ ବର୍ତ୍ତମାନର ସ୍ଥାନ")</f>
        <v>ଉପଯୋଗକର୍ତ୍ତାଙ୍କ ବର୍ତ୍ତମାନର ସ୍ଥାନ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ht="13.5" customHeight="1">
      <c r="A63" s="9" t="s">
        <v>28</v>
      </c>
      <c r="B63" s="9" t="s">
        <v>212</v>
      </c>
      <c r="C63" s="9" t="s">
        <v>213</v>
      </c>
      <c r="D63" s="9" t="s">
        <v>214</v>
      </c>
      <c r="E63" s="9" t="str">
        <f>IFERROR(__xludf.DUMMYFUNCTION("GOOGLETRANSLATE(C63, ""en"", ""gu"")"),"કાર્યાલય ID")</f>
        <v>કાર્યાલય ID</v>
      </c>
      <c r="F63" s="9" t="s">
        <v>215</v>
      </c>
      <c r="G63" s="9" t="str">
        <f>IFERROR(__xludf.DUMMYFUNCTION("GOOGLETRANSLATE(C63,""en"",""or"")"),"କାର୍ଯ୍ୟସ୍ଥଳୀ ID")</f>
        <v>କାର୍ଯ୍ୟସ୍ଥଳୀ ID</v>
      </c>
      <c r="H63" s="7"/>
      <c r="I63" s="9" t="s">
        <v>216</v>
      </c>
      <c r="J63" s="9" t="s">
        <v>33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53.14"/>
    <col customWidth="1" min="3" max="3" width="53.29"/>
    <col customWidth="1" hidden="1" min="4" max="4" width="53.71"/>
    <col customWidth="1" hidden="1" min="5" max="5" width="79.57"/>
    <col customWidth="1" min="6" max="6" width="52.0"/>
    <col customWidth="1" min="7" max="26" width="14.57"/>
  </cols>
  <sheetData>
    <row r="1" ht="21.75" customHeight="1">
      <c r="A1" s="28" t="s">
        <v>217</v>
      </c>
      <c r="B1" s="29" t="s">
        <v>1</v>
      </c>
      <c r="C1" s="30" t="s">
        <v>2</v>
      </c>
      <c r="D1" s="2" t="s">
        <v>3</v>
      </c>
      <c r="E1" s="31" t="s">
        <v>4</v>
      </c>
      <c r="F1" s="30" t="s">
        <v>5</v>
      </c>
      <c r="G1" s="3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7"/>
      <c r="B2" s="7"/>
      <c r="C2" s="33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3.5" customHeight="1">
      <c r="A3" s="7" t="s">
        <v>60</v>
      </c>
      <c r="B3" s="9" t="s">
        <v>218</v>
      </c>
      <c r="C3" s="9" t="s">
        <v>218</v>
      </c>
      <c r="D3" s="9" t="s">
        <v>219</v>
      </c>
      <c r="E3" s="7" t="str">
        <f>IFERROR(__xludf.DUMMYFUNCTION("GOOGLETRANSLATE(C3, ""en"", ""gu"")"),"ખેતરનું તળાવ")</f>
        <v>ખેતરનું તળાવ</v>
      </c>
      <c r="F3" s="7" t="s">
        <v>220</v>
      </c>
      <c r="G3" s="7" t="str">
        <f>IFERROR(__xludf.DUMMYFUNCTION("GOOGLETRANSLATE(C3,""en"",""or"")"),"ଚାଷ ପୋଖରୀ")</f>
        <v>ଚାଷ ପୋଖରୀ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3.5" customHeight="1">
      <c r="A4" s="7" t="s">
        <v>60</v>
      </c>
      <c r="B4" s="9" t="s">
        <v>221</v>
      </c>
      <c r="C4" s="9" t="s">
        <v>221</v>
      </c>
      <c r="D4" s="9" t="s">
        <v>222</v>
      </c>
      <c r="E4" s="7" t="str">
        <f>IFERROR(__xludf.DUMMYFUNCTION("GOOGLETRANSLATE(C4, ""en"", ""gu"")"),"કોમ્યુનિટી પોન્ડ")</f>
        <v>કોમ્યુનિટી પોન્ડ</v>
      </c>
      <c r="F4" s="7" t="s">
        <v>223</v>
      </c>
      <c r="G4" s="7" t="str">
        <f>IFERROR(__xludf.DUMMYFUNCTION("GOOGLETRANSLATE(C4,""en"",""or"")"),"ସମ୍ପ୍ରଦାୟ ପୋଖରୀ")</f>
        <v>ସମ୍ପ୍ରଦାୟ ପୋଖରୀ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3.5" customHeight="1">
      <c r="A5" s="7" t="s">
        <v>60</v>
      </c>
      <c r="B5" s="9" t="s">
        <v>224</v>
      </c>
      <c r="C5" s="9" t="s">
        <v>224</v>
      </c>
      <c r="D5" s="9" t="s">
        <v>225</v>
      </c>
      <c r="E5" s="7" t="str">
        <f>IFERROR(__xludf.DUMMYFUNCTION("GOOGLETRANSLATE(C5, ""en"", ""gu"")"),"વિશાળ જળાશય")</f>
        <v>વિશાળ જળાશય</v>
      </c>
      <c r="F5" s="7" t="s">
        <v>226</v>
      </c>
      <c r="G5" s="7" t="str">
        <f>IFERROR(__xludf.DUMMYFUNCTION("GOOGLETRANSLATE(C5,""en"",""or"")"),"ବଡ଼ ଜଳାଶୟ")</f>
        <v>ବଡ଼ ଜଳାଶୟ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3.5" customHeight="1">
      <c r="A6" s="7" t="s">
        <v>60</v>
      </c>
      <c r="B6" s="9" t="s">
        <v>227</v>
      </c>
      <c r="C6" s="9" t="s">
        <v>227</v>
      </c>
      <c r="D6" s="9" t="s">
        <v>228</v>
      </c>
      <c r="E6" s="7" t="str">
        <f>IFERROR(__xludf.DUMMYFUNCTION("GOOGLETRANSLATE(C6, ""en"", ""gu"")"),"ચેનલ")</f>
        <v>ચેનલ</v>
      </c>
      <c r="F6" s="7" t="s">
        <v>229</v>
      </c>
      <c r="G6" s="7" t="str">
        <f>IFERROR(__xludf.DUMMYFUNCTION("GOOGLETRANSLATE(C6,""en"",""or"")"),"କେନାଲ")</f>
        <v>କେନାଲ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7" t="s">
        <v>60</v>
      </c>
      <c r="B7" s="9" t="s">
        <v>230</v>
      </c>
      <c r="C7" s="9" t="s">
        <v>230</v>
      </c>
      <c r="D7" s="9" t="s">
        <v>231</v>
      </c>
      <c r="E7" s="7" t="str">
        <f>IFERROR(__xludf.DUMMYFUNCTION("GOOGLETRANSLATE(C7, ""en"", ""gu"")"),"ચેક ડેમ")</f>
        <v>ચેક ડેમ</v>
      </c>
      <c r="F7" s="7" t="s">
        <v>232</v>
      </c>
      <c r="G7" s="7" t="str">
        <f>IFERROR(__xludf.DUMMYFUNCTION("GOOGLETRANSLATE(C7,""en"",""or"")"),"ଚେକ୍ ଡ୍ୟାମ୍")</f>
        <v>ଚେକ୍ ଡ୍ୟାମ୍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7" t="s">
        <v>60</v>
      </c>
      <c r="B8" s="9" t="s">
        <v>233</v>
      </c>
      <c r="C8" s="9" t="s">
        <v>233</v>
      </c>
      <c r="D8" s="9" t="s">
        <v>234</v>
      </c>
      <c r="E8" s="7" t="str">
        <f>IFERROR(__xludf.DUMMYFUNCTION("GOOGLETRANSLATE(C8, ""en"", ""gu"")"),"પરકોલેશન ટાંકી")</f>
        <v>પરકોલેશન ટાંકી</v>
      </c>
      <c r="F8" s="7" t="s">
        <v>235</v>
      </c>
      <c r="G8" s="7" t="str">
        <f>IFERROR(__xludf.DUMMYFUNCTION("GOOGLETRANSLATE(C8,""en"",""or"")"),"ପର୍କୋଲେସନ୍ ଟାଙ୍କି")</f>
        <v>ପର୍କୋଲେସନ୍ ଟାଙ୍କି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7" t="s">
        <v>60</v>
      </c>
      <c r="B9" s="9" t="s">
        <v>236</v>
      </c>
      <c r="C9" s="9" t="s">
        <v>236</v>
      </c>
      <c r="D9" s="9" t="s">
        <v>237</v>
      </c>
      <c r="E9" s="7" t="str">
        <f>IFERROR(__xludf.DUMMYFUNCTION("GOOGLETRANSLATE(C9, ""en"", ""gu"")"),"રોકફિલ ડેમ")</f>
        <v>રોકફિલ ડેમ</v>
      </c>
      <c r="F9" s="7" t="s">
        <v>238</v>
      </c>
      <c r="G9" s="7" t="str">
        <f>IFERROR(__xludf.DUMMYFUNCTION("GOOGLETRANSLATE(C9,""en"",""or"")"),"ପଥର ପୂରଣ ବନ୍ଧ")</f>
        <v>ପଥର ପୂରଣ ବନ୍ଧ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7" t="s">
        <v>60</v>
      </c>
      <c r="B10" s="9" t="s">
        <v>239</v>
      </c>
      <c r="C10" s="9" t="s">
        <v>239</v>
      </c>
      <c r="D10" s="9" t="s">
        <v>240</v>
      </c>
      <c r="E10" s="7" t="str">
        <f>IFERROR(__xludf.DUMMYFUNCTION("GOOGLETRANSLATE(C10, ""en"", ""gu"")"),"છૂટક પથ્થરનું માળખું")</f>
        <v>છૂટક પથ્થરનું માળખું</v>
      </c>
      <c r="F10" s="7" t="s">
        <v>241</v>
      </c>
      <c r="G10" s="7" t="str">
        <f>IFERROR(__xludf.DUMMYFUNCTION("GOOGLETRANSLATE(C10,""en"",""or"")"),"ଢିଲା ବୋଲ୍ଡର ଗଠନ")</f>
        <v>ଢିଲା ବୋଲ୍ଡର ଗଠନ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3.5" customHeight="1">
      <c r="A11" s="7" t="s">
        <v>60</v>
      </c>
      <c r="B11" s="9" t="s">
        <v>242</v>
      </c>
      <c r="C11" s="9" t="s">
        <v>242</v>
      </c>
      <c r="D11" s="9" t="s">
        <v>243</v>
      </c>
      <c r="E11" s="7" t="str">
        <f>IFERROR(__xludf.DUMMYFUNCTION("GOOGLETRANSLATE(C11, ""en"", ""gu"")"),"૫% મોડેલ માળખું")</f>
        <v>૫% મોડેલ માળખું</v>
      </c>
      <c r="F11" s="7" t="s">
        <v>244</v>
      </c>
      <c r="G11" s="7" t="str">
        <f>IFERROR(__xludf.DUMMYFUNCTION("GOOGLETRANSLATE(C11,""en"",""or"")"),"୫% ମଡେଲ ଗଠନ")</f>
        <v>୫% ମଡେଲ ଗଠନ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3.5" customHeight="1">
      <c r="A12" s="7" t="s">
        <v>60</v>
      </c>
      <c r="B12" s="9" t="s">
        <v>245</v>
      </c>
      <c r="C12" s="9" t="s">
        <v>245</v>
      </c>
      <c r="D12" s="9" t="s">
        <v>246</v>
      </c>
      <c r="E12" s="7" t="str">
        <f>IFERROR(__xludf.DUMMYFUNCTION("GOOGLETRANSLATE(C12, ""en"", ""gu"")"),"30-40 મોડેલ માળખું")</f>
        <v>30-40 મોડેલ માળખું</v>
      </c>
      <c r="F12" s="7" t="s">
        <v>247</v>
      </c>
      <c r="G12" s="7" t="str">
        <f>IFERROR(__xludf.DUMMYFUNCTION("GOOGLETRANSLATE(C12,""en"",""or"")"),"30-40 ମଡେଲ୍ ଗଠନ")</f>
        <v>30-40 ମଡେଲ୍ ଗଠନ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3.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3.5" customHeight="1">
      <c r="A14" s="7" t="s">
        <v>248</v>
      </c>
      <c r="B14" s="7" t="s">
        <v>249</v>
      </c>
      <c r="C14" s="7" t="s">
        <v>249</v>
      </c>
      <c r="D14" s="9" t="s">
        <v>250</v>
      </c>
      <c r="E14" s="7" t="str">
        <f>IFERROR(__xludf.DUMMYFUNCTION("GOOGLETRANSLATE(C14, ""en"", ""gu"")"),"હા")</f>
        <v>હા</v>
      </c>
      <c r="F14" s="7" t="s">
        <v>251</v>
      </c>
      <c r="G14" s="7" t="str">
        <f>IFERROR(__xludf.DUMMYFUNCTION("GOOGLETRANSLATE(C14,""en"",""or"")"),"ହଁ")</f>
        <v>ହଁ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3.5" customHeight="1">
      <c r="A15" s="7" t="s">
        <v>248</v>
      </c>
      <c r="B15" s="7" t="s">
        <v>252</v>
      </c>
      <c r="C15" s="7" t="s">
        <v>252</v>
      </c>
      <c r="D15" s="9" t="s">
        <v>253</v>
      </c>
      <c r="E15" s="7" t="str">
        <f>IFERROR(__xludf.DUMMYFUNCTION("GOOGLETRANSLATE(C15, ""en"", ""gu"")"),"ના")</f>
        <v>ના</v>
      </c>
      <c r="F15" s="7" t="s">
        <v>254</v>
      </c>
      <c r="G15" s="7" t="str">
        <f>IFERROR(__xludf.DUMMYFUNCTION("GOOGLETRANSLATE(C15,""en"",""or"")"),"ନା")</f>
        <v>ନା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7" t="s">
        <v>255</v>
      </c>
      <c r="B17" s="10" t="s">
        <v>256</v>
      </c>
      <c r="C17" s="11" t="s">
        <v>257</v>
      </c>
      <c r="D17" s="11" t="s">
        <v>258</v>
      </c>
      <c r="E17" s="34" t="str">
        <f>IFERROR(__xludf.DUMMYFUNCTION("GOOGLETRANSLATE(C17, ""en"", ""gu"")"),"ડી સિટલીંગ
")</f>
        <v>ડી સિટલીંગ
</v>
      </c>
      <c r="F17" s="34" t="s">
        <v>259</v>
      </c>
      <c r="G17" s="7" t="str">
        <f>IFERROR(__xludf.DUMMYFUNCTION("GOOGLETRANSLATE(C17,""en"",""or"")"),"ଡି ସିଟଲିଂ
")</f>
        <v>ଡି ସିଟଲିଂ
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7" t="s">
        <v>255</v>
      </c>
      <c r="B18" s="7" t="s">
        <v>260</v>
      </c>
      <c r="C18" s="7" t="s">
        <v>261</v>
      </c>
      <c r="D18" s="9" t="s">
        <v>262</v>
      </c>
      <c r="E18" s="7" t="str">
        <f>IFERROR(__xludf.DUMMYFUNCTION("GOOGLETRANSLATE(C18, ""en"", ""gu"")"),"દરિયાકાંઠાના ધોવાણ નિયંત્રણ")</f>
        <v>દરિયાકાંઠાના ધોવાણ નિયંત્રણ</v>
      </c>
      <c r="F18" s="7" t="s">
        <v>263</v>
      </c>
      <c r="G18" s="7" t="str">
        <f>IFERROR(__xludf.DUMMYFUNCTION("GOOGLETRANSLATE(C18,""en"",""or"")"),"କୂଳ କ୍ଷୟ ନିୟନ୍ତ୍ରଣ")</f>
        <v>କୂଳ କ୍ଷୟ ନିୟନ୍ତ୍ରଣ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7" t="s">
        <v>255</v>
      </c>
      <c r="B19" s="7" t="s">
        <v>264</v>
      </c>
      <c r="C19" s="7" t="s">
        <v>265</v>
      </c>
      <c r="D19" s="9" t="s">
        <v>266</v>
      </c>
      <c r="E19" s="7" t="str">
        <f>IFERROR(__xludf.DUMMYFUNCTION("GOOGLETRANSLATE(C19, ""en"", ""gu"")"),"બંધ સમારકામ")</f>
        <v>બંધ સમારકામ</v>
      </c>
      <c r="F19" s="7" t="s">
        <v>267</v>
      </c>
      <c r="G19" s="7" t="str">
        <f>IFERROR(__xludf.DUMMYFUNCTION("GOOGLETRANSLATE(C19,""en"",""or"")"),"ନଦୀବନ୍ଧ ମରାମତି")</f>
        <v>ନଦୀବନ୍ଧ ମରାମତି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7" t="s">
        <v>255</v>
      </c>
      <c r="B20" s="7" t="s">
        <v>268</v>
      </c>
      <c r="C20" s="7" t="s">
        <v>269</v>
      </c>
      <c r="D20" s="9" t="s">
        <v>270</v>
      </c>
      <c r="E20" s="7" t="str">
        <f>IFERROR(__xludf.DUMMYFUNCTION("GOOGLETRANSLATE(C20, ""en"", ""gu"")"),"જળચર વનસ્પતિના અતિશય વિકાસને નિયંત્રિત કરવો")</f>
        <v>જળચર વનસ્પતિના અતિશય વિકાસને નિયંત્રિત કરવો</v>
      </c>
      <c r="F20" s="7" t="s">
        <v>271</v>
      </c>
      <c r="G20" s="7" t="str">
        <f>IFERROR(__xludf.DUMMYFUNCTION("GOOGLETRANSLATE(C20,""en"",""or"")"),"ଜଳଚର ଉଦ୍ଭିଦର ଅତ୍ୟଧିକ ବୃଦ୍ଧି ନିୟନ୍ତ୍ରଣ କରିବା")</f>
        <v>ଜଳଚର ଉଦ୍ଭିଦର ଅତ୍ୟଧିକ ବୃଦ୍ଧି ନିୟନ୍ତ୍ରଣ କରିବା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3.5" customHeight="1">
      <c r="A22" s="7" t="s">
        <v>272</v>
      </c>
      <c r="B22" s="7" t="s">
        <v>273</v>
      </c>
      <c r="C22" s="7" t="s">
        <v>274</v>
      </c>
      <c r="D22" s="9" t="s">
        <v>275</v>
      </c>
      <c r="E22" s="7" t="str">
        <f>IFERROR(__xludf.DUMMYFUNCTION("GOOGLETRANSLATE(C22, ""en"", ""gu"")"),"બેડ લેવલીંગ")</f>
        <v>બેડ લેવલીંગ</v>
      </c>
      <c r="F22" s="7" t="s">
        <v>276</v>
      </c>
      <c r="G22" s="7" t="str">
        <f>IFERROR(__xludf.DUMMYFUNCTION("GOOGLETRANSLATE(C22,""en"",""or"")"),"ବିଛଣା ସମତଳ କରିବା")</f>
        <v>ବିଛଣା ସମତଳ କରିବା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7" t="s">
        <v>272</v>
      </c>
      <c r="B23" s="7" t="s">
        <v>277</v>
      </c>
      <c r="C23" s="7" t="s">
        <v>278</v>
      </c>
      <c r="D23" s="9" t="s">
        <v>279</v>
      </c>
      <c r="E23" s="7" t="str">
        <f>IFERROR(__xludf.DUMMYFUNCTION("GOOGLETRANSLATE(C23, ""en"", ""gu"")"),"અસ્તર સમારકામ")</f>
        <v>અસ્તર સમારકામ</v>
      </c>
      <c r="F23" s="7" t="s">
        <v>280</v>
      </c>
      <c r="G23" s="7" t="str">
        <f>IFERROR(__xludf.DUMMYFUNCTION("GOOGLETRANSLATE(C23,""en"",""or"")"),"ଲାଇନିଂ ମରାମତି")</f>
        <v>ଲାଇନିଂ ମରାମତି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7" t="s">
        <v>272</v>
      </c>
      <c r="B24" s="7" t="s">
        <v>281</v>
      </c>
      <c r="C24" s="9" t="s">
        <v>282</v>
      </c>
      <c r="D24" s="9" t="s">
        <v>283</v>
      </c>
      <c r="E24" s="7" t="str">
        <f>IFERROR(__xludf.DUMMYFUNCTION("GOOGLETRANSLATE(C24, ""en"", ""gu"")"),"પાણીના પ્રવાહને અવરોધતા કાટમાળ, વનસ્પતિ અથવા અન્ય અવરોધોને દૂર કરવા.")</f>
        <v>પાણીના પ્રવાહને અવરોધતા કાટમાળ, વનસ્પતિ અથવા અન્ય અવરોધોને દૂર કરવા.</v>
      </c>
      <c r="F24" s="7" t="s">
        <v>284</v>
      </c>
      <c r="G24" s="7" t="str">
        <f>IFERROR(__xludf.DUMMYFUNCTION("GOOGLETRANSLATE(C24,""en"",""or"")"),"ଜଳ ପ୍ରବାହକୁ ବାଧା ଦେଉଥିବା ଅଳିଆ, ଗଛଲତା କିମ୍ବା ଅନ୍ୟାନ୍ୟ ପ୍ରତିବନ୍ଧକ ସଫା କରିବା")</f>
        <v>ଜଳ ପ୍ରବାହକୁ ବାଧା ଦେଉଥିବା ଅଳିଆ, ଗଛଲତା କିମ୍ବା ଅନ୍ୟାନ୍ୟ ପ୍ରତିବନ୍ଧକ ସଫା କରିବା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7" t="s">
        <v>272</v>
      </c>
      <c r="B25" s="7" t="s">
        <v>285</v>
      </c>
      <c r="C25" s="7" t="s">
        <v>286</v>
      </c>
      <c r="D25" s="9" t="s">
        <v>287</v>
      </c>
      <c r="E25" s="7" t="str">
        <f>IFERROR(__xludf.DUMMYFUNCTION("GOOGLETRANSLATE(C25, ""en"", ""gu"")"),"દરવાજા અને વાલ્વની જાળવણી")</f>
        <v>દરવાજા અને વાલ્વની જાળવણી</v>
      </c>
      <c r="F25" s="7" t="s">
        <v>288</v>
      </c>
      <c r="G25" s="7" t="str">
        <f>IFERROR(__xludf.DUMMYFUNCTION("GOOGLETRANSLATE(C25,""en"",""or"")"),"ଗେଟ୍ ଏବଂ ଭଲଭ୍ ରକ୍ଷଣାବେକ୍ଷଣ")</f>
        <v>ଗେଟ୍ ଏବଂ ଭଲଭ୍ ରକ୍ଷଣାବେକ୍ଷଣ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3.5" customHeight="1">
      <c r="A27" s="7" t="s">
        <v>289</v>
      </c>
      <c r="B27" s="7" t="s">
        <v>290</v>
      </c>
      <c r="C27" s="9" t="s">
        <v>291</v>
      </c>
      <c r="D27" s="9" t="s">
        <v>292</v>
      </c>
      <c r="E27" s="7" t="str">
        <f>IFERROR(__xludf.DUMMYFUNCTION("GOOGLETRANSLATE(C27, ""en"", ""gu"")"),"ધોવાણ અટકાવવા માટે નહેરના કિનારાઓને સ્થિર કરવા
")</f>
        <v>ધોવાણ અટકાવવા માટે નહેરના કિનારાઓને સ્થિર કરવા
</v>
      </c>
      <c r="F27" s="7" t="s">
        <v>293</v>
      </c>
      <c r="G27" s="7" t="str">
        <f>IFERROR(__xludf.DUMMYFUNCTION("GOOGLETRANSLATE(C27,""en"",""or"")"),"କ୍ଷୟ ରୋକିବା ପାଇଁ କେନାଲ କୂଳକୁ ସ୍ଥିର କରିବା
")</f>
        <v>କ୍ଷୟ ରୋକିବା ପାଇଁ କେନାଲ କୂଳକୁ ସ୍ଥିର କରିବା
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7" t="s">
        <v>289</v>
      </c>
      <c r="B28" s="7" t="s">
        <v>277</v>
      </c>
      <c r="C28" s="7" t="s">
        <v>278</v>
      </c>
      <c r="D28" s="9" t="s">
        <v>279</v>
      </c>
      <c r="E28" s="7" t="str">
        <f>IFERROR(__xludf.DUMMYFUNCTION("GOOGLETRANSLATE(C28, ""en"", ""gu"")"),"અસ્તર સમારકામ")</f>
        <v>અસ્તર સમારકામ</v>
      </c>
      <c r="F28" s="7" t="s">
        <v>280</v>
      </c>
      <c r="G28" s="7" t="str">
        <f>IFERROR(__xludf.DUMMYFUNCTION("GOOGLETRANSLATE(C28,""en"",""or"")"),"ଲାଇନିଂ ମରାମତି")</f>
        <v>ଲାଇନିଂ ମରାମତି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3.5" customHeight="1">
      <c r="A29" s="7" t="s">
        <v>289</v>
      </c>
      <c r="B29" s="7" t="s">
        <v>294</v>
      </c>
      <c r="C29" s="7" t="s">
        <v>294</v>
      </c>
      <c r="D29" s="9" t="s">
        <v>295</v>
      </c>
      <c r="E29" s="7" t="str">
        <f>IFERROR(__xludf.DUMMYFUNCTION("GOOGLETRANSLATE(C29, ""en"", ""gu"")"),"ડિસિલ્ટિંગ")</f>
        <v>ડિસિલ્ટિંગ</v>
      </c>
      <c r="F29" s="7" t="s">
        <v>296</v>
      </c>
      <c r="G29" s="7" t="str">
        <f>IFERROR(__xludf.DUMMYFUNCTION("GOOGLETRANSLATE(C29,""en"",""or"")"),"ଡିସିଲ୍ଟିଂ")</f>
        <v>ଡିସିଲ୍ଟିଂ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7" t="s">
        <v>289</v>
      </c>
      <c r="B30" s="7" t="s">
        <v>297</v>
      </c>
      <c r="C30" s="7" t="s">
        <v>298</v>
      </c>
      <c r="D30" s="9" t="s">
        <v>299</v>
      </c>
      <c r="E30" s="7" t="str">
        <f>IFERROR(__xludf.DUMMYFUNCTION("GOOGLETRANSLATE(C30, ""en"", ""gu"")"),"માળખાકીય સમારકામ")</f>
        <v>માળખાકીય સમારકામ</v>
      </c>
      <c r="F30" s="7" t="s">
        <v>300</v>
      </c>
      <c r="G30" s="7" t="str">
        <f>IFERROR(__xludf.DUMMYFUNCTION("GOOGLETRANSLATE(C30,""en"",""or"")"),"ଗଠନମୂଳକ ମରାମତି")</f>
        <v>ଗଠନମୂଳକ ମରାମତି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7" t="s">
        <v>301</v>
      </c>
      <c r="B32" s="10" t="s">
        <v>256</v>
      </c>
      <c r="C32" s="11" t="s">
        <v>257</v>
      </c>
      <c r="D32" s="11" t="s">
        <v>258</v>
      </c>
      <c r="E32" s="34" t="str">
        <f>IFERROR(__xludf.DUMMYFUNCTION("GOOGLETRANSLATE(C32, ""en"", ""gu"")"),"ડી સિટલીંગ
")</f>
        <v>ડી સિટલીંગ
</v>
      </c>
      <c r="F32" s="34" t="s">
        <v>259</v>
      </c>
      <c r="G32" s="7" t="str">
        <f>IFERROR(__xludf.DUMMYFUNCTION("GOOGLETRANSLATE(C32,""en"",""or"")"),"ଡି ସିଟଲିଂ
")</f>
        <v>ଡି ସିଟଲିଂ
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7" t="s">
        <v>301</v>
      </c>
      <c r="B33" s="9" t="s">
        <v>302</v>
      </c>
      <c r="C33" s="9" t="s">
        <v>303</v>
      </c>
      <c r="D33" s="9" t="s">
        <v>304</v>
      </c>
      <c r="E33" s="7" t="str">
        <f>IFERROR(__xludf.DUMMYFUNCTION("GOOGLETRANSLATE(C33, ""en"", ""gu"")"),"પાળાઓમાં તિરાડો અથવા નુકસાનનું સમારકામ")</f>
        <v>પાળાઓમાં તિરાડો અથવા નુકસાનનું સમારકામ</v>
      </c>
      <c r="F33" s="7" t="s">
        <v>305</v>
      </c>
      <c r="G33" s="7" t="str">
        <f>IFERROR(__xludf.DUMMYFUNCTION("GOOGLETRANSLATE(C33,""en"",""or"")"),"ବନ୍ଧରେ ଫାଟ କିମ୍ବା କ୍ଷତି ମରାମତି")</f>
        <v>ବନ୍ଧରେ ଫାଟ କିମ୍ବା କ୍ଷତି ମରାମତି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7" t="s">
        <v>301</v>
      </c>
      <c r="B34" s="9" t="s">
        <v>306</v>
      </c>
      <c r="C34" s="9" t="s">
        <v>307</v>
      </c>
      <c r="D34" s="9" t="s">
        <v>308</v>
      </c>
      <c r="E34" s="7" t="str">
        <f>IFERROR(__xludf.DUMMYFUNCTION("GOOGLETRANSLATE(C34, ""en"", ""gu"")"),"તળાવના તળિયામાં પાણીના ઝમણ અથવા લીકેજનું નિયંત્રણ")</f>
        <v>તળાવના તળિયામાં પાણીના ઝમણ અથવા લીકેજનું નિયંત્રણ</v>
      </c>
      <c r="F34" s="7" t="s">
        <v>309</v>
      </c>
      <c r="G34" s="7" t="str">
        <f>IFERROR(__xludf.DUMMYFUNCTION("GOOGLETRANSLATE(C34,""en"",""or"")"),"ପୋଖରୀ ତଳିରେ ଜଳ ସ୍ରୋତ କିମ୍ବା ଲିକ୍ ନିୟନ୍ତ୍ରଣ କରିବା")</f>
        <v>ପୋଖରୀ ତଳିରେ ଜଳ ସ୍ରୋତ କିମ୍ବା ଲିକ୍ ନିୟନ୍ତ୍ରଣ କରିବା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7" t="s">
        <v>301</v>
      </c>
      <c r="B35" s="9" t="s">
        <v>310</v>
      </c>
      <c r="C35" s="9" t="s">
        <v>311</v>
      </c>
      <c r="D35" s="9" t="s">
        <v>312</v>
      </c>
      <c r="E35" s="7" t="str">
        <f>IFERROR(__xludf.DUMMYFUNCTION("GOOGLETRANSLATE(C35, ""en"", ""gu"")"),"પાળા પર ધોવાણ નિયંત્રણ")</f>
        <v>પાળા પર ધોવાણ નિયંત્રણ</v>
      </c>
      <c r="F35" s="7" t="s">
        <v>313</v>
      </c>
      <c r="G35" s="7" t="str">
        <f>IFERROR(__xludf.DUMMYFUNCTION("GOOGLETRANSLATE(C35,""en"",""or"")"),"ବନ୍ଧ ଉପରେ କ୍ଷୟ ନିୟନ୍ତ୍ରଣ")</f>
        <v>ବନ୍ଧ ଉପରେ କ୍ଷୟ ନିୟନ୍ତ୍ରଣ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7" t="s">
        <v>301</v>
      </c>
      <c r="B36" s="9" t="s">
        <v>314</v>
      </c>
      <c r="C36" s="9" t="s">
        <v>315</v>
      </c>
      <c r="D36" s="9" t="s">
        <v>316</v>
      </c>
      <c r="E36" s="7" t="str">
        <f>IFERROR(__xludf.DUMMYFUNCTION("GOOGLETRANSLATE(C36, ""en"", ""gu"")"),"અતિશય જળચર વનસ્પતિ વૃદ્ધિને સંબોધિત કરવી")</f>
        <v>અતિશય જળચર વનસ્પતિ વૃદ્ધિને સંબોધિત કરવી</v>
      </c>
      <c r="F36" s="7" t="s">
        <v>317</v>
      </c>
      <c r="G36" s="7" t="str">
        <f>IFERROR(__xludf.DUMMYFUNCTION("GOOGLETRANSLATE(C36,""en"",""or"")"),"ଅତ୍ୟଧିକ ଜଳଚର ଉଦ୍ଭିଦ ବୃଦ୍ଧିକୁ ସମାଧାନ କରିବା")</f>
        <v>ଅତ୍ୟଧିକ ଜଳଚର ଉଦ୍ଭିଦ ବୃଦ୍ଧିକୁ ସମାଧାନ କରିବା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 t="s">
        <v>318</v>
      </c>
      <c r="B38" s="10" t="s">
        <v>256</v>
      </c>
      <c r="C38" s="11" t="s">
        <v>257</v>
      </c>
      <c r="D38" s="11" t="s">
        <v>258</v>
      </c>
      <c r="E38" s="34" t="str">
        <f>IFERROR(__xludf.DUMMYFUNCTION("GOOGLETRANSLATE(C38, ""en"", ""gu"")"),"ડી સિટલીંગ
")</f>
        <v>ડી સિટલીંગ
</v>
      </c>
      <c r="F38" s="34" t="s">
        <v>259</v>
      </c>
      <c r="G38" s="7" t="str">
        <f>IFERROR(__xludf.DUMMYFUNCTION("GOOGLETRANSLATE(C38,""en"",""or"")"),"ଡି ସିଟଲିଂ
")</f>
        <v>ଡି ସିଟଲିଂ
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 t="s">
        <v>318</v>
      </c>
      <c r="B39" s="9" t="s">
        <v>260</v>
      </c>
      <c r="C39" s="9" t="s">
        <v>261</v>
      </c>
      <c r="D39" s="9" t="s">
        <v>262</v>
      </c>
      <c r="E39" s="7" t="str">
        <f>IFERROR(__xludf.DUMMYFUNCTION("GOOGLETRANSLATE(C39, ""en"", ""gu"")"),"દરિયાકાંઠાના ધોવાણ નિયંત્રણ")</f>
        <v>દરિયાકાંઠાના ધોવાણ નિયંત્રણ</v>
      </c>
      <c r="F39" s="7" t="s">
        <v>263</v>
      </c>
      <c r="G39" s="7" t="str">
        <f>IFERROR(__xludf.DUMMYFUNCTION("GOOGLETRANSLATE(C39,""en"",""or"")"),"କୂଳ କ୍ଷୟ ନିୟନ୍ତ୍ରଣ")</f>
        <v>କୂଳ କ୍ଷୟ ନିୟନ୍ତ୍ରଣ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 t="s">
        <v>318</v>
      </c>
      <c r="B40" s="9" t="s">
        <v>302</v>
      </c>
      <c r="C40" s="9" t="s">
        <v>303</v>
      </c>
      <c r="D40" s="9" t="s">
        <v>319</v>
      </c>
      <c r="E40" s="7" t="str">
        <f>IFERROR(__xludf.DUMMYFUNCTION("GOOGLETRANSLATE(C40, ""en"", ""gu"")"),"પાળાઓમાં તિરાડો અથવા નુકસાનનું સમારકામ")</f>
        <v>પાળાઓમાં તિરાડો અથવા નુકસાનનું સમારકામ</v>
      </c>
      <c r="F40" s="7" t="s">
        <v>305</v>
      </c>
      <c r="G40" s="7" t="str">
        <f>IFERROR(__xludf.DUMMYFUNCTION("GOOGLETRANSLATE(C40,""en"",""or"")"),"ବନ୍ଧରେ ଫାଟ କିମ୍ବା କ୍ଷତି ମରାମତି")</f>
        <v>ବନ୍ଧରେ ଫାଟ କିମ୍ବା କ୍ଷତି ମରାମତି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 t="s">
        <v>318</v>
      </c>
      <c r="B41" s="9" t="s">
        <v>320</v>
      </c>
      <c r="C41" s="9" t="s">
        <v>321</v>
      </c>
      <c r="D41" s="9" t="s">
        <v>316</v>
      </c>
      <c r="E41" s="7" t="str">
        <f>IFERROR(__xludf.DUMMYFUNCTION("GOOGLETRANSLATE(C41, ""en"", ""gu"")"),"અતિશય જળચર વનસ્પતિ વૃદ્ધિને નિયંત્રિત કરવી")</f>
        <v>અતિશય જળચર વનસ્પતિ વૃદ્ધિને નિયંત્રિત કરવી</v>
      </c>
      <c r="F41" s="7" t="s">
        <v>322</v>
      </c>
      <c r="G41" s="7" t="str">
        <f>IFERROR(__xludf.DUMMYFUNCTION("GOOGLETRANSLATE(C41,""en"",""or"")"),"ଅତ୍ୟଧିକ ଜଳୀୟ ଉଦ୍ଭିଦ ବୃଦ୍ଧିକୁ ନିୟନ୍ତ୍ରଣ କରିବା")</f>
        <v>ଅତ୍ୟଧିକ ଜଳୀୟ ଉଦ୍ଭିଦ ବୃଦ୍ଧିକୁ ନିୟନ୍ତ୍ରଣ କରିବା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 t="s">
        <v>318</v>
      </c>
      <c r="B42" s="9" t="s">
        <v>323</v>
      </c>
      <c r="C42" s="9" t="s">
        <v>324</v>
      </c>
      <c r="D42" s="9" t="s">
        <v>325</v>
      </c>
      <c r="E42" s="7" t="str">
        <f>IFERROR(__xludf.DUMMYFUNCTION("GOOGLETRANSLATE(C42, ""en"", ""gu"")"),"ઇનલેટ/આઉટલેટ સ્ટ્રક્ચર્સનું સમારકામ અથવા સફાઈ")</f>
        <v>ઇનલેટ/આઉટલેટ સ્ટ્રક્ચર્સનું સમારકામ અથવા સફાઈ</v>
      </c>
      <c r="F42" s="7" t="s">
        <v>326</v>
      </c>
      <c r="G42" s="7" t="str">
        <f>IFERROR(__xludf.DUMMYFUNCTION("GOOGLETRANSLATE(C42,""en"",""or"")"),"ପ୍ରବେଶ/ନିର୍ବାହୀ ଢାଞ୍ଚାର ମରାମତି କିମ୍ବା ସଫା କରିବା")</f>
        <v>ପ୍ରବେଶ/ନିର୍ବାହୀ ଢାଞ୍ଚାର ମରାମତି କିମ୍ବା ସଫା କରିବା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 t="s">
        <v>327</v>
      </c>
      <c r="B44" s="9" t="s">
        <v>328</v>
      </c>
      <c r="C44" s="9" t="s">
        <v>329</v>
      </c>
      <c r="D44" s="9" t="s">
        <v>330</v>
      </c>
      <c r="E44" s="7" t="str">
        <f>IFERROR(__xludf.DUMMYFUNCTION("GOOGLETRANSLATE(C44, ""en"", ""gu"")"),"ચેક ડેમ પર ધોવાણ")</f>
        <v>ચેક ડેમ પર ધોવાણ</v>
      </c>
      <c r="F44" s="7" t="s">
        <v>331</v>
      </c>
      <c r="G44" s="7" t="str">
        <f>IFERROR(__xludf.DUMMYFUNCTION("GOOGLETRANSLATE(C44,""en"",""or"")"),"ଚେକ୍ ଡ୍ୟାମରେ କ୍ଷୟ")</f>
        <v>ଚେକ୍ ଡ୍ୟାମରେ କ୍ଷୟ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 t="s">
        <v>327</v>
      </c>
      <c r="B45" s="10" t="s">
        <v>256</v>
      </c>
      <c r="C45" s="11" t="s">
        <v>257</v>
      </c>
      <c r="D45" s="11" t="s">
        <v>258</v>
      </c>
      <c r="E45" s="34" t="str">
        <f>IFERROR(__xludf.DUMMYFUNCTION("GOOGLETRANSLATE(C45, ""en"", ""gu"")"),"ડી સિટલીંગ
")</f>
        <v>ડી સિટલીંગ
</v>
      </c>
      <c r="F45" s="34" t="s">
        <v>259</v>
      </c>
      <c r="G45" s="7" t="str">
        <f>IFERROR(__xludf.DUMMYFUNCTION("GOOGLETRANSLATE(C45,""en"",""or"")"),"ଡି ସିଟଲିଂ
")</f>
        <v>ଡି ସିଟଲିଂ
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 t="s">
        <v>327</v>
      </c>
      <c r="B46" s="9" t="s">
        <v>332</v>
      </c>
      <c r="C46" s="9" t="s">
        <v>333</v>
      </c>
      <c r="D46" s="9" t="s">
        <v>334</v>
      </c>
      <c r="E46" s="7" t="str">
        <f>IFERROR(__xludf.DUMMYFUNCTION("GOOGLETRANSLATE(C46, ""en"", ""gu"")"),"ચેક ડેમ પર માળખાકીય નુકસાન")</f>
        <v>ચેક ડેમ પર માળખાકીય નુકસાન</v>
      </c>
      <c r="F46" s="7" t="s">
        <v>335</v>
      </c>
      <c r="G46" s="7" t="str">
        <f>IFERROR(__xludf.DUMMYFUNCTION("GOOGLETRANSLATE(C46,""en"",""or"")"),"ଚେକ୍ ଡ୍ୟାମରେ ନିର୍ମାଣଗତ କ୍ଷତି")</f>
        <v>ଚେକ୍ ଡ୍ୟାମରେ ନିର୍ମାଣଗତ କ୍ଷତି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 t="s">
        <v>336</v>
      </c>
      <c r="B48" s="10" t="s">
        <v>256</v>
      </c>
      <c r="C48" s="11" t="s">
        <v>257</v>
      </c>
      <c r="D48" s="11" t="s">
        <v>258</v>
      </c>
      <c r="E48" s="34" t="str">
        <f>IFERROR(__xludf.DUMMYFUNCTION("GOOGLETRANSLATE(C48, ""en"", ""gu"")"),"ડી સિટલીંગ
")</f>
        <v>ડી સિટલીંગ
</v>
      </c>
      <c r="F48" s="34" t="s">
        <v>259</v>
      </c>
      <c r="G48" s="7" t="str">
        <f>IFERROR(__xludf.DUMMYFUNCTION("GOOGLETRANSLATE(C48,""en"",""or"")"),"ଡି ସିଟଲିଂ
")</f>
        <v>ଡି ସିଟଲିଂ
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 t="s">
        <v>337</v>
      </c>
      <c r="B49" s="9" t="s">
        <v>338</v>
      </c>
      <c r="C49" s="9" t="s">
        <v>339</v>
      </c>
      <c r="D49" s="9" t="s">
        <v>340</v>
      </c>
      <c r="E49" s="7" t="str">
        <f>IFERROR(__xludf.DUMMYFUNCTION("GOOGLETRANSLATE(C49, ""en"", ""gu"")"),"પાળાઓમાં ભંગાણ")</f>
        <v>પાળાઓમાં ભંગાણ</v>
      </c>
      <c r="F49" s="7" t="s">
        <v>341</v>
      </c>
      <c r="G49" s="7" t="str">
        <f>IFERROR(__xludf.DUMMYFUNCTION("GOOGLETRANSLATE(C49,""en"",""or"")"),"ବନ୍ଧରେ ଫାଟ")</f>
        <v>ବନ୍ଧରେ ଫାଟ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 t="s">
        <v>342</v>
      </c>
      <c r="B50" s="9" t="s">
        <v>343</v>
      </c>
      <c r="C50" s="9" t="s">
        <v>344</v>
      </c>
      <c r="D50" s="9" t="s">
        <v>345</v>
      </c>
      <c r="E50" s="7" t="str">
        <f>IFERROR(__xludf.DUMMYFUNCTION("GOOGLETRANSLATE(C50, ""en"", ""gu"")"),"ટાંકીના બંધ અથવા ઇનલેટ/આઉટલેટ પર ધોવાણ")</f>
        <v>ટાંકીના બંધ અથવા ઇનલેટ/આઉટલેટ પર ધોવાણ</v>
      </c>
      <c r="F50" s="7" t="s">
        <v>346</v>
      </c>
      <c r="G50" s="7" t="str">
        <f>IFERROR(__xludf.DUMMYFUNCTION("GOOGLETRANSLATE(C50,""en"",""or"")"),"ଟ୍ୟାଙ୍କ ବନ୍ଧ କିମ୍ବା ପ୍ରବେଶ/ନିର୍ମାଣ ସ୍ଥାନରେ କ୍ଷୟ")</f>
        <v>ଟ୍ୟାଙ୍କ ବନ୍ଧ କିମ୍ବା ପ୍ରବେଶ/ନିର୍ମାଣ ସ୍ଥାନରେ କ୍ଷୟ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 t="s">
        <v>347</v>
      </c>
      <c r="B51" s="9" t="s">
        <v>348</v>
      </c>
      <c r="C51" s="9" t="s">
        <v>349</v>
      </c>
      <c r="D51" s="9" t="s">
        <v>350</v>
      </c>
      <c r="E51" s="7" t="str">
        <f>IFERROR(__xludf.DUMMYFUNCTION("GOOGLETRANSLATE(C51, ""en"", ""gu"")"),"વનસ્પતિ વૃદ્ધિ પાણીના પ્રવેશને અવરોધે છે")</f>
        <v>વનસ્પતિ વૃદ્ધિ પાણીના પ્રવેશને અવરોધે છે</v>
      </c>
      <c r="F51" s="7" t="s">
        <v>351</v>
      </c>
      <c r="G51" s="7" t="str">
        <f>IFERROR(__xludf.DUMMYFUNCTION("GOOGLETRANSLATE(C51,""en"",""or"")"),"ପାଣି ପ୍ରବେଶକୁ ବାଧା ଦେଉଥିବା ଗଛଲତା ବୃଦ୍ଧି")</f>
        <v>ପାଣି ପ୍ରବେଶକୁ ବାଧା ଦେଉଥିବା ଗଛଲତା ବୃଦ୍ଧି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 t="s">
        <v>352</v>
      </c>
      <c r="B52" s="9" t="s">
        <v>353</v>
      </c>
      <c r="C52" s="9" t="s">
        <v>354</v>
      </c>
      <c r="D52" s="9" t="s">
        <v>355</v>
      </c>
      <c r="E52" s="7" t="str">
        <f>IFERROR(__xludf.DUMMYFUNCTION("GOOGLETRANSLATE(C52, ""en"", ""gu"")"),"સ્પીલવે અથવા આઉટલેટ સ્ટ્રક્ચરને નુકસાન")</f>
        <v>સ્પીલવે અથવા આઉટલેટ સ્ટ્રક્ચરને નુકસાન</v>
      </c>
      <c r="F52" s="7" t="s">
        <v>356</v>
      </c>
      <c r="G52" s="7" t="str">
        <f>IFERROR(__xludf.DUMMYFUNCTION("GOOGLETRANSLATE(C52,""en"",""or"")"),"ସ୍ପିଲୱେ କିମ୍ବା ଆଉଟଲେଟ୍ ସଂରଚନାର କ୍ଷତି")</f>
        <v>ସ୍ପିଲୱେ କିମ୍ବା ଆଉଟଲେଟ୍ ସଂରଚନାର କ୍ଷତି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 t="s">
        <v>357</v>
      </c>
      <c r="B54" s="9" t="s">
        <v>358</v>
      </c>
      <c r="C54" s="9" t="s">
        <v>359</v>
      </c>
      <c r="D54" s="9" t="s">
        <v>360</v>
      </c>
      <c r="E54" s="7" t="str">
        <f>IFERROR(__xludf.DUMMYFUNCTION("GOOGLETRANSLATE(C54, ""en"", ""gu"")"),"ખસી ગયેલા પથ્થરો")</f>
        <v>ખસી ગયેલા પથ્થરો</v>
      </c>
      <c r="F54" s="7" t="s">
        <v>361</v>
      </c>
      <c r="G54" s="7" t="str">
        <f>IFERROR(__xludf.DUMMYFUNCTION("GOOGLETRANSLATE(C54,""en"",""or"")"),"ଖସଡ଼ାଯାଇଥିବା ପଥରଗୁଡ଼ିକ")</f>
        <v>ଖସଡ଼ାଯାଇଥିବା ପଥରଗୁଡ଼ିକ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 t="s">
        <v>357</v>
      </c>
      <c r="B55" s="9" t="s">
        <v>362</v>
      </c>
      <c r="C55" s="9" t="s">
        <v>362</v>
      </c>
      <c r="D55" s="9" t="s">
        <v>363</v>
      </c>
      <c r="E55" s="7" t="str">
        <f>IFERROR(__xludf.DUMMYFUNCTION("GOOGLETRANSLATE(C55, ""en"", ""gu"")"),"ગ્રાઉટિંગ")</f>
        <v>ગ્રાઉટિંગ</v>
      </c>
      <c r="F55" s="7" t="s">
        <v>364</v>
      </c>
      <c r="G55" s="7" t="str">
        <f>IFERROR(__xludf.DUMMYFUNCTION("GOOGLETRANSLATE(C55,""en"",""or"")"),"ଗ୍ରାଉଟିଂ")</f>
        <v>ଗ୍ରାଉଟିଂ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 t="s">
        <v>357</v>
      </c>
      <c r="B56" s="9" t="s">
        <v>365</v>
      </c>
      <c r="C56" s="9" t="s">
        <v>366</v>
      </c>
      <c r="D56" s="9" t="s">
        <v>367</v>
      </c>
      <c r="E56" s="7" t="str">
        <f>IFERROR(__xludf.DUMMYFUNCTION("GOOGLETRANSLATE(C56, ""en"", ""gu"")"),"પથ્થરની રચનાની આસપાસ ધોવાણ")</f>
        <v>પથ્થરની રચનાની આસપાસ ધોવાણ</v>
      </c>
      <c r="F56" s="7" t="s">
        <v>368</v>
      </c>
      <c r="G56" s="7" t="str">
        <f>IFERROR(__xludf.DUMMYFUNCTION("GOOGLETRANSLATE(C56,""en"",""or"")"),"ପଥର ଗଠନ ଚାରିପାଖରେ କ୍ଷୟ")</f>
        <v>ପଥର ଗଠନ ଚାରିପାଖରେ କ୍ଷୟ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 t="s">
        <v>369</v>
      </c>
      <c r="B58" s="10" t="s">
        <v>256</v>
      </c>
      <c r="C58" s="11" t="s">
        <v>257</v>
      </c>
      <c r="D58" s="11" t="s">
        <v>258</v>
      </c>
      <c r="E58" s="34" t="str">
        <f>IFERROR(__xludf.DUMMYFUNCTION("GOOGLETRANSLATE(C58, ""en"", ""gu"")"),"ડી સિટલીંગ
")</f>
        <v>ડી સિટલીંગ
</v>
      </c>
      <c r="F58" s="34" t="s">
        <v>259</v>
      </c>
      <c r="G58" s="7" t="str">
        <f>IFERROR(__xludf.DUMMYFUNCTION("GOOGLETRANSLATE(C58,""en"",""or"")"),"ଡି ସିଟଲିଂ
")</f>
        <v>ଡି ସିଟଲିଂ
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 t="s">
        <v>369</v>
      </c>
      <c r="B59" s="9" t="s">
        <v>370</v>
      </c>
      <c r="C59" s="9" t="s">
        <v>371</v>
      </c>
      <c r="D59" s="9" t="s">
        <v>372</v>
      </c>
      <c r="E59" s="7" t="str">
        <f>IFERROR(__xludf.DUMMYFUNCTION("GOOGLETRANSLATE(C59, ""en"", ""gu"")"),"છૂટા પડેલા અથવા છૂટા પડેલા ખડકો")</f>
        <v>છૂટા પડેલા અથવા છૂટા પડેલા ખડકો</v>
      </c>
      <c r="F59" s="7" t="s">
        <v>373</v>
      </c>
      <c r="G59" s="7" t="str">
        <f>IFERROR(__xludf.DUMMYFUNCTION("GOOGLETRANSLATE(C59,""en"",""or"")"),"ଖାଲି କିମ୍ବା ଢିଲା ପଥର")</f>
        <v>ଖାଲି କିମ୍ବା ଢିଲା ପଥର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 t="s">
        <v>369</v>
      </c>
      <c r="B60" s="9" t="s">
        <v>374</v>
      </c>
      <c r="C60" s="9" t="s">
        <v>375</v>
      </c>
      <c r="D60" s="9" t="s">
        <v>376</v>
      </c>
      <c r="E60" s="7" t="str">
        <f>IFERROR(__xludf.DUMMYFUNCTION("GOOGLETRANSLATE(C60, ""en"", ""gu"")"),"બંધના માળખાની આસપાસ અથવા નીચે ધોવાણ")</f>
        <v>બંધના માળખાની આસપાસ અથવા નીચે ધોવાણ</v>
      </c>
      <c r="F60" s="7" t="s">
        <v>377</v>
      </c>
      <c r="G60" s="7" t="str">
        <f>IFERROR(__xludf.DUMMYFUNCTION("GOOGLETRANSLATE(C60,""en"",""or"")"),"ନଦୀବନ୍ଧ ଗଠନ ଚାରିପାଖରେ କିମ୍ବା ତଳେ କ୍ଷୟ")</f>
        <v>ନଦୀବନ୍ଧ ଗଠନ ଚାରିପାଖରେ କିମ୍ବା ତଳେ କ୍ଷୟ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 t="s">
        <v>378</v>
      </c>
      <c r="B62" s="10" t="s">
        <v>256</v>
      </c>
      <c r="C62" s="11" t="s">
        <v>257</v>
      </c>
      <c r="D62" s="11" t="s">
        <v>258</v>
      </c>
      <c r="E62" s="34" t="str">
        <f>IFERROR(__xludf.DUMMYFUNCTION("GOOGLETRANSLATE(C62, ""en"", ""gu"")"),"ડી સિટલીંગ
")</f>
        <v>ડી સિટલીંગ
</v>
      </c>
      <c r="F62" s="34" t="s">
        <v>259</v>
      </c>
      <c r="G62" s="7" t="str">
        <f>IFERROR(__xludf.DUMMYFUNCTION("GOOGLETRANSLATE(C62,""en"",""or"")"),"ଡି ସିଟଲିଂ
")</f>
        <v>ଡି ସିଟଲିଂ
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 t="s">
        <v>378</v>
      </c>
      <c r="B63" s="9" t="s">
        <v>379</v>
      </c>
      <c r="C63" s="9" t="s">
        <v>380</v>
      </c>
      <c r="D63" s="9" t="s">
        <v>381</v>
      </c>
      <c r="E63" s="7" t="str">
        <f>IFERROR(__xludf.DUMMYFUNCTION("GOOGLETRANSLATE(C63, ""en"", ""gu"")"),"પાળામાં ભંગાણ અથવા લીકેજ")</f>
        <v>પાળામાં ભંગાણ અથવા લીકેજ</v>
      </c>
      <c r="F63" s="7" t="s">
        <v>382</v>
      </c>
      <c r="G63" s="7" t="str">
        <f>IFERROR(__xludf.DUMMYFUNCTION("GOOGLETRANSLATE(C63,""en"",""or"")"),"ନଦୀବନ୍ଧରେ ଫାଟ କିମ୍ବା ପାଣି ଲିକ୍ ହେବା")</f>
        <v>ନଦୀବନ୍ଧରେ ଫାଟ କିମ୍ବା ପାଣି ଲିକ୍ ହେବା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 t="s">
        <v>378</v>
      </c>
      <c r="B64" s="9" t="s">
        <v>383</v>
      </c>
      <c r="C64" s="9" t="s">
        <v>384</v>
      </c>
      <c r="D64" s="9" t="s">
        <v>385</v>
      </c>
      <c r="E64" s="7" t="str">
        <f>IFERROR(__xludf.DUMMYFUNCTION("GOOGLETRANSLATE(C64, ""en"", ""gu"")"),"બાજુઓ અથવા પાયા પર ધોવાણ")</f>
        <v>બાજુઓ અથવા પાયા પર ધોવાણ</v>
      </c>
      <c r="F64" s="7" t="s">
        <v>386</v>
      </c>
      <c r="G64" s="7" t="str">
        <f>IFERROR(__xludf.DUMMYFUNCTION("GOOGLETRANSLATE(C64,""en"",""or"")"),"ପାର୍ଶ୍ୱ କିମ୍ବା ମୂଳରେ କ୍ଷୟ")</f>
        <v>ପାର୍ଶ୍ୱ କିମ୍ବା ମୂଳରେ କ୍ଷୟ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 t="s">
        <v>387</v>
      </c>
      <c r="B66" s="10" t="s">
        <v>256</v>
      </c>
      <c r="C66" s="11" t="s">
        <v>257</v>
      </c>
      <c r="D66" s="11" t="s">
        <v>258</v>
      </c>
      <c r="E66" s="34" t="str">
        <f>IFERROR(__xludf.DUMMYFUNCTION("GOOGLETRANSLATE(C66, ""en"", ""gu"")"),"ડી સિટલીંગ
")</f>
        <v>ડી સિટલીંગ
</v>
      </c>
      <c r="F66" s="34" t="s">
        <v>259</v>
      </c>
      <c r="G66" s="7" t="str">
        <f>IFERROR(__xludf.DUMMYFUNCTION("GOOGLETRANSLATE(C66,""en"",""or"")"),"ଡି ସିଟଲିଂ
")</f>
        <v>ଡି ସିଟଲିଂ
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 t="s">
        <v>387</v>
      </c>
      <c r="B67" s="9" t="s">
        <v>388</v>
      </c>
      <c r="C67" s="9" t="s">
        <v>389</v>
      </c>
      <c r="D67" s="9" t="s">
        <v>390</v>
      </c>
      <c r="E67" s="7" t="str">
        <f>IFERROR(__xludf.DUMMYFUNCTION("GOOGLETRANSLATE(C67, ""en"", ""gu"")"),"બંધન અથવા માળખાની દિવાલોમાં ભંગાણ")</f>
        <v>બંધન અથવા માળખાની દિવાલોમાં ભંગાણ</v>
      </c>
      <c r="F67" s="7" t="s">
        <v>391</v>
      </c>
      <c r="G67" s="7" t="str">
        <f>IFERROR(__xludf.DUMMYFUNCTION("GOOGLETRANSLATE(C67,""en"",""or"")"),"ବାଣ୍ଡିଂ କିମ୍ବା ଗଠନ କାନ୍ଥରେ ଫାଟ")</f>
        <v>ବାଣ୍ଡିଂ କିମ୍ବା ଗଠନ କାନ୍ଥରେ ଫାଟ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 t="s">
        <v>387</v>
      </c>
      <c r="B68" s="9" t="s">
        <v>392</v>
      </c>
      <c r="C68" s="9" t="s">
        <v>393</v>
      </c>
      <c r="D68" s="9" t="s">
        <v>394</v>
      </c>
      <c r="E68" s="7" t="str">
        <f>IFERROR(__xludf.DUMMYFUNCTION("GOOGLETRANSLATE(C68, ""en"", ""gu"")"),"ખાઈઓ અથવા બંધો સાથે ધોવાણ")</f>
        <v>ખાઈઓ અથવા બંધો સાથે ધોવાણ</v>
      </c>
      <c r="F68" s="7" t="s">
        <v>395</v>
      </c>
      <c r="G68" s="7" t="str">
        <f>IFERROR(__xludf.DUMMYFUNCTION("GOOGLETRANSLATE(C68,""en"",""or"")"),"ଖାଲ କିମ୍ବା ବନ୍ଧ ସହିତ କ୍ଷୟ")</f>
        <v>ଖାଲ କିମ୍ବା ବନ୍ଧ ସହିତ କ୍ଷୟ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 t="s">
        <v>396</v>
      </c>
      <c r="B70" s="7" t="s">
        <v>397</v>
      </c>
      <c r="C70" s="7" t="s">
        <v>398</v>
      </c>
      <c r="D70" s="7" t="str">
        <f>IFERROR(__xludf.DUMMYFUNCTION("GOOGLETRANSLATE(C70, ""en"", ""hi"")"),"सामुदायिक मांग")</f>
        <v>सामुदायिक मांग</v>
      </c>
      <c r="E70" s="7" t="str">
        <f>IFERROR(__xludf.DUMMYFUNCTION("GOOGLETRANSLATE(C70, ""en"", ""gu"")"),"સમુદાય માંગ")</f>
        <v>સમુદાય માંગ</v>
      </c>
      <c r="F70" s="7" t="s">
        <v>399</v>
      </c>
      <c r="G70" s="7" t="str">
        <f>IFERROR(__xludf.DUMMYFUNCTION("GOOGLETRANSLATE(C70,""en"",""or"")"),"ସମ୍ପ୍ରଦାୟ ଦାବି")</f>
        <v>ସମ୍ପ୍ରଦାୟ ଦାବି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 t="s">
        <v>396</v>
      </c>
      <c r="B71" s="7" t="s">
        <v>400</v>
      </c>
      <c r="C71" s="7" t="s">
        <v>401</v>
      </c>
      <c r="D71" s="7" t="str">
        <f>IFERROR(__xludf.DUMMYFUNCTION("GOOGLETRANSLATE(C71, ""en"", ""hi"")"),"व्यक्तिगत मांग")</f>
        <v>व्यक्तिगत मांग</v>
      </c>
      <c r="E71" s="7" t="str">
        <f>IFERROR(__xludf.DUMMYFUNCTION("GOOGLETRANSLATE(C71, ""en"", ""gu"")"),"વ્યક્તિગત માંગ")</f>
        <v>વ્યક્તિગત માંગ</v>
      </c>
      <c r="F71" s="7" t="s">
        <v>402</v>
      </c>
      <c r="G71" s="7" t="str">
        <f>IFERROR(__xludf.DUMMYFUNCTION("GOOGLETRANSLATE(C71,""en"",""or"")"),"ବ୍ୟକ୍ତିଗତ ଚାହିଦା")</f>
        <v>ବ୍ୟକ୍ତିଗତ ଚାହିଦା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 t="s">
        <v>403</v>
      </c>
      <c r="B73" s="7" t="s">
        <v>404</v>
      </c>
      <c r="C73" s="7" t="s">
        <v>404</v>
      </c>
      <c r="D73" s="7" t="str">
        <f>IFERROR(__xludf.DUMMYFUNCTION("GOOGLETRANSLATE(C73, ""en"", ""hi"")"),"पुरुष ")</f>
        <v>पुरुष </v>
      </c>
      <c r="E73" s="7" t="str">
        <f>IFERROR(__xludf.DUMMYFUNCTION("GOOGLETRANSLATE(C73, ""en"", ""gu"")"),"પુરુષ")</f>
        <v>પુરુષ</v>
      </c>
      <c r="F73" s="7" t="s">
        <v>405</v>
      </c>
      <c r="G73" s="7" t="str">
        <f>IFERROR(__xludf.DUMMYFUNCTION("GOOGLETRANSLATE(C73,""en"",""or"")"),"ପୁରୁଷ")</f>
        <v>ପୁରୁଷ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 t="s">
        <v>403</v>
      </c>
      <c r="B74" s="7" t="s">
        <v>406</v>
      </c>
      <c r="C74" s="7" t="s">
        <v>406</v>
      </c>
      <c r="D74" s="7" t="str">
        <f>IFERROR(__xludf.DUMMYFUNCTION("GOOGLETRANSLATE(C74, ""en"", ""hi"")"),"महिला")</f>
        <v>महिला</v>
      </c>
      <c r="E74" s="7" t="str">
        <f>IFERROR(__xludf.DUMMYFUNCTION("GOOGLETRANSLATE(C74, ""en"", ""gu"")"),"સ્ત્રી")</f>
        <v>સ્ત્રી</v>
      </c>
      <c r="F74" s="7" t="s">
        <v>407</v>
      </c>
      <c r="G74" s="7" t="str">
        <f>IFERROR(__xludf.DUMMYFUNCTION("GOOGLETRANSLATE(C74,""en"",""or"")"),"ମହିଳା")</f>
        <v>ମହିଳା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15" t="s">
        <v>408</v>
      </c>
      <c r="B76" s="34" t="s">
        <v>409</v>
      </c>
      <c r="C76" s="34" t="s">
        <v>409</v>
      </c>
      <c r="D76" s="34" t="s">
        <v>410</v>
      </c>
      <c r="E76" s="34" t="s">
        <v>411</v>
      </c>
      <c r="F76" s="34" t="s">
        <v>412</v>
      </c>
      <c r="G76" s="7" t="str">
        <f>IFERROR(__xludf.DUMMYFUNCTION("GOOGLETRANSLATE(C76,""en"",""or"")"),"କଳା")</f>
        <v>କଳା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15" t="s">
        <v>408</v>
      </c>
      <c r="B77" s="34" t="s">
        <v>413</v>
      </c>
      <c r="C77" s="34" t="s">
        <v>413</v>
      </c>
      <c r="D77" s="34" t="s">
        <v>414</v>
      </c>
      <c r="E77" s="34" t="s">
        <v>415</v>
      </c>
      <c r="F77" s="34" t="s">
        <v>416</v>
      </c>
      <c r="G77" s="7" t="str">
        <f>IFERROR(__xludf.DUMMYFUNCTION("GOOGLETRANSLATE(C77,""en"",""or"")"),"ଲାଲ")</f>
        <v>ଲାଲ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15" t="s">
        <v>408</v>
      </c>
      <c r="B78" s="34" t="s">
        <v>417</v>
      </c>
      <c r="C78" s="34" t="s">
        <v>417</v>
      </c>
      <c r="D78" s="34" t="s">
        <v>418</v>
      </c>
      <c r="E78" s="34" t="s">
        <v>419</v>
      </c>
      <c r="F78" s="34" t="s">
        <v>420</v>
      </c>
      <c r="G78" s="7" t="str">
        <f>IFERROR(__xludf.DUMMYFUNCTION("GOOGLETRANSLATE(C78,""en"",""or"")"),"ଲାଟେରାଇଟ୍")</f>
        <v>ଲାଟେରାଇଟ୍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15" t="s">
        <v>408</v>
      </c>
      <c r="B79" s="34" t="s">
        <v>421</v>
      </c>
      <c r="C79" s="34" t="s">
        <v>421</v>
      </c>
      <c r="D79" s="34" t="s">
        <v>422</v>
      </c>
      <c r="E79" s="34" t="s">
        <v>423</v>
      </c>
      <c r="F79" s="34" t="s">
        <v>424</v>
      </c>
      <c r="G79" s="7" t="str">
        <f>IFERROR(__xludf.DUMMYFUNCTION("GOOGLETRANSLATE(C79,""en"",""or"")"),"ଜଳପ୍ରବାହ")</f>
        <v>ଜଳପ୍ରବାହ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15" t="s">
        <v>408</v>
      </c>
      <c r="B80" s="34" t="s">
        <v>425</v>
      </c>
      <c r="C80" s="34" t="s">
        <v>425</v>
      </c>
      <c r="D80" s="34" t="s">
        <v>426</v>
      </c>
      <c r="E80" s="34" t="s">
        <v>427</v>
      </c>
      <c r="F80" s="34" t="s">
        <v>428</v>
      </c>
      <c r="G80" s="7" t="str">
        <f>IFERROR(__xludf.DUMMYFUNCTION("GOOGLETRANSLATE(C80,""en"",""or"")"),"ବାଲିଆ")</f>
        <v>ବାଲିଆ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15" t="s">
        <v>408</v>
      </c>
      <c r="B81" s="34" t="s">
        <v>429</v>
      </c>
      <c r="C81" s="34" t="s">
        <v>429</v>
      </c>
      <c r="D81" s="34" t="s">
        <v>430</v>
      </c>
      <c r="E81" s="34" t="s">
        <v>431</v>
      </c>
      <c r="F81" s="34" t="s">
        <v>432</v>
      </c>
      <c r="G81" s="7" t="str">
        <f>IFERROR(__xludf.DUMMYFUNCTION("GOOGLETRANSLATE(C81,""en"",""or"")"),"ମାଟି")</f>
        <v>ମାଟି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15" t="s">
        <v>408</v>
      </c>
      <c r="B82" s="34" t="s">
        <v>433</v>
      </c>
      <c r="C82" s="34" t="s">
        <v>433</v>
      </c>
      <c r="D82" s="34" t="s">
        <v>434</v>
      </c>
      <c r="E82" s="34" t="s">
        <v>435</v>
      </c>
      <c r="F82" s="34" t="s">
        <v>436</v>
      </c>
      <c r="G82" s="7" t="str">
        <f>IFERROR(__xludf.DUMMYFUNCTION("GOOGLETRANSLATE(C82,""en"",""or"")"),"ରକ୍କା")</f>
        <v>ରକ୍କା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15" t="s">
        <v>437</v>
      </c>
      <c r="B84" s="34" t="s">
        <v>438</v>
      </c>
      <c r="C84" s="34" t="s">
        <v>438</v>
      </c>
      <c r="D84" s="34" t="s">
        <v>439</v>
      </c>
      <c r="E84" s="34" t="s">
        <v>440</v>
      </c>
      <c r="F84" s="34" t="s">
        <v>441</v>
      </c>
      <c r="G84" s="7" t="str">
        <f>IFERROR(__xludf.DUMMYFUNCTION("GOOGLETRANSLATE(C84,""en"",""or"")"),"କମ୍")</f>
        <v>କମ୍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15" t="s">
        <v>437</v>
      </c>
      <c r="B85" s="34" t="s">
        <v>442</v>
      </c>
      <c r="C85" s="34" t="s">
        <v>442</v>
      </c>
      <c r="D85" s="34" t="s">
        <v>443</v>
      </c>
      <c r="E85" s="34" t="s">
        <v>444</v>
      </c>
      <c r="F85" s="34" t="s">
        <v>445</v>
      </c>
      <c r="G85" s="7" t="str">
        <f>IFERROR(__xludf.DUMMYFUNCTION("GOOGLETRANSLATE(C85,""en"",""or"")"),"ମଧ୍ୟମ ଧରଣର")</f>
        <v>ମଧ୍ୟମ ଧରଣର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15" t="s">
        <v>437</v>
      </c>
      <c r="B86" s="34" t="s">
        <v>446</v>
      </c>
      <c r="C86" s="34" t="s">
        <v>446</v>
      </c>
      <c r="D86" s="34" t="s">
        <v>447</v>
      </c>
      <c r="E86" s="34" t="s">
        <v>448</v>
      </c>
      <c r="F86" s="34" t="s">
        <v>449</v>
      </c>
      <c r="G86" s="7" t="str">
        <f>IFERROR(__xludf.DUMMYFUNCTION("GOOGLETRANSLATE(C86,""en"",""or"")"),"ଅଧିକ")</f>
        <v>ଅଧିକ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43"/>
    <col customWidth="1" min="2" max="2" width="66.29"/>
    <col customWidth="1" min="3" max="3" width="24.71"/>
    <col customWidth="1" min="4" max="4" width="38.57"/>
    <col customWidth="1" min="5" max="6" width="9.14"/>
    <col customWidth="1" min="7" max="25" width="14.57"/>
  </cols>
  <sheetData>
    <row r="1" ht="18.75" customHeight="1">
      <c r="A1" s="35" t="s">
        <v>450</v>
      </c>
      <c r="B1" s="35" t="s">
        <v>451</v>
      </c>
      <c r="C1" s="35" t="s">
        <v>452</v>
      </c>
      <c r="D1" s="2" t="s">
        <v>453</v>
      </c>
      <c r="E1" s="36" t="s">
        <v>454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3.5" customHeight="1">
      <c r="A2" s="37" t="s">
        <v>455</v>
      </c>
      <c r="B2" s="38" t="s">
        <v>456</v>
      </c>
      <c r="C2" s="39" t="s">
        <v>457</v>
      </c>
      <c r="D2" s="39" t="s">
        <v>458</v>
      </c>
      <c r="E2" s="40" t="s">
        <v>459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3.5" customHeight="1">
      <c r="A3" s="39"/>
      <c r="B3" s="39"/>
      <c r="C3" s="39"/>
    </row>
    <row r="4" ht="13.5" customHeight="1">
      <c r="A4" s="39"/>
      <c r="B4" s="39"/>
      <c r="C4" s="39"/>
    </row>
    <row r="5" ht="13.5" customHeight="1">
      <c r="A5" s="39"/>
      <c r="B5" s="39"/>
      <c r="C5" s="39"/>
    </row>
    <row r="6" ht="13.5" customHeight="1">
      <c r="A6" s="39"/>
      <c r="B6" s="39"/>
      <c r="C6" s="39"/>
    </row>
    <row r="7" ht="13.5" customHeight="1">
      <c r="A7" s="39"/>
      <c r="B7" s="39"/>
      <c r="C7" s="39"/>
    </row>
    <row r="8" ht="13.5" customHeight="1">
      <c r="A8" s="39"/>
      <c r="B8" s="39"/>
      <c r="C8" s="39"/>
    </row>
    <row r="9" ht="13.5" customHeight="1">
      <c r="A9" s="39"/>
      <c r="B9" s="39"/>
      <c r="C9" s="39"/>
    </row>
    <row r="10" ht="13.5" customHeight="1">
      <c r="A10" s="39"/>
      <c r="B10" s="39"/>
      <c r="C10" s="39"/>
    </row>
    <row r="11" ht="13.5" customHeight="1">
      <c r="A11" s="39"/>
      <c r="B11" s="39"/>
      <c r="C11" s="39"/>
    </row>
    <row r="12" ht="13.5" customHeight="1">
      <c r="A12" s="39"/>
      <c r="B12" s="39"/>
      <c r="C12" s="39"/>
    </row>
    <row r="13" ht="13.5" customHeight="1">
      <c r="A13" s="39"/>
      <c r="B13" s="39"/>
      <c r="C13" s="39"/>
    </row>
    <row r="14" ht="13.5" customHeight="1">
      <c r="A14" s="39"/>
      <c r="B14" s="39"/>
      <c r="C14" s="39"/>
    </row>
    <row r="15" ht="13.5" customHeight="1">
      <c r="A15" s="39"/>
      <c r="B15" s="39"/>
      <c r="C15" s="39"/>
    </row>
    <row r="16" ht="13.5" customHeight="1">
      <c r="A16" s="39"/>
      <c r="B16" s="39"/>
      <c r="C16" s="39"/>
    </row>
    <row r="17" ht="13.5" customHeight="1">
      <c r="A17" s="39"/>
      <c r="B17" s="39"/>
      <c r="C17" s="39"/>
    </row>
    <row r="18" ht="13.5" customHeight="1">
      <c r="A18" s="39"/>
      <c r="B18" s="39"/>
      <c r="C18" s="39"/>
    </row>
    <row r="19" ht="13.5" customHeight="1">
      <c r="A19" s="39"/>
      <c r="B19" s="39"/>
      <c r="C19" s="39"/>
    </row>
    <row r="20" ht="13.5" customHeight="1">
      <c r="A20" s="39"/>
      <c r="B20" s="39"/>
      <c r="C20" s="39"/>
    </row>
    <row r="21" ht="13.5" customHeight="1">
      <c r="A21" s="39"/>
      <c r="B21" s="39"/>
      <c r="C21" s="39"/>
    </row>
    <row r="22" ht="13.5" customHeight="1">
      <c r="A22" s="39"/>
      <c r="B22" s="39"/>
      <c r="C22" s="39"/>
    </row>
    <row r="23" ht="13.5" customHeight="1">
      <c r="A23" s="39"/>
      <c r="B23" s="39"/>
      <c r="C23" s="39"/>
    </row>
    <row r="24" ht="13.5" customHeight="1">
      <c r="A24" s="39"/>
      <c r="B24" s="39"/>
      <c r="C24" s="39"/>
    </row>
    <row r="25" ht="13.5" customHeight="1">
      <c r="A25" s="39"/>
      <c r="B25" s="39"/>
      <c r="C25" s="39"/>
    </row>
    <row r="26" ht="13.5" customHeight="1">
      <c r="A26" s="39"/>
      <c r="B26" s="39"/>
      <c r="C26" s="39"/>
    </row>
    <row r="27" ht="13.5" customHeight="1">
      <c r="A27" s="39"/>
      <c r="B27" s="39"/>
      <c r="C27" s="39"/>
    </row>
    <row r="28" ht="13.5" customHeight="1">
      <c r="A28" s="39"/>
      <c r="B28" s="39"/>
      <c r="C28" s="39"/>
    </row>
    <row r="29" ht="13.5" customHeight="1">
      <c r="A29" s="39"/>
      <c r="B29" s="39"/>
      <c r="C29" s="39"/>
    </row>
    <row r="30" ht="13.5" customHeight="1">
      <c r="A30" s="39"/>
      <c r="B30" s="39"/>
      <c r="C30" s="39"/>
    </row>
    <row r="31" ht="13.5" customHeight="1">
      <c r="A31" s="39"/>
      <c r="B31" s="39"/>
      <c r="C31" s="39"/>
    </row>
    <row r="32" ht="13.5" customHeight="1">
      <c r="A32" s="39"/>
      <c r="B32" s="39"/>
      <c r="C32" s="39"/>
    </row>
    <row r="33" ht="13.5" customHeight="1">
      <c r="A33" s="39"/>
      <c r="B33" s="39"/>
      <c r="C33" s="39"/>
    </row>
    <row r="34" ht="13.5" customHeight="1">
      <c r="A34" s="39"/>
      <c r="B34" s="39"/>
      <c r="C34" s="39"/>
    </row>
    <row r="35" ht="13.5" customHeight="1">
      <c r="A35" s="39"/>
      <c r="B35" s="39"/>
      <c r="C35" s="39"/>
    </row>
    <row r="36" ht="13.5" customHeight="1">
      <c r="A36" s="39"/>
      <c r="B36" s="39"/>
      <c r="C36" s="39"/>
    </row>
    <row r="37" ht="13.5" customHeight="1">
      <c r="A37" s="39"/>
      <c r="B37" s="39"/>
      <c r="C37" s="39"/>
    </row>
    <row r="38" ht="13.5" customHeight="1">
      <c r="A38" s="39"/>
      <c r="B38" s="39"/>
      <c r="C38" s="39"/>
    </row>
    <row r="39" ht="13.5" customHeight="1">
      <c r="A39" s="39"/>
      <c r="B39" s="39"/>
      <c r="C39" s="39"/>
    </row>
    <row r="40" ht="13.5" customHeight="1">
      <c r="A40" s="39"/>
      <c r="B40" s="39"/>
      <c r="C40" s="39"/>
    </row>
    <row r="41" ht="13.5" customHeight="1">
      <c r="A41" s="39"/>
      <c r="B41" s="39"/>
      <c r="C41" s="39"/>
    </row>
    <row r="42" ht="13.5" customHeight="1">
      <c r="A42" s="39"/>
      <c r="B42" s="39"/>
      <c r="C42" s="39"/>
    </row>
    <row r="43" ht="13.5" customHeight="1">
      <c r="A43" s="39"/>
      <c r="B43" s="39"/>
      <c r="C43" s="39"/>
    </row>
    <row r="44" ht="13.5" customHeight="1">
      <c r="A44" s="39"/>
      <c r="B44" s="39"/>
      <c r="C44" s="39"/>
    </row>
    <row r="45" ht="13.5" customHeight="1">
      <c r="A45" s="39"/>
      <c r="B45" s="39"/>
      <c r="C45" s="39"/>
    </row>
    <row r="46" ht="13.5" customHeight="1">
      <c r="A46" s="39"/>
      <c r="B46" s="39"/>
      <c r="C46" s="39"/>
    </row>
    <row r="47" ht="13.5" customHeight="1">
      <c r="A47" s="39"/>
      <c r="B47" s="39"/>
      <c r="C47" s="39"/>
    </row>
    <row r="48" ht="13.5" customHeight="1">
      <c r="A48" s="39"/>
      <c r="B48" s="39"/>
      <c r="C48" s="39"/>
    </row>
    <row r="49" ht="13.5" customHeight="1">
      <c r="A49" s="39"/>
      <c r="B49" s="39"/>
      <c r="C49" s="39"/>
    </row>
    <row r="50" ht="13.5" customHeight="1">
      <c r="A50" s="39"/>
      <c r="B50" s="39"/>
      <c r="C50" s="39"/>
    </row>
    <row r="51" ht="13.5" customHeight="1">
      <c r="A51" s="39"/>
      <c r="B51" s="39"/>
      <c r="C51" s="39"/>
    </row>
    <row r="52" ht="13.5" customHeight="1">
      <c r="A52" s="39"/>
      <c r="B52" s="39"/>
      <c r="C52" s="39"/>
    </row>
    <row r="53" ht="13.5" customHeight="1">
      <c r="A53" s="39"/>
      <c r="B53" s="39"/>
      <c r="C53" s="39"/>
    </row>
    <row r="54" ht="13.5" customHeight="1">
      <c r="A54" s="39"/>
      <c r="B54" s="39"/>
      <c r="C54" s="39"/>
    </row>
    <row r="55" ht="13.5" customHeight="1">
      <c r="A55" s="39"/>
      <c r="B55" s="39"/>
      <c r="C55" s="39"/>
    </row>
    <row r="56" ht="13.5" customHeight="1">
      <c r="A56" s="39"/>
      <c r="B56" s="39"/>
      <c r="C56" s="39"/>
    </row>
    <row r="57" ht="13.5" customHeight="1">
      <c r="A57" s="39"/>
      <c r="B57" s="39"/>
      <c r="C57" s="39"/>
    </row>
    <row r="58" ht="13.5" customHeight="1">
      <c r="A58" s="39"/>
      <c r="B58" s="39"/>
      <c r="C58" s="39"/>
    </row>
    <row r="59" ht="13.5" customHeight="1">
      <c r="A59" s="39"/>
      <c r="B59" s="39"/>
      <c r="C59" s="39"/>
    </row>
    <row r="60" ht="13.5" customHeight="1">
      <c r="A60" s="39"/>
      <c r="B60" s="39"/>
      <c r="C60" s="39"/>
    </row>
    <row r="61" ht="13.5" customHeight="1">
      <c r="A61" s="39"/>
      <c r="B61" s="39"/>
      <c r="C61" s="39"/>
    </row>
    <row r="62" ht="13.5" customHeight="1">
      <c r="A62" s="39"/>
      <c r="B62" s="39"/>
      <c r="C62" s="39"/>
    </row>
    <row r="63" ht="13.5" customHeight="1">
      <c r="A63" s="39"/>
      <c r="B63" s="39"/>
      <c r="C63" s="39"/>
    </row>
    <row r="64" ht="13.5" customHeight="1">
      <c r="A64" s="39"/>
      <c r="B64" s="39"/>
      <c r="C64" s="39"/>
    </row>
    <row r="65" ht="13.5" customHeight="1">
      <c r="A65" s="39"/>
      <c r="B65" s="39"/>
      <c r="C65" s="39"/>
    </row>
    <row r="66" ht="13.5" customHeight="1">
      <c r="A66" s="39"/>
      <c r="B66" s="39"/>
      <c r="C66" s="39"/>
    </row>
    <row r="67" ht="13.5" customHeight="1">
      <c r="A67" s="39"/>
      <c r="B67" s="39"/>
      <c r="C67" s="39"/>
    </row>
    <row r="68" ht="13.5" customHeight="1">
      <c r="A68" s="39"/>
      <c r="B68" s="39"/>
      <c r="C68" s="39"/>
    </row>
    <row r="69" ht="13.5" customHeight="1">
      <c r="A69" s="39"/>
      <c r="B69" s="39"/>
      <c r="C69" s="39"/>
    </row>
    <row r="70" ht="13.5" customHeight="1">
      <c r="A70" s="39"/>
      <c r="B70" s="39"/>
      <c r="C70" s="39"/>
    </row>
    <row r="71" ht="13.5" customHeight="1">
      <c r="A71" s="39"/>
      <c r="B71" s="39"/>
      <c r="C71" s="39"/>
    </row>
    <row r="72" ht="13.5" customHeight="1">
      <c r="A72" s="39"/>
      <c r="B72" s="39"/>
      <c r="C72" s="39"/>
    </row>
    <row r="73" ht="13.5" customHeight="1">
      <c r="A73" s="39"/>
      <c r="B73" s="39"/>
      <c r="C73" s="39"/>
    </row>
    <row r="74" ht="13.5" customHeight="1">
      <c r="A74" s="39"/>
      <c r="B74" s="39"/>
      <c r="C74" s="39"/>
    </row>
    <row r="75" ht="13.5" customHeight="1">
      <c r="A75" s="39"/>
      <c r="B75" s="39"/>
      <c r="C75" s="39"/>
    </row>
    <row r="76" ht="13.5" customHeight="1">
      <c r="A76" s="39"/>
      <c r="B76" s="39"/>
      <c r="C76" s="39"/>
    </row>
    <row r="77" ht="13.5" customHeight="1">
      <c r="A77" s="39"/>
      <c r="B77" s="39"/>
      <c r="C77" s="39"/>
    </row>
    <row r="78" ht="13.5" customHeight="1">
      <c r="A78" s="39"/>
      <c r="B78" s="39"/>
      <c r="C78" s="39"/>
    </row>
    <row r="79" ht="13.5" customHeight="1">
      <c r="A79" s="39"/>
      <c r="B79" s="39"/>
      <c r="C79" s="39"/>
    </row>
    <row r="80" ht="13.5" customHeight="1">
      <c r="A80" s="39"/>
      <c r="B80" s="39"/>
      <c r="C80" s="39"/>
    </row>
    <row r="81" ht="13.5" customHeight="1">
      <c r="A81" s="39"/>
      <c r="B81" s="39"/>
      <c r="C81" s="39"/>
    </row>
    <row r="82" ht="13.5" customHeight="1">
      <c r="A82" s="39"/>
      <c r="B82" s="39"/>
      <c r="C82" s="39"/>
    </row>
    <row r="83" ht="13.5" customHeight="1">
      <c r="A83" s="39"/>
      <c r="B83" s="39"/>
      <c r="C83" s="39"/>
    </row>
    <row r="84" ht="13.5" customHeight="1">
      <c r="A84" s="39"/>
      <c r="B84" s="39"/>
      <c r="C84" s="39"/>
    </row>
    <row r="85" ht="13.5" customHeight="1">
      <c r="A85" s="39"/>
      <c r="B85" s="39"/>
      <c r="C85" s="39"/>
    </row>
    <row r="86" ht="13.5" customHeight="1">
      <c r="A86" s="39"/>
      <c r="B86" s="39"/>
      <c r="C86" s="39"/>
    </row>
    <row r="87" ht="13.5" customHeight="1">
      <c r="A87" s="39"/>
      <c r="B87" s="39"/>
      <c r="C87" s="39"/>
    </row>
    <row r="88" ht="13.5" customHeight="1">
      <c r="A88" s="39"/>
      <c r="B88" s="39"/>
      <c r="C88" s="39"/>
    </row>
    <row r="89" ht="13.5" customHeight="1">
      <c r="A89" s="39"/>
      <c r="B89" s="39"/>
      <c r="C89" s="39"/>
    </row>
    <row r="90" ht="13.5" customHeight="1">
      <c r="A90" s="39"/>
      <c r="B90" s="39"/>
      <c r="C90" s="39"/>
    </row>
    <row r="91" ht="13.5" customHeight="1">
      <c r="A91" s="39"/>
      <c r="B91" s="39"/>
      <c r="C91" s="39"/>
    </row>
    <row r="92" ht="13.5" customHeight="1">
      <c r="A92" s="39"/>
      <c r="B92" s="39"/>
      <c r="C92" s="39"/>
    </row>
    <row r="93" ht="13.5" customHeight="1">
      <c r="A93" s="39"/>
      <c r="B93" s="39"/>
      <c r="C93" s="39"/>
    </row>
    <row r="94" ht="13.5" customHeight="1">
      <c r="A94" s="39"/>
      <c r="B94" s="39"/>
      <c r="C94" s="39"/>
    </row>
    <row r="95" ht="13.5" customHeight="1">
      <c r="A95" s="39"/>
      <c r="B95" s="39"/>
      <c r="C95" s="39"/>
    </row>
    <row r="96" ht="13.5" customHeight="1">
      <c r="A96" s="39"/>
      <c r="B96" s="39"/>
      <c r="C96" s="39"/>
    </row>
    <row r="97" ht="13.5" customHeight="1">
      <c r="A97" s="39"/>
      <c r="B97" s="39"/>
      <c r="C97" s="39"/>
    </row>
    <row r="98" ht="13.5" customHeight="1">
      <c r="A98" s="39"/>
      <c r="B98" s="39"/>
      <c r="C98" s="39"/>
    </row>
    <row r="99" ht="13.5" customHeight="1">
      <c r="A99" s="39"/>
      <c r="B99" s="39"/>
      <c r="C99" s="39"/>
    </row>
    <row r="100" ht="13.5" customHeight="1">
      <c r="A100" s="39"/>
      <c r="B100" s="39"/>
      <c r="C100" s="39"/>
    </row>
    <row r="101" ht="13.5" customHeight="1">
      <c r="A101" s="39"/>
      <c r="B101" s="39"/>
      <c r="C101" s="39"/>
    </row>
    <row r="102" ht="13.5" customHeight="1">
      <c r="A102" s="39"/>
      <c r="B102" s="39"/>
      <c r="C102" s="39"/>
    </row>
    <row r="103" ht="13.5" customHeight="1">
      <c r="A103" s="39"/>
      <c r="B103" s="39"/>
      <c r="C103" s="39"/>
    </row>
    <row r="104" ht="13.5" customHeight="1">
      <c r="A104" s="39"/>
      <c r="B104" s="39"/>
      <c r="C104" s="39"/>
    </row>
    <row r="105" ht="13.5" customHeight="1">
      <c r="A105" s="39"/>
      <c r="B105" s="39"/>
      <c r="C105" s="39"/>
    </row>
    <row r="106" ht="13.5" customHeight="1">
      <c r="A106" s="39"/>
      <c r="B106" s="39"/>
      <c r="C106" s="39"/>
    </row>
    <row r="107" ht="13.5" customHeight="1">
      <c r="A107" s="39"/>
      <c r="B107" s="39"/>
      <c r="C107" s="39"/>
    </row>
    <row r="108" ht="13.5" customHeight="1">
      <c r="A108" s="39"/>
      <c r="B108" s="39"/>
      <c r="C108" s="39"/>
    </row>
    <row r="109" ht="13.5" customHeight="1">
      <c r="A109" s="39"/>
      <c r="B109" s="39"/>
      <c r="C109" s="39"/>
    </row>
    <row r="110" ht="13.5" customHeight="1">
      <c r="A110" s="39"/>
      <c r="B110" s="39"/>
      <c r="C110" s="39"/>
    </row>
    <row r="111" ht="13.5" customHeight="1">
      <c r="A111" s="39"/>
      <c r="B111" s="39"/>
      <c r="C111" s="39"/>
    </row>
    <row r="112" ht="13.5" customHeight="1">
      <c r="A112" s="39"/>
      <c r="B112" s="39"/>
      <c r="C112" s="39"/>
    </row>
    <row r="113" ht="13.5" customHeight="1">
      <c r="A113" s="39"/>
      <c r="B113" s="39"/>
      <c r="C113" s="39"/>
    </row>
    <row r="114" ht="13.5" customHeight="1">
      <c r="A114" s="39"/>
      <c r="B114" s="39"/>
      <c r="C114" s="39"/>
    </row>
    <row r="115" ht="13.5" customHeight="1">
      <c r="A115" s="39"/>
      <c r="B115" s="39"/>
      <c r="C115" s="39"/>
    </row>
    <row r="116" ht="13.5" customHeight="1">
      <c r="A116" s="39"/>
      <c r="B116" s="39"/>
      <c r="C116" s="39"/>
    </row>
    <row r="117" ht="13.5" customHeight="1">
      <c r="A117" s="39"/>
      <c r="B117" s="39"/>
      <c r="C117" s="39"/>
    </row>
    <row r="118" ht="13.5" customHeight="1">
      <c r="A118" s="39"/>
      <c r="B118" s="39"/>
      <c r="C118" s="39"/>
    </row>
    <row r="119" ht="13.5" customHeight="1">
      <c r="A119" s="39"/>
      <c r="B119" s="39"/>
      <c r="C119" s="39"/>
    </row>
    <row r="120" ht="13.5" customHeight="1">
      <c r="A120" s="39"/>
      <c r="B120" s="39"/>
      <c r="C120" s="39"/>
    </row>
    <row r="121" ht="13.5" customHeight="1">
      <c r="A121" s="39"/>
      <c r="B121" s="39"/>
      <c r="C121" s="39"/>
    </row>
    <row r="122" ht="13.5" customHeight="1">
      <c r="A122" s="39"/>
      <c r="B122" s="39"/>
      <c r="C122" s="39"/>
    </row>
    <row r="123" ht="13.5" customHeight="1">
      <c r="A123" s="39"/>
      <c r="B123" s="39"/>
      <c r="C123" s="39"/>
    </row>
    <row r="124" ht="13.5" customHeight="1">
      <c r="A124" s="39"/>
      <c r="B124" s="39"/>
      <c r="C124" s="39"/>
    </row>
    <row r="125" ht="13.5" customHeight="1">
      <c r="A125" s="39"/>
      <c r="B125" s="39"/>
      <c r="C125" s="39"/>
    </row>
    <row r="126" ht="13.5" customHeight="1">
      <c r="A126" s="39"/>
      <c r="B126" s="39"/>
      <c r="C126" s="39"/>
    </row>
    <row r="127" ht="13.5" customHeight="1">
      <c r="A127" s="39"/>
      <c r="B127" s="39"/>
      <c r="C127" s="39"/>
    </row>
    <row r="128" ht="13.5" customHeight="1">
      <c r="A128" s="39"/>
      <c r="B128" s="39"/>
      <c r="C128" s="39"/>
    </row>
    <row r="129" ht="13.5" customHeight="1">
      <c r="A129" s="39"/>
      <c r="B129" s="39"/>
      <c r="C129" s="39"/>
    </row>
    <row r="130" ht="13.5" customHeight="1">
      <c r="A130" s="39"/>
      <c r="B130" s="39"/>
      <c r="C130" s="39"/>
    </row>
    <row r="131" ht="13.5" customHeight="1">
      <c r="A131" s="39"/>
      <c r="B131" s="39"/>
      <c r="C131" s="39"/>
    </row>
    <row r="132" ht="13.5" customHeight="1">
      <c r="A132" s="39"/>
      <c r="B132" s="39"/>
      <c r="C132" s="39"/>
    </row>
    <row r="133" ht="13.5" customHeight="1">
      <c r="A133" s="39"/>
      <c r="B133" s="39"/>
      <c r="C133" s="39"/>
    </row>
    <row r="134" ht="13.5" customHeight="1">
      <c r="A134" s="39"/>
      <c r="B134" s="39"/>
      <c r="C134" s="39"/>
    </row>
    <row r="135" ht="13.5" customHeight="1">
      <c r="A135" s="39"/>
      <c r="B135" s="39"/>
      <c r="C135" s="39"/>
    </row>
    <row r="136" ht="13.5" customHeight="1">
      <c r="A136" s="39"/>
      <c r="B136" s="39"/>
      <c r="C136" s="39"/>
    </row>
    <row r="137" ht="13.5" customHeight="1">
      <c r="A137" s="39"/>
      <c r="B137" s="39"/>
      <c r="C137" s="39"/>
    </row>
    <row r="138" ht="13.5" customHeight="1">
      <c r="A138" s="39"/>
      <c r="B138" s="39"/>
      <c r="C138" s="39"/>
    </row>
    <row r="139" ht="13.5" customHeight="1">
      <c r="A139" s="39"/>
      <c r="B139" s="39"/>
      <c r="C139" s="39"/>
    </row>
    <row r="140" ht="13.5" customHeight="1">
      <c r="A140" s="39"/>
      <c r="B140" s="39"/>
      <c r="C140" s="39"/>
    </row>
    <row r="141" ht="13.5" customHeight="1">
      <c r="A141" s="39"/>
      <c r="B141" s="39"/>
      <c r="C141" s="39"/>
    </row>
    <row r="142" ht="13.5" customHeight="1">
      <c r="A142" s="39"/>
      <c r="B142" s="39"/>
      <c r="C142" s="39"/>
    </row>
    <row r="143" ht="13.5" customHeight="1">
      <c r="A143" s="39"/>
      <c r="B143" s="39"/>
      <c r="C143" s="39"/>
    </row>
    <row r="144" ht="13.5" customHeight="1">
      <c r="A144" s="39"/>
      <c r="B144" s="39"/>
      <c r="C144" s="39"/>
    </row>
    <row r="145" ht="13.5" customHeight="1">
      <c r="A145" s="39"/>
      <c r="B145" s="39"/>
      <c r="C145" s="39"/>
    </row>
    <row r="146" ht="13.5" customHeight="1">
      <c r="A146" s="39"/>
      <c r="B146" s="39"/>
      <c r="C146" s="39"/>
    </row>
    <row r="147" ht="13.5" customHeight="1">
      <c r="A147" s="39"/>
      <c r="B147" s="39"/>
      <c r="C147" s="39"/>
    </row>
    <row r="148" ht="13.5" customHeight="1">
      <c r="A148" s="39"/>
      <c r="B148" s="39"/>
      <c r="C148" s="39"/>
    </row>
    <row r="149" ht="13.5" customHeight="1">
      <c r="A149" s="39"/>
      <c r="B149" s="39"/>
      <c r="C149" s="39"/>
    </row>
    <row r="150" ht="13.5" customHeight="1">
      <c r="A150" s="39"/>
      <c r="B150" s="39"/>
      <c r="C150" s="39"/>
    </row>
    <row r="151" ht="13.5" customHeight="1">
      <c r="A151" s="39"/>
      <c r="B151" s="39"/>
      <c r="C151" s="39"/>
    </row>
    <row r="152" ht="13.5" customHeight="1">
      <c r="A152" s="39"/>
      <c r="B152" s="39"/>
      <c r="C152" s="39"/>
    </row>
    <row r="153" ht="13.5" customHeight="1">
      <c r="A153" s="39"/>
      <c r="B153" s="39"/>
      <c r="C153" s="39"/>
    </row>
    <row r="154" ht="13.5" customHeight="1">
      <c r="A154" s="39"/>
      <c r="B154" s="39"/>
      <c r="C154" s="39"/>
    </row>
    <row r="155" ht="13.5" customHeight="1">
      <c r="A155" s="39"/>
      <c r="B155" s="39"/>
      <c r="C155" s="39"/>
    </row>
    <row r="156" ht="13.5" customHeight="1">
      <c r="A156" s="39"/>
      <c r="B156" s="39"/>
      <c r="C156" s="39"/>
    </row>
    <row r="157" ht="13.5" customHeight="1">
      <c r="A157" s="39"/>
      <c r="B157" s="39"/>
      <c r="C157" s="39"/>
    </row>
    <row r="158" ht="13.5" customHeight="1">
      <c r="A158" s="39"/>
      <c r="B158" s="39"/>
      <c r="C158" s="39"/>
    </row>
    <row r="159" ht="13.5" customHeight="1">
      <c r="A159" s="39"/>
      <c r="B159" s="39"/>
      <c r="C159" s="39"/>
    </row>
    <row r="160" ht="13.5" customHeight="1">
      <c r="A160" s="39"/>
      <c r="B160" s="39"/>
      <c r="C160" s="39"/>
    </row>
    <row r="161" ht="13.5" customHeight="1">
      <c r="A161" s="39"/>
      <c r="B161" s="39"/>
      <c r="C161" s="39"/>
    </row>
    <row r="162" ht="13.5" customHeight="1">
      <c r="A162" s="39"/>
      <c r="B162" s="39"/>
      <c r="C162" s="39"/>
    </row>
    <row r="163" ht="13.5" customHeight="1">
      <c r="A163" s="39"/>
      <c r="B163" s="39"/>
      <c r="C163" s="39"/>
    </row>
    <row r="164" ht="13.5" customHeight="1">
      <c r="A164" s="39"/>
      <c r="B164" s="39"/>
      <c r="C164" s="39"/>
    </row>
    <row r="165" ht="13.5" customHeight="1">
      <c r="A165" s="39"/>
      <c r="B165" s="39"/>
      <c r="C165" s="39"/>
    </row>
    <row r="166" ht="13.5" customHeight="1">
      <c r="A166" s="39"/>
      <c r="B166" s="39"/>
      <c r="C166" s="39"/>
    </row>
    <row r="167" ht="13.5" customHeight="1">
      <c r="A167" s="39"/>
      <c r="B167" s="39"/>
      <c r="C167" s="39"/>
    </row>
    <row r="168" ht="13.5" customHeight="1">
      <c r="A168" s="39"/>
      <c r="B168" s="39"/>
      <c r="C168" s="39"/>
    </row>
    <row r="169" ht="13.5" customHeight="1">
      <c r="A169" s="39"/>
      <c r="B169" s="39"/>
      <c r="C169" s="39"/>
    </row>
    <row r="170" ht="13.5" customHeight="1">
      <c r="A170" s="39"/>
      <c r="B170" s="39"/>
      <c r="C170" s="39"/>
    </row>
    <row r="171" ht="13.5" customHeight="1">
      <c r="A171" s="39"/>
      <c r="B171" s="39"/>
      <c r="C171" s="39"/>
    </row>
    <row r="172" ht="13.5" customHeight="1">
      <c r="A172" s="39"/>
      <c r="B172" s="39"/>
      <c r="C172" s="39"/>
    </row>
    <row r="173" ht="13.5" customHeight="1">
      <c r="A173" s="39"/>
      <c r="B173" s="39"/>
      <c r="C173" s="39"/>
    </row>
    <row r="174" ht="13.5" customHeight="1">
      <c r="A174" s="39"/>
      <c r="B174" s="39"/>
      <c r="C174" s="39"/>
    </row>
    <row r="175" ht="13.5" customHeight="1">
      <c r="A175" s="39"/>
      <c r="B175" s="39"/>
      <c r="C175" s="39"/>
    </row>
    <row r="176" ht="13.5" customHeight="1">
      <c r="A176" s="39"/>
      <c r="B176" s="39"/>
      <c r="C176" s="39"/>
    </row>
    <row r="177" ht="13.5" customHeight="1">
      <c r="A177" s="39"/>
      <c r="B177" s="39"/>
      <c r="C177" s="39"/>
    </row>
    <row r="178" ht="13.5" customHeight="1">
      <c r="A178" s="39"/>
      <c r="B178" s="39"/>
      <c r="C178" s="39"/>
    </row>
    <row r="179" ht="13.5" customHeight="1">
      <c r="A179" s="39"/>
      <c r="B179" s="39"/>
      <c r="C179" s="39"/>
    </row>
    <row r="180" ht="13.5" customHeight="1">
      <c r="A180" s="39"/>
      <c r="B180" s="39"/>
      <c r="C180" s="39"/>
    </row>
    <row r="181" ht="13.5" customHeight="1">
      <c r="A181" s="39"/>
      <c r="B181" s="39"/>
      <c r="C181" s="39"/>
    </row>
    <row r="182" ht="13.5" customHeight="1">
      <c r="A182" s="39"/>
      <c r="B182" s="39"/>
      <c r="C182" s="39"/>
    </row>
    <row r="183" ht="13.5" customHeight="1">
      <c r="A183" s="39"/>
      <c r="B183" s="39"/>
      <c r="C183" s="39"/>
    </row>
    <row r="184" ht="13.5" customHeight="1">
      <c r="A184" s="39"/>
      <c r="B184" s="39"/>
      <c r="C184" s="39"/>
    </row>
    <row r="185" ht="13.5" customHeight="1">
      <c r="A185" s="39"/>
      <c r="B185" s="39"/>
      <c r="C185" s="39"/>
    </row>
    <row r="186" ht="13.5" customHeight="1">
      <c r="A186" s="39"/>
      <c r="B186" s="39"/>
      <c r="C186" s="39"/>
    </row>
    <row r="187" ht="13.5" customHeight="1">
      <c r="A187" s="39"/>
      <c r="B187" s="39"/>
      <c r="C187" s="39"/>
    </row>
    <row r="188" ht="13.5" customHeight="1">
      <c r="A188" s="39"/>
      <c r="B188" s="39"/>
      <c r="C188" s="39"/>
    </row>
    <row r="189" ht="13.5" customHeight="1">
      <c r="A189" s="39"/>
      <c r="B189" s="39"/>
      <c r="C189" s="39"/>
    </row>
    <row r="190" ht="13.5" customHeight="1">
      <c r="A190" s="39"/>
      <c r="B190" s="39"/>
      <c r="C190" s="39"/>
    </row>
    <row r="191" ht="13.5" customHeight="1">
      <c r="A191" s="39"/>
      <c r="B191" s="39"/>
      <c r="C191" s="39"/>
    </row>
    <row r="192" ht="13.5" customHeight="1">
      <c r="A192" s="39"/>
      <c r="B192" s="39"/>
      <c r="C192" s="39"/>
    </row>
    <row r="193" ht="13.5" customHeight="1">
      <c r="A193" s="39"/>
      <c r="B193" s="39"/>
      <c r="C193" s="39"/>
    </row>
    <row r="194" ht="13.5" customHeight="1">
      <c r="A194" s="39"/>
      <c r="B194" s="39"/>
      <c r="C194" s="39"/>
    </row>
    <row r="195" ht="13.5" customHeight="1">
      <c r="A195" s="39"/>
      <c r="B195" s="39"/>
      <c r="C195" s="39"/>
    </row>
    <row r="196" ht="13.5" customHeight="1">
      <c r="A196" s="39"/>
      <c r="B196" s="39"/>
      <c r="C196" s="39"/>
    </row>
    <row r="197" ht="13.5" customHeight="1">
      <c r="A197" s="39"/>
      <c r="B197" s="39"/>
      <c r="C197" s="39"/>
    </row>
    <row r="198" ht="13.5" customHeight="1">
      <c r="A198" s="39"/>
      <c r="B198" s="39"/>
      <c r="C198" s="39"/>
    </row>
    <row r="199" ht="13.5" customHeight="1">
      <c r="A199" s="39"/>
      <c r="B199" s="39"/>
      <c r="C199" s="39"/>
    </row>
    <row r="200" ht="13.5" customHeight="1">
      <c r="A200" s="39"/>
      <c r="B200" s="39"/>
      <c r="C200" s="39"/>
    </row>
    <row r="201" ht="13.5" customHeight="1">
      <c r="A201" s="39"/>
      <c r="B201" s="39"/>
      <c r="C201" s="39"/>
    </row>
    <row r="202" ht="13.5" customHeight="1">
      <c r="A202" s="39"/>
      <c r="B202" s="39"/>
      <c r="C202" s="39"/>
    </row>
    <row r="203" ht="13.5" customHeight="1">
      <c r="A203" s="39"/>
      <c r="B203" s="39"/>
      <c r="C203" s="39"/>
    </row>
    <row r="204" ht="13.5" customHeight="1">
      <c r="A204" s="39"/>
      <c r="B204" s="39"/>
      <c r="C204" s="39"/>
    </row>
    <row r="205" ht="13.5" customHeight="1">
      <c r="A205" s="39"/>
      <c r="B205" s="39"/>
      <c r="C205" s="39"/>
    </row>
    <row r="206" ht="13.5" customHeight="1">
      <c r="A206" s="39"/>
      <c r="B206" s="39"/>
      <c r="C206" s="39"/>
    </row>
    <row r="207" ht="13.5" customHeight="1">
      <c r="A207" s="39"/>
      <c r="B207" s="39"/>
      <c r="C207" s="39"/>
    </row>
    <row r="208" ht="13.5" customHeight="1">
      <c r="A208" s="39"/>
      <c r="B208" s="39"/>
      <c r="C208" s="39"/>
    </row>
    <row r="209" ht="13.5" customHeight="1">
      <c r="A209" s="39"/>
      <c r="B209" s="39"/>
      <c r="C209" s="39"/>
    </row>
    <row r="210" ht="13.5" customHeight="1">
      <c r="A210" s="39"/>
      <c r="B210" s="39"/>
      <c r="C210" s="39"/>
    </row>
    <row r="211" ht="13.5" customHeight="1">
      <c r="A211" s="39"/>
      <c r="B211" s="39"/>
      <c r="C211" s="39"/>
    </row>
    <row r="212" ht="13.5" customHeight="1">
      <c r="A212" s="39"/>
      <c r="B212" s="39"/>
      <c r="C212" s="39"/>
    </row>
    <row r="213" ht="13.5" customHeight="1">
      <c r="A213" s="39"/>
      <c r="B213" s="39"/>
      <c r="C213" s="39"/>
    </row>
    <row r="214" ht="13.5" customHeight="1">
      <c r="A214" s="39"/>
      <c r="B214" s="39"/>
      <c r="C214" s="39"/>
    </row>
    <row r="215" ht="13.5" customHeight="1">
      <c r="A215" s="39"/>
      <c r="B215" s="39"/>
      <c r="C215" s="39"/>
    </row>
    <row r="216" ht="13.5" customHeight="1">
      <c r="A216" s="39"/>
      <c r="B216" s="39"/>
      <c r="C216" s="39"/>
    </row>
    <row r="217" ht="13.5" customHeight="1">
      <c r="A217" s="39"/>
      <c r="B217" s="39"/>
      <c r="C217" s="39"/>
    </row>
    <row r="218" ht="13.5" customHeight="1">
      <c r="A218" s="39"/>
      <c r="B218" s="39"/>
      <c r="C218" s="39"/>
    </row>
    <row r="219" ht="13.5" customHeight="1">
      <c r="A219" s="39"/>
      <c r="B219" s="39"/>
      <c r="C219" s="39"/>
    </row>
    <row r="220" ht="13.5" customHeight="1">
      <c r="A220" s="39"/>
      <c r="B220" s="39"/>
      <c r="C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