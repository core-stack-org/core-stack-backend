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4"/>
    <sheet state="visible" name="choices" sheetId="2" r:id="rId5"/>
    <sheet state="visible" name="settings" sheetId="3" r:id="rId6"/>
  </sheets>
  <definedNames/>
  <calcPr/>
  <extLst>
    <ext uri="GoogleSheetsCustomDataVersion2">
      <go:sheetsCustomData xmlns:go="http://customooxmlschemas.google.com/" r:id="rId7" roundtripDataChecksum="n0lVUZDlLHURlihESGj/7SW1VDIVVKbD7nGNuPZ4HDk="/>
    </ext>
  </extLst>
</workbook>
</file>

<file path=xl/sharedStrings.xml><?xml version="1.0" encoding="utf-8"?>
<sst xmlns="http://schemas.openxmlformats.org/spreadsheetml/2006/main" count="400" uniqueCount="252">
  <si>
    <t>type</t>
  </si>
  <si>
    <t>name</t>
  </si>
  <si>
    <t>label::English(en)</t>
  </si>
  <si>
    <t>label::Hindi(hi)</t>
  </si>
  <si>
    <t>label::Gujarati(gu)</t>
  </si>
  <si>
    <t>label::Kannada(kn)</t>
  </si>
  <si>
    <t>label::Odia(or)</t>
  </si>
  <si>
    <t>hint::English(en)</t>
  </si>
  <si>
    <t>hint::Hindi(hi)</t>
  </si>
  <si>
    <t>hint::Gujarati(gu)</t>
  </si>
  <si>
    <t>hint::Kannada(kn)</t>
  </si>
  <si>
    <t>hint::Odia(or)</t>
  </si>
  <si>
    <t>required</t>
  </si>
  <si>
    <t>calculation</t>
  </si>
  <si>
    <t>read_only</t>
  </si>
  <si>
    <t>appearance</t>
  </si>
  <si>
    <t>relevant</t>
  </si>
  <si>
    <t>constraint</t>
  </si>
  <si>
    <t>constraint_message</t>
  </si>
  <si>
    <t>start</t>
  </si>
  <si>
    <t>end</t>
  </si>
  <si>
    <t>today</t>
  </si>
  <si>
    <t>deviceid</t>
  </si>
  <si>
    <t>note</t>
  </si>
  <si>
    <t>crop_note_1</t>
  </si>
  <si>
    <t xml:space="preserve">&lt;span style="color:red"&gt;Note: Please provide information for crop patch on land owned by people in this settlement&lt;/span&gt; </t>
  </si>
  <si>
    <t xml:space="preserve">&lt;span style="color:red"&gt;कृपया इस बस्ती में फसल ग्रिड के लिए फसल पैटर्न की जानकारी प्रदान करें&lt;/span&gt; </t>
  </si>
  <si>
    <t>&lt;span style="font-size: large; color:red"&gt;ದಯವಿಟ್ಟು ಈ ವಸಾಹತು ಪ್ರದೇಶದ ಜನರ ಒಡೆತನದ ಜಮೀನಿನಲ್ಲಿ ಕ್ರಾಪ್ ಪ್ಯಾಚ್‌ಗಾಗಿ ಮಾಹಿತಿಯನ್ನು ಒದಗಿಸಿ
&lt;/span&gt;</t>
  </si>
  <si>
    <t>text</t>
  </si>
  <si>
    <t>beneficiary_settlement</t>
  </si>
  <si>
    <t>Name of Beneficiary's Settlement</t>
  </si>
  <si>
    <t xml:space="preserve">लाभ मिलने वाले बस्ती का नाम </t>
  </si>
  <si>
    <t>yes</t>
  </si>
  <si>
    <t>select_one Y_N</t>
  </si>
  <si>
    <t>Uncropped_barren_land</t>
  </si>
  <si>
    <t xml:space="preserve">Is this  patch classified as uncropped or barren land?  </t>
  </si>
  <si>
    <t>क्या इस ग्रिड को परती खेत या बंजर भूमि के रूप में वर्गीकृत किया गया है?</t>
  </si>
  <si>
    <t xml:space="preserve">ಈ ಪ್ಯಾಚ್ ಅನ್ನು ಬೆಳೆಯದ ಅಥವಾ ಬಂಜರು ಭೂಮಿ ಎಂದು ವರ್ಗೀಕರಿಸಲಾಗಿದೆಯೇ?  </t>
  </si>
  <si>
    <t>select_multiple opt_irrigation</t>
  </si>
  <si>
    <t>select_multiple_widgets</t>
  </si>
  <si>
    <t>What is the main source of irrigation in this patch of the settlement?</t>
  </si>
  <si>
    <t>इस भूमि पर सिंचाई का मुख्य साधन क्या है?</t>
  </si>
  <si>
    <t>ವಸಾಹತು ಪ್ರದೇಶದ ಈ ಪ್ಯಾಚ್‌ನಲ್ಲಿ ನೀರಾವರಿಯ ಮುಖ್ಯ ಮೂಲ ಯಾವುದು?</t>
  </si>
  <si>
    <t>${Uncropped_barren_land}='No'</t>
  </si>
  <si>
    <t>select_multiple opt_classified</t>
  </si>
  <si>
    <t>select_one_classified</t>
  </si>
  <si>
    <t>What is this land classified as?</t>
  </si>
  <si>
    <t>इस भूमि को किस श्रेणी में वर्गीकृत किया गया है?</t>
  </si>
  <si>
    <t>ಈ ಭೂಮಿಯನ್ನು ಯಾವುದೆಂದು ವರ್ಗೀಕರಿಸಲಾಗಿದೆ?</t>
  </si>
  <si>
    <t>select_multiple practice</t>
  </si>
  <si>
    <t>select_one_practice</t>
  </si>
  <si>
    <t>Which cropping seasons do you practice in this patch?</t>
  </si>
  <si>
    <t>ಈ ವಸಾಹತು ಪ್ರದೇಶದಲ್ಲಿ ನೀವು ಯಾವ ಬೆಳೆ ಋತುಗಳನ್ನು ಅಭ್ಯಾಸ ಮಾಡುತ್ತೀರಿ?</t>
  </si>
  <si>
    <t>${Uncropped_barren_land}=’No’</t>
  </si>
  <si>
    <t>select_multiple cropping_kharif or_other</t>
  </si>
  <si>
    <t>select_multiple_cropping_kharif</t>
  </si>
  <si>
    <t xml:space="preserve">What are the main crops grown during Kharif season in this patch? 
</t>
  </si>
  <si>
    <t>इस ग्रिड में ऐसी भूमि पर खरीफ सीजन के दौरान मुख्य फसलों के रूप में आमतौर पर लगाए जाने वाले फसल पैटर्न क्या है?</t>
  </si>
  <si>
    <t xml:space="preserve">ಈ ವಸಾಹತು ಪ್ರದೇಶದಲ್ಲಿ ಖಾರಿಫ್ ಋತುವಿನಲ್ಲಿ ಸಾಮಾನ್ಯವಾಗಿ ಮುಖ್ಯ ಬೆಳೆಗಳಾಗಿ ಆಚರಿಸಲಾಗುವ ವಿವಿಧ ಬೆಳೆಗಳು ಯಾವುವು?
</t>
  </si>
  <si>
    <t xml:space="preserve">selected(${select_one_practice}, 'Kharif') 
</t>
  </si>
  <si>
    <t>decimal</t>
  </si>
  <si>
    <t>total_area_cultivation_kharif</t>
  </si>
  <si>
    <t>Total area under cultivation during the Kharif season</t>
  </si>
  <si>
    <t>ಖಾರಿಫ್ ಋತುವಿನಲ್ಲಿ ಸಾಗುವಳಿ ಮಾಡಲಾದ ಒಟ್ಟು ಪ್ರದೇಶ</t>
  </si>
  <si>
    <t>In acres</t>
  </si>
  <si>
    <t>ଏକର ଜମିରେ |</t>
  </si>
  <si>
    <t>select_multiple cropping_Rabi or_other</t>
  </si>
  <si>
    <t>select_multiple_cropping_Rabi</t>
  </si>
  <si>
    <t xml:space="preserve">What are the main crops grown during Rabi season in this patch?
</t>
  </si>
  <si>
    <t>इस ग्रिड में ऐसी भूमि पर रबी मौसम के दौरान मुख्य फसल के रूप में आमतौर पर प्रचलित फसल पैटर्न क्या है?</t>
  </si>
  <si>
    <t>ಈ ವಸಾಹತು ಗ್ರಿಡ್‌ನಲ್ಲಿ ರಬಿ ಋತುವಿನಲ್ಲಿ ಅಂತಹ ಭೂಮಿಯಲ್ಲಿ ಮುಖ್ಯ ಬೆಳೆಗಳಾಗಿ ಸಾಮಾನ್ಯವಾಗಿ ಆಚರಿಸಲಾಗುವ ವಿಭಿನ್ನ ಬೆಳೆ ಮಾದರಿಗಳು ಯಾವುವು?</t>
  </si>
  <si>
    <t xml:space="preserve">selected(${select_one_practice}, 'Rabi') 
</t>
  </si>
  <si>
    <t>total_area_cultivation_Rabi</t>
  </si>
  <si>
    <t>Total area under cultivation during the Rabi season</t>
  </si>
  <si>
    <t>ರಬಿ ಋತುವಿನಲ್ಲಿ ಸಾಗುವಳಿ ಮಾಡಲಾದ ಒಟ್ಟು ಪ್ರದೇಶ</t>
  </si>
  <si>
    <t>select_multiple cropping_Zaid or_other</t>
  </si>
  <si>
    <t>select_multiple_cropping_Zaid</t>
  </si>
  <si>
    <t>What are the main crops grown during Zaid season in this patch?</t>
  </si>
  <si>
    <t>इस बस्ती के ग्रिड में ऐसी भूमि पर मुख्य फसलों के रूप में आमतौर पर जायद मौसम के दौरान कौन से फसल पैटर्न लगाये जाते हैं?</t>
  </si>
  <si>
    <t>ಈ ವಸಾಹತು ಗ್ರಿಡ್‌ನಲ್ಲಿ ಜೈದ್ ಋತುವಿನಲ್ಲಿ ಅಂತಹ ಭೂಮಿಯಲ್ಲಿ ಮುಖ್ಯ ಬೆಳೆಗಳಾಗಿ ಸಾಮಾನ್ಯವಾಗಿ ಆಚರಿಸಲಾಗುವ ವಿಭಿನ್ನ ಬೆಳೆ ಮಾದರಿಗಳು ಯಾವುವು?</t>
  </si>
  <si>
    <t xml:space="preserve">selected(${select_one_practice}, 'Zaid') 
</t>
  </si>
  <si>
    <t>total_area_cultivation_Zaid</t>
  </si>
  <si>
    <t>Total area under cultivation during the Zaid season</t>
  </si>
  <si>
    <t>ಜೈದ್ ಋತುವಿನಲ್ಲಿ ಸಾಗುವಳಿ ಮಾಡಲಾದ ಒಟ್ಟು ಪ್ರದೇಶ</t>
  </si>
  <si>
    <t>select_one opt_productivity</t>
  </si>
  <si>
    <t>select_one_productivity</t>
  </si>
  <si>
    <t>How has cropping intensity changed over the last 3 years?</t>
  </si>
  <si>
    <t>पिछले तीन वर्षों में कृषि ऊपज में कैसा बदलाव आया है ?</t>
  </si>
  <si>
    <t>ಕಳೆದ 3 ವರ್ಷಗಳಲ್ಲಿ ಬೆಳೆ ತೀವ್ರತೆಯು ಹೇಗೆ ಬದಲಾಗಿದೆ?</t>
  </si>
  <si>
    <t>soil_degraded</t>
  </si>
  <si>
    <t>Has the soil degraded over the last 3 years in this patch?</t>
  </si>
  <si>
    <t>क्या इस ग्रिड में पिछले 3 वर्षों में मिट्टी का कटाव हुआ है</t>
  </si>
  <si>
    <t>ಈ ಪ್ಯಾಚ್‌ನಲ್ಲಿ ಕಳೆದ 3 ವರ್ಷಗಳಿಂದ ಮಣ್ಣು ಹಾಳಾಗಿದೆಯೇ?</t>
  </si>
  <si>
    <t>${Uncropped_barren_land}='Yes' or ${Uncropped_barren_land}=’No’</t>
  </si>
  <si>
    <t>select_one reason_degradation</t>
  </si>
  <si>
    <t>select_one_reason_degradation</t>
  </si>
  <si>
    <t>If degraded, what are the reasons for degradation?</t>
  </si>
  <si>
    <t>यदि कटाव हुआ है, तो कटाव के क्या कारण हैं ?</t>
  </si>
  <si>
    <t>ಕ್ಷೀಣಿಸಿದರೆ, ಅವನತಿಗೆ ಕಾರಣಗಳೇನು?</t>
  </si>
  <si>
    <t>false()</t>
  </si>
  <si>
    <t>select_multiple reason_degradation</t>
  </si>
  <si>
    <t>select_one_reason_degradation_1</t>
  </si>
  <si>
    <t>${soil_degraded}=’Yes’</t>
  </si>
  <si>
    <t>crop_note_2</t>
  </si>
  <si>
    <t>&lt;span style="font-size: large; font-weight: bold; color:red;"&gt; DO NOT MODIFY ANYTHING BEYOND THIS POINT AND SUBMIT YOUR FORM DATA&lt;/span&gt;</t>
  </si>
  <si>
    <t>&lt;span style="color:red"&gt;इससे परे कुछ भी संशोधित न करें और अपना फॉर्म डेटा सबमिट करें&lt;/span&gt;</t>
  </si>
  <si>
    <t>&lt;span style="font-size: large; font-weight: bold; color:red;"&gt;ಈ ಪಾಯಿಂಟ್‌ನ ಆಚೆಗೆ ಏನನ್ನೂ ಮಾರ್ಪಡಿಸಬೇಡಿ ಮತ್ತು ನಿಮ್ಮ ಫಾರ್ಮ್ ಡೇಟಾವನ್ನು ಸಲ್ಲಿಸಿ&lt;/span&gt;</t>
  </si>
  <si>
    <t>begin_group</t>
  </si>
  <si>
    <t>GPS_point</t>
  </si>
  <si>
    <t>Lat/Lon</t>
  </si>
  <si>
    <t>अक्षांश/देशांतर</t>
  </si>
  <si>
    <t>ಲ್ಯಾಟ್/ಲೋನ್</t>
  </si>
  <si>
    <t>compact</t>
  </si>
  <si>
    <t>&lt;span style="color:red"&gt;PLEASE DO NOT SPAN AROUND IN THE MAP BELOW&lt;/span&gt;</t>
  </si>
  <si>
    <t>&lt;span style="color:red"&gt;कृपया नीचे दिए गए नक्शे में इधर-उधर न घूमें&lt;/span&gt;</t>
  </si>
  <si>
    <t>&lt;span style="color:red"&gt;ದಯವಿಟ್ಟು ಕೆಳಗಿನ ನಕ್ಷೆಯಲ್ಲಿ ಸುತ್ತಿಕೊಳ್ಳಬೇಡಿ&lt;/span&gt;</t>
  </si>
  <si>
    <t>geopoint</t>
  </si>
  <si>
    <t>point_mapappearance</t>
  </si>
  <si>
    <t>जियोपॉइंट</t>
  </si>
  <si>
    <t>maps</t>
  </si>
  <si>
    <t>end_group</t>
  </si>
  <si>
    <t>block_name</t>
  </si>
  <si>
    <t>Block name</t>
  </si>
  <si>
    <t>ब्लॉक का नाम</t>
  </si>
  <si>
    <t>ಬ್ಲಾಕ್ ಹೆಸರು</t>
  </si>
  <si>
    <t>crop_Grid_id</t>
  </si>
  <si>
    <t>Crop Grid ID</t>
  </si>
  <si>
    <t>फसल ग्रिड आईडी</t>
  </si>
  <si>
    <t>ಕ್ರಾಪ್ ಗ್ರಿಡ್ ಐಡಿ</t>
  </si>
  <si>
    <t>plan_id</t>
  </si>
  <si>
    <t>Plan ID</t>
  </si>
  <si>
    <t xml:space="preserve">योजना का आईडी </t>
  </si>
  <si>
    <t>ಯೋಜನೆ ID</t>
  </si>
  <si>
    <t>plan_name</t>
  </si>
  <si>
    <t>Plan name</t>
  </si>
  <si>
    <t xml:space="preserve">योजना का नाम </t>
  </si>
  <si>
    <t>ಯೋಜನೆಯ ಹೆಸರು</t>
  </si>
  <si>
    <t>user_latlon</t>
  </si>
  <si>
    <t>Current location of the user</t>
  </si>
  <si>
    <t>उपयोगकर्ता का वर्तमान स्थान</t>
  </si>
  <si>
    <t>ಬಳಕೆದಾರರ ಪ್ರಸ್ತುತ ಸ್ಥಳ</t>
  </si>
  <si>
    <t>list_name</t>
  </si>
  <si>
    <t>opt_irrigation</t>
  </si>
  <si>
    <t>Rainfall</t>
  </si>
  <si>
    <t xml:space="preserve">वर्षा </t>
  </si>
  <si>
    <t>ಮಳೆ</t>
  </si>
  <si>
    <t>Well</t>
  </si>
  <si>
    <t xml:space="preserve">कुआँ </t>
  </si>
  <si>
    <t>ಸರಿ</t>
  </si>
  <si>
    <t>Borewell</t>
  </si>
  <si>
    <t>बोरवेल</t>
  </si>
  <si>
    <t>ಬೋರ್ವೆಲ್</t>
  </si>
  <si>
    <t>Canal</t>
  </si>
  <si>
    <t xml:space="preserve">नहर </t>
  </si>
  <si>
    <t>ಕಾಲುವೆ</t>
  </si>
  <si>
    <t>Pond</t>
  </si>
  <si>
    <t xml:space="preserve">तालाब </t>
  </si>
  <si>
    <t>ಕೊಳ</t>
  </si>
  <si>
    <t>don’t_know</t>
  </si>
  <si>
    <t xml:space="preserve">Don’t know </t>
  </si>
  <si>
    <t xml:space="preserve">नहीं पता </t>
  </si>
  <si>
    <t>opt_classified</t>
  </si>
  <si>
    <t>Upland</t>
  </si>
  <si>
    <t xml:space="preserve">Upland </t>
  </si>
  <si>
    <t xml:space="preserve">ऊपरी भूमि </t>
  </si>
  <si>
    <t>ಎತ್ತರದ ಭೂಮಿ</t>
  </si>
  <si>
    <t>Midland</t>
  </si>
  <si>
    <t>मध्यभूमि</t>
  </si>
  <si>
    <t>ಂಧ್ಯದದ ಭೂಮಿ</t>
  </si>
  <si>
    <t>lowland</t>
  </si>
  <si>
    <t>Lowland</t>
  </si>
  <si>
    <t>निचली भूमि</t>
  </si>
  <si>
    <t>ಕೇಳಗಿನ ಭೂಮಿ</t>
  </si>
  <si>
    <t>cropping_kharif</t>
  </si>
  <si>
    <t>paddy</t>
  </si>
  <si>
    <t>Paddy</t>
  </si>
  <si>
    <t xml:space="preserve">धान </t>
  </si>
  <si>
    <t>Millets</t>
  </si>
  <si>
    <t xml:space="preserve">Millets </t>
  </si>
  <si>
    <t>मोटे अनाज / श्री अन्न</t>
  </si>
  <si>
    <t>Pulses</t>
  </si>
  <si>
    <t>दालें</t>
  </si>
  <si>
    <t>Vegetables</t>
  </si>
  <si>
    <t xml:space="preserve">सब्जियां </t>
  </si>
  <si>
    <t>Fruits</t>
  </si>
  <si>
    <t xml:space="preserve">फल </t>
  </si>
  <si>
    <t>Oil_Seeds</t>
  </si>
  <si>
    <t>Oil Seeds</t>
  </si>
  <si>
    <t>तिलहन</t>
  </si>
  <si>
    <t>Fodder_crop</t>
  </si>
  <si>
    <t>Fodder crop</t>
  </si>
  <si>
    <t>चारा फसल</t>
  </si>
  <si>
    <t>cropping_Rabi</t>
  </si>
  <si>
    <t>ಭತ್ತ</t>
  </si>
  <si>
    <t>ಧಾನ್ಯಗಳು</t>
  </si>
  <si>
    <t>ದ್ವಿದಳ ಧಾನ್ಯಗಳು</t>
  </si>
  <si>
    <t>ತರಕಾರಿಗಳು</t>
  </si>
  <si>
    <t>ಹಣ್ಣುಗಳು</t>
  </si>
  <si>
    <t>ಎಣ್ಣೆ ಬೀಜಗಳು</t>
  </si>
  <si>
    <t>ಮೇವಿನ ಬೆಳೆ</t>
  </si>
  <si>
    <t>cropping_Zaid</t>
  </si>
  <si>
    <t xml:space="preserve">Fruits </t>
  </si>
  <si>
    <t>opt_productivity</t>
  </si>
  <si>
    <t>Increased</t>
  </si>
  <si>
    <t xml:space="preserve">Increased </t>
  </si>
  <si>
    <t xml:space="preserve">बढ़ा हुआ </t>
  </si>
  <si>
    <t>ಹೆಚ್ಚಾಗಿದೆ</t>
  </si>
  <si>
    <t>Decreased</t>
  </si>
  <si>
    <t xml:space="preserve">घटा हुआ </t>
  </si>
  <si>
    <t>ಕಡಿಮೆಯಾಗಿದೆ</t>
  </si>
  <si>
    <t>Remain Same</t>
  </si>
  <si>
    <t xml:space="preserve">बचा हुआ </t>
  </si>
  <si>
    <t>ಹಾಗೆಯೇ ಇರಿ</t>
  </si>
  <si>
    <t>Y_N</t>
  </si>
  <si>
    <t>Yes</t>
  </si>
  <si>
    <t xml:space="preserve">हाँ </t>
  </si>
  <si>
    <t>ಹೌದು</t>
  </si>
  <si>
    <t>No</t>
  </si>
  <si>
    <t xml:space="preserve">नहीं </t>
  </si>
  <si>
    <t>ಸಂಖ್ಯೆ</t>
  </si>
  <si>
    <t>reason_degradation</t>
  </si>
  <si>
    <t>Overuse_of_fertilizers</t>
  </si>
  <si>
    <t>Overuse of fertilizers</t>
  </si>
  <si>
    <t>उर्वरकों का अत्यधिक उपयोग</t>
  </si>
  <si>
    <t>ರಸಗೊಬ್ಬರಗಳ ಅತಿಯಾದ ಬಳಕೆ</t>
  </si>
  <si>
    <t>Heavy_rains_causing_erosion</t>
  </si>
  <si>
    <t>Heavy rains causing erosion</t>
  </si>
  <si>
    <t>भारी बारिश के कारण कटाव</t>
  </si>
  <si>
    <t>ಭಾರೀ ಮಳೆಯಿಂದಾಗಿ ಭೂಸವೆತ</t>
  </si>
  <si>
    <t>Deforestation</t>
  </si>
  <si>
    <t>वनों की कटाई</t>
  </si>
  <si>
    <t>ಅರಣ್ಯನಾಶ</t>
  </si>
  <si>
    <t>Overgrazing</t>
  </si>
  <si>
    <t>अत्यधिक चराई</t>
  </si>
  <si>
    <t>ಅತಿಯಾಗಿ ಮೇಯಿಸುವುದು</t>
  </si>
  <si>
    <t>Urbanization</t>
  </si>
  <si>
    <t>शहरीकरण</t>
  </si>
  <si>
    <t>ನಗರೀಕರಣ</t>
  </si>
  <si>
    <t>practice</t>
  </si>
  <si>
    <t xml:space="preserve">Kharif </t>
  </si>
  <si>
    <t xml:space="preserve">Rabi </t>
  </si>
  <si>
    <t xml:space="preserve">Zaid </t>
  </si>
  <si>
    <t>form_title</t>
  </si>
  <si>
    <t>form_id</t>
  </si>
  <si>
    <t>instance_name</t>
  </si>
  <si>
    <t>default_language</t>
  </si>
  <si>
    <t>version</t>
  </si>
  <si>
    <t>style</t>
  </si>
  <si>
    <t>Cropping Pattern Form</t>
  </si>
  <si>
    <t>crop_form_V1.0.0</t>
  </si>
  <si>
    <t>Hindi(hi)</t>
  </si>
  <si>
    <t>2.1.2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</si>
</sst>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0.0"/>
      <color theme="1"/>
      <name val="Courier New"/>
    </font>
    <font>
      <b/>
      <sz val="10.0"/>
      <color theme="1"/>
      <name val="Arial"/>
    </font>
    <font>
      <b/>
      <color theme="1"/>
      <name val="Arial"/>
    </font>
    <font>
      <i/>
      <color theme="1"/>
      <name val="Courier New"/>
    </font>
    <font>
      <sz val="10.0"/>
      <color theme="1"/>
      <name val="Arial"/>
    </font>
    <font>
      <color theme="1"/>
      <name val="Arial"/>
    </font>
    <font>
      <sz val="10.0"/>
      <color theme="1"/>
      <name val="Courier New"/>
    </font>
    <font>
      <sz val="9.0"/>
      <color theme="1"/>
      <name val="Courier New"/>
    </font>
    <font>
      <sz val="9.0"/>
      <color theme="1"/>
      <name val="Arial"/>
    </font>
    <font>
      <sz val="9.0"/>
      <color rgb="FF000000"/>
      <name val="Arial"/>
    </font>
    <font>
      <color theme="1"/>
      <name val="Courier New"/>
    </font>
    <font>
      <color theme="1"/>
      <name val="Arial"/>
      <scheme val="minor"/>
    </font>
    <font>
      <sz val="11.0"/>
      <color theme="1"/>
      <name val="Calibri"/>
    </font>
    <font>
      <sz val="11.0"/>
      <color theme="1"/>
      <name val="Arial"/>
    </font>
    <font>
      <sz val="11.0"/>
      <color theme="1"/>
      <name val="Courier New"/>
    </font>
    <font>
      <color theme="1"/>
      <name val="Roboto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</fills>
  <borders count="3">
    <border/>
    <border>
      <left/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2" numFmtId="0" xfId="0" applyAlignment="1" applyFont="1">
      <alignment shrinkToFit="0" vertical="bottom" wrapText="1"/>
    </xf>
    <xf borderId="0" fillId="2" fontId="3" numFmtId="0" xfId="0" applyAlignment="1" applyFont="1">
      <alignment shrinkToFit="0" vertical="bottom" wrapText="1"/>
    </xf>
    <xf borderId="0" fillId="2" fontId="3" numFmtId="0" xfId="0" applyAlignment="1" applyFont="1">
      <alignment readingOrder="0" shrinkToFit="0" vertical="bottom" wrapText="1"/>
    </xf>
    <xf borderId="0" fillId="2" fontId="2" numFmtId="0" xfId="0" applyAlignment="1" applyFont="1">
      <alignment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1"/>
    </xf>
    <xf borderId="1" fillId="3" fontId="4" numFmtId="0" xfId="0" applyAlignment="1" applyBorder="1" applyFill="1" applyFont="1">
      <alignment shrinkToFit="0" vertical="bottom" wrapText="1"/>
    </xf>
    <xf borderId="0" fillId="4" fontId="5" numFmtId="0" xfId="0" applyAlignment="1" applyFill="1" applyFont="1">
      <alignment shrinkToFit="0" vertical="bottom" wrapText="1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vertical="bottom"/>
    </xf>
    <xf borderId="0" fillId="4" fontId="5" numFmtId="0" xfId="0" applyAlignment="1" applyFont="1">
      <alignment shrinkToFit="0" vertical="bottom" wrapText="0"/>
    </xf>
    <xf borderId="2" fillId="3" fontId="4" numFmtId="0" xfId="0" applyAlignment="1" applyBorder="1" applyFont="1">
      <alignment shrinkToFit="0" vertical="bottom" wrapText="1"/>
    </xf>
    <xf borderId="0" fillId="4" fontId="7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0" fontId="10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11" numFmtId="0" xfId="0" applyAlignment="1" applyFont="1">
      <alignment vertical="bottom"/>
    </xf>
    <xf borderId="0" fillId="0" fontId="6" numFmtId="0" xfId="0" applyFont="1"/>
    <xf borderId="0" fillId="0" fontId="12" numFmtId="0" xfId="0" applyAlignment="1" applyFont="1">
      <alignment readingOrder="0"/>
    </xf>
    <xf borderId="0" fillId="0" fontId="6" numFmtId="0" xfId="0" applyAlignment="1" applyFont="1">
      <alignment readingOrder="0"/>
    </xf>
    <xf borderId="0" fillId="5" fontId="11" numFmtId="0" xfId="0" applyAlignment="1" applyFill="1" applyFont="1">
      <alignment vertical="bottom"/>
    </xf>
    <xf borderId="0" fillId="5" fontId="5" numFmtId="0" xfId="0" applyAlignment="1" applyFont="1">
      <alignment shrinkToFit="0" vertical="bottom" wrapText="1"/>
    </xf>
    <xf borderId="0" fillId="5" fontId="6" numFmtId="0" xfId="0" applyAlignment="1" applyFont="1">
      <alignment shrinkToFit="0" vertical="bottom" wrapText="1"/>
    </xf>
    <xf borderId="0" fillId="5" fontId="6" numFmtId="0" xfId="0" applyFont="1"/>
    <xf borderId="0" fillId="0" fontId="13" numFmtId="0" xfId="0" applyAlignment="1" applyFont="1">
      <alignment shrinkToFit="0" vertical="bottom" wrapText="1"/>
    </xf>
    <xf borderId="0" fillId="0" fontId="14" numFmtId="0" xfId="0" applyAlignment="1" applyFont="1">
      <alignment shrinkToFit="0" vertical="bottom" wrapText="1"/>
    </xf>
    <xf borderId="0" fillId="0" fontId="13" numFmtId="0" xfId="0" applyAlignment="1" applyFont="1">
      <alignment vertical="bottom"/>
    </xf>
    <xf borderId="0" fillId="0" fontId="15" numFmtId="0" xfId="0" applyAlignment="1" applyFont="1">
      <alignment shrinkToFit="0" vertical="bottom" wrapText="1"/>
    </xf>
    <xf borderId="0" fillId="0" fontId="15" numFmtId="0" xfId="0" applyAlignment="1" applyFont="1">
      <alignment readingOrder="0" vertical="bottom"/>
    </xf>
    <xf borderId="0" fillId="0" fontId="11" numFmtId="0" xfId="0" applyAlignment="1" applyFont="1">
      <alignment shrinkToFit="0" vertical="bottom" wrapText="1"/>
    </xf>
    <xf borderId="0" fillId="0" fontId="16" numFmtId="0" xfId="0" applyAlignment="1" applyFont="1">
      <alignment vertical="bottom"/>
    </xf>
    <xf borderId="0" fillId="0" fontId="16" numFmtId="0" xfId="0" applyAlignment="1" applyFont="1">
      <alignment shrinkToFit="0" vertical="bottom" wrapText="1"/>
    </xf>
    <xf borderId="0" fillId="0" fontId="17" numFmtId="0" xfId="0" applyAlignment="1" applyFont="1">
      <alignment shrinkToFit="0" vertical="bottom" wrapText="1"/>
    </xf>
    <xf borderId="0" fillId="0" fontId="11" numFmtId="0" xfId="0" applyFont="1"/>
    <xf borderId="0" fillId="0" fontId="6" numFmtId="0" xfId="0" applyAlignment="1" applyFont="1">
      <alignment shrinkToFit="0" wrapText="1"/>
    </xf>
    <xf borderId="0" fillId="0" fontId="12" numFmtId="0" xfId="0" applyFont="1"/>
    <xf borderId="1" fillId="2" fontId="1" numFmtId="0" xfId="0" applyAlignment="1" applyBorder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vertical="bottom"/>
    </xf>
    <xf borderId="1" fillId="2" fontId="3" numFmtId="0" xfId="0" applyAlignment="1" applyBorder="1" applyFont="1">
      <alignment readingOrder="0" vertical="bottom"/>
    </xf>
    <xf borderId="0" fillId="2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88"/>
    <col customWidth="1" min="2" max="2" width="37.75"/>
    <col customWidth="1" min="3" max="3" width="50.0"/>
    <col customWidth="1" min="4" max="7" width="47.13"/>
    <col customWidth="1" min="8" max="12" width="18.63"/>
    <col customWidth="1" min="13" max="16" width="12.13"/>
    <col customWidth="1" min="17" max="17" width="52.25"/>
    <col customWidth="1" min="18" max="18" width="31.13"/>
    <col customWidth="1" min="19" max="19" width="20.25"/>
    <col customWidth="1" min="20" max="43" width="12.13"/>
  </cols>
  <sheetData>
    <row r="1" ht="12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</row>
    <row r="2" ht="12.75" customHeight="1">
      <c r="A2" s="7" t="s">
        <v>19</v>
      </c>
      <c r="B2" s="8" t="s">
        <v>19</v>
      </c>
      <c r="C2" s="9"/>
      <c r="D2" s="10"/>
      <c r="E2" s="10"/>
      <c r="F2" s="11"/>
      <c r="G2" s="11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</row>
    <row r="3" ht="12.75" customHeight="1">
      <c r="A3" s="7" t="s">
        <v>20</v>
      </c>
      <c r="B3" s="8" t="s">
        <v>20</v>
      </c>
      <c r="C3" s="9"/>
      <c r="D3" s="10"/>
      <c r="E3" s="10"/>
      <c r="F3" s="11"/>
      <c r="G3" s="11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</row>
    <row r="4" ht="12.75" customHeight="1">
      <c r="A4" s="7" t="s">
        <v>21</v>
      </c>
      <c r="B4" s="8" t="s">
        <v>21</v>
      </c>
      <c r="C4" s="9"/>
      <c r="D4" s="10"/>
      <c r="E4" s="10"/>
      <c r="F4" s="11"/>
      <c r="G4" s="11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</row>
    <row r="5" ht="12.75" customHeight="1">
      <c r="A5" s="7" t="s">
        <v>22</v>
      </c>
      <c r="B5" s="13" t="s">
        <v>22</v>
      </c>
      <c r="C5" s="9"/>
      <c r="D5" s="10"/>
      <c r="E5" s="10"/>
      <c r="F5" s="11"/>
      <c r="G5" s="11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</row>
    <row r="6" ht="12.75" customHeight="1">
      <c r="A6" s="14"/>
      <c r="B6" s="14"/>
      <c r="C6" s="9"/>
      <c r="D6" s="10"/>
      <c r="E6" s="10"/>
      <c r="F6" s="11"/>
      <c r="G6" s="11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</row>
    <row r="7" ht="12.75" customHeight="1">
      <c r="A7" s="15" t="s">
        <v>23</v>
      </c>
      <c r="B7" s="15" t="s">
        <v>24</v>
      </c>
      <c r="C7" s="16" t="s">
        <v>25</v>
      </c>
      <c r="D7" s="16" t="s">
        <v>26</v>
      </c>
      <c r="E7" s="16" t="str">
        <f>IFERROR(__xludf.DUMMYFUNCTION("GOOGLETRANSLATE(C7, ""en"", ""gu"")"),"&lt;span style=""color:red""&gt;નોંધ: કૃપા કરીને આ વસાહતમાં લોકોની માલિકીની જમીન પર પાકના પેચ વિશે માહિતી આપો&lt;/span&gt;")</f>
        <v>&lt;span style="color:red"&gt;નોંધ: કૃપા કરીને આ વસાહતમાં લોકોની માલિકીની જમીન પર પાકના પેચ વિશે માહિતી આપો&lt;/span&gt;</v>
      </c>
      <c r="F7" s="17" t="s">
        <v>27</v>
      </c>
      <c r="G7" s="17" t="str">
        <f>IFERROR(__xludf.DUMMYFUNCTION("GOOGLETRANSLATE(C7,""en"",""or"")"),"&lt;span style=""color:red""&gt;ନୋଟ୍: ଦୟାକରି ଏହି ବସ୍ତିର ଲୋକଙ୍କ ମାଲିକାନାରେ ଥିବା ଜମିରେ ଫସଲ ପ୍ୟାଚ୍ ପାଇଁ ସୂଚନା ପ୍ରଦାନ କରନ୍ତୁ&lt;/span&gt;")</f>
        <v>&lt;span style="color:red"&gt;ନୋଟ୍: ଦୟାକରି ଏହି ବସ୍ତିର ଲୋକଙ୍କ ମାଲିକାନାରେ ଥିବା ଜମିରେ ଫସଲ ପ୍ୟାଚ୍ ପାଇଁ ସୂଚନା ପ୍ରଦାନ କରନ୍ତୁ&lt;/span&gt;</v>
      </c>
      <c r="H7" s="16"/>
      <c r="I7" s="16"/>
      <c r="J7" s="16"/>
      <c r="K7" s="16"/>
      <c r="L7" s="16"/>
      <c r="N7" s="10"/>
      <c r="P7" s="10"/>
    </row>
    <row r="8" ht="12.75" customHeight="1">
      <c r="A8" s="18"/>
      <c r="B8" s="18"/>
      <c r="C8" s="19"/>
      <c r="D8" s="10"/>
      <c r="E8" s="16"/>
      <c r="F8" s="11"/>
      <c r="G8" s="17"/>
      <c r="H8" s="19"/>
      <c r="I8" s="19"/>
      <c r="J8" s="19"/>
      <c r="K8" s="19"/>
      <c r="L8" s="19"/>
      <c r="M8" s="19"/>
      <c r="N8" s="19"/>
      <c r="O8" s="19"/>
      <c r="P8" s="20"/>
      <c r="Q8" s="19"/>
      <c r="R8" s="10"/>
      <c r="S8" s="10"/>
    </row>
    <row r="9">
      <c r="G9" s="17"/>
    </row>
    <row r="10" ht="12.75" customHeight="1">
      <c r="A10" s="21" t="s">
        <v>28</v>
      </c>
      <c r="B10" s="21" t="s">
        <v>29</v>
      </c>
      <c r="C10" s="16" t="s">
        <v>30</v>
      </c>
      <c r="D10" s="16" t="s">
        <v>31</v>
      </c>
      <c r="E10" s="16" t="str">
        <f>IFERROR(__xludf.DUMMYFUNCTION("GOOGLETRANSLATE(C10, ""en"", ""gu"")"),"લાભાર્થીના સમાધાનનું નામ")</f>
        <v>લાભાર્થીના સમાધાનનું નામ</v>
      </c>
      <c r="F10" s="17" t="str">
        <f>IFERROR(__xludf.DUMMYFUNCTION("GOOGLETRANSLATE(E10, ""hi"", ""kn"")"),"ಫಲಾನುಭವಿ ಪರಿಹಾರದ ಹೆಸರು")</f>
        <v>ಫಲಾನುಭವಿ ಪರಿಹಾರದ ಹೆಸರು</v>
      </c>
      <c r="G10" s="17" t="str">
        <f>IFERROR(__xludf.DUMMYFUNCTION("GOOGLETRANSLATE(C10,""en"",""or"")"),"ହିତାଧିକାରୀଙ୍କ ବନ୍ଦୋବସ୍ତ ନାମ")</f>
        <v>ହିତାଧିକାରୀଙ୍କ ବନ୍ଦୋବସ୍ତ ନାମ</v>
      </c>
      <c r="H10" s="16"/>
      <c r="I10" s="16"/>
      <c r="J10" s="16"/>
      <c r="K10" s="16"/>
      <c r="L10" s="16"/>
      <c r="M10" s="16" t="s">
        <v>32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</row>
    <row r="11" ht="12.75" customHeight="1">
      <c r="A11" s="22" t="s">
        <v>33</v>
      </c>
      <c r="B11" s="22" t="s">
        <v>34</v>
      </c>
      <c r="C11" s="17" t="s">
        <v>35</v>
      </c>
      <c r="D11" s="10" t="s">
        <v>36</v>
      </c>
      <c r="E11" s="16" t="str">
        <f>IFERROR(__xludf.DUMMYFUNCTION("GOOGLETRANSLATE(C11, ""en"", ""gu"")"),"શું આ વિસ્તાર પાક વગરનો કે ઉજ્જડ જમીન તરીકે વર્ગીકૃત થયેલ છે?")</f>
        <v>શું આ વિસ્તાર પાક વગરનો કે ઉજ્જડ જમીન તરીકે વર્ગીકૃત થયેલ છે?</v>
      </c>
      <c r="F11" s="17" t="s">
        <v>37</v>
      </c>
      <c r="G11" s="17" t="str">
        <f>IFERROR(__xludf.DUMMYFUNCTION("GOOGLETRANSLATE(C11,""en"",""or"")"),"ଏହି ଜମିକୁ କ’ଣ ଅଫସଲ କିମ୍ବା ଅନୁର୍ବର ଜମି ଭାବରେ ବର୍ଗୀକୃତ କରାଯାଇଛି?")</f>
        <v>ଏହି ଜମିକୁ କ’ଣ ଅଫସଲ କିମ୍ବା ଅନୁର୍ବର ଜମି ଭାବରେ ବର୍ଗୀକୃତ କରାଯାଇଛି?</v>
      </c>
      <c r="M11" s="23" t="s">
        <v>32</v>
      </c>
    </row>
    <row r="12" ht="12.75" customHeight="1">
      <c r="A12" s="22" t="s">
        <v>38</v>
      </c>
      <c r="B12" s="22" t="s">
        <v>39</v>
      </c>
      <c r="C12" s="16" t="s">
        <v>40</v>
      </c>
      <c r="D12" s="16" t="s">
        <v>41</v>
      </c>
      <c r="E12" s="16" t="str">
        <f>IFERROR(__xludf.DUMMYFUNCTION("GOOGLETRANSLATE(C12, ""en"", ""gu"")"),"વસાહતના આ ભાગમાં સિંચાઈનો મુખ્ય સ્ત્રોત કયો છે?")</f>
        <v>વસાહતના આ ભાગમાં સિંચાઈનો મુખ્ય સ્ત્રોત કયો છે?</v>
      </c>
      <c r="F12" s="17" t="s">
        <v>42</v>
      </c>
      <c r="G12" s="17" t="str">
        <f>IFERROR(__xludf.DUMMYFUNCTION("GOOGLETRANSLATE(C12,""en"",""or"")"),"ଏହି ବସ୍ତିର ଜଳସେଚନର ମୁଖ୍ୟ ଉତ୍ସ କ'ଣ?")</f>
        <v>ଏହି ବସ୍ତିର ଜଳସେଚନର ମୁଖ୍ୟ ଉତ୍ସ କ'ଣ?</v>
      </c>
      <c r="M12" s="24" t="s">
        <v>32</v>
      </c>
      <c r="Q12" s="23" t="s">
        <v>43</v>
      </c>
    </row>
    <row r="13" ht="12.75" customHeight="1">
      <c r="A13" s="22" t="s">
        <v>44</v>
      </c>
      <c r="B13" s="22" t="s">
        <v>45</v>
      </c>
      <c r="C13" s="17" t="s">
        <v>46</v>
      </c>
      <c r="D13" s="16" t="s">
        <v>47</v>
      </c>
      <c r="E13" s="16" t="str">
        <f>IFERROR(__xludf.DUMMYFUNCTION("GOOGLETRANSLATE(C13, ""en"", ""gu"")"),"આ જમીન કયા પ્રકારે વર્ગીકૃત થયેલ છે?")</f>
        <v>આ જમીન કયા પ્રકારે વર્ગીકૃત થયેલ છે?</v>
      </c>
      <c r="F13" s="17" t="s">
        <v>48</v>
      </c>
      <c r="G13" s="17" t="str">
        <f>IFERROR(__xludf.DUMMYFUNCTION("GOOGLETRANSLATE(C13,""en"",""or"")"),"ଏହି ଜମିକୁ କଣ ଭାବରେ ବର୍ଗୀକୃତ କରାଯାଇଛି?")</f>
        <v>ଏହି ଜମିକୁ କଣ ଭାବରେ ବର୍ଗୀକୃତ କରାଯାଇଛି?</v>
      </c>
      <c r="M13" s="24" t="s">
        <v>32</v>
      </c>
      <c r="Q13" s="23" t="s">
        <v>43</v>
      </c>
    </row>
    <row r="14">
      <c r="G14" s="17"/>
    </row>
    <row r="15" ht="12.75" customHeight="1">
      <c r="A15" s="22" t="s">
        <v>49</v>
      </c>
      <c r="B15" s="22" t="s">
        <v>50</v>
      </c>
      <c r="C15" s="16" t="s">
        <v>51</v>
      </c>
      <c r="D15" s="16" t="str">
        <f>IFERROR(__xludf.DUMMYFUNCTION("GOOGLETRANSLATE(C15, ""en"", ""hi"")"),"आप इस खेत में किस मौसम में फसल उगाते हैं?")</f>
        <v>आप इस खेत में किस मौसम में फसल उगाते हैं?</v>
      </c>
      <c r="E15" s="16" t="str">
        <f>IFERROR(__xludf.DUMMYFUNCTION("GOOGLETRANSLATE(C15, ""en"", ""gu"")"),"આ પેચમાં તમે કઈ પાક ઋતુઓનો અભ્યાસ કરો છો?")</f>
        <v>આ પેચમાં તમે કઈ પાક ઋતુઓનો અભ્યાસ કરો છો?</v>
      </c>
      <c r="F15" s="17" t="s">
        <v>52</v>
      </c>
      <c r="G15" s="17" t="str">
        <f>IFERROR(__xludf.DUMMYFUNCTION("GOOGLETRANSLATE(C15,""en"",""or"")"),"ଏହି ପ୍ୟାଚ୍‌ରେ ଆପଣ କେଉଁ ଫସଲ ଋତୁରେ ଅଭ୍ୟାସ କରନ୍ତି?")</f>
        <v>ଏହି ପ୍ୟାଚ୍‌ରେ ଆପଣ କେଉଁ ଫସଲ ଋତୁରେ ଅଭ୍ୟାସ କରନ୍ତି?</v>
      </c>
      <c r="M15" s="23" t="s">
        <v>32</v>
      </c>
      <c r="Q15" s="23" t="s">
        <v>53</v>
      </c>
    </row>
    <row r="16" ht="12.75" customHeight="1">
      <c r="A16" s="22" t="s">
        <v>54</v>
      </c>
      <c r="B16" s="22" t="s">
        <v>55</v>
      </c>
      <c r="C16" s="16" t="s">
        <v>56</v>
      </c>
      <c r="D16" s="16" t="s">
        <v>57</v>
      </c>
      <c r="E16" s="16" t="str">
        <f>IFERROR(__xludf.DUMMYFUNCTION("GOOGLETRANSLATE(C16, ""en"", ""gu"")"),"આ વિસ્તારમાં ખરીફ ઋતુ દરમિયાન કયા મુખ્ય પાક ઉગાડવામાં આવે છે? 
")</f>
        <v>આ વિસ્તારમાં ખરીફ ઋતુ દરમિયાન કયા મુખ્ય પાક ઉગાડવામાં આવે છે? 
</v>
      </c>
      <c r="F16" s="17" t="s">
        <v>58</v>
      </c>
      <c r="G16" s="17" t="str">
        <f>IFERROR(__xludf.DUMMYFUNCTION("GOOGLETRANSLATE(C16,""en"",""or"")"),"ଏହି ସ୍ଥାନରେ ଖରିଫ ଋତୁରେ ଚାଷ କରାଯାଉଥିବା ମୁଖ୍ୟ ଫସଲଗୁଡ଼ିକ କ’ଣ? 
")</f>
        <v>ଏହି ସ୍ଥାନରେ ଖରିଫ ଋତୁରେ ଚାଷ କରାଯାଉଥିବା ମୁଖ୍ୟ ଫସଲଗୁଡ଼ିକ କ’ଣ? 
</v>
      </c>
      <c r="M16" s="24" t="s">
        <v>32</v>
      </c>
      <c r="Q16" s="11" t="s">
        <v>59</v>
      </c>
    </row>
    <row r="17" ht="12.75" customHeight="1">
      <c r="A17" s="22" t="s">
        <v>60</v>
      </c>
      <c r="B17" s="22" t="s">
        <v>61</v>
      </c>
      <c r="C17" s="16" t="s">
        <v>62</v>
      </c>
      <c r="D17" s="16" t="str">
        <f>IFERROR(__xludf.DUMMYFUNCTION("GOOGLETRANSLATE(C17, ""en"", ""hi"")"),"खरीफ मौसम के दौरान खेती के अंतर्गत कुल क्षेत्रफल")</f>
        <v>खरीफ मौसम के दौरान खेती के अंतर्गत कुल क्षेत्रफल</v>
      </c>
      <c r="E17" s="16" t="str">
        <f>IFERROR(__xludf.DUMMYFUNCTION("GOOGLETRANSLATE(C17, ""en"", ""gu"")"),"ખરીફ ઋતુ દરમિયાન કુલ વાવેતર વિસ્તાર")</f>
        <v>ખરીફ ઋતુ દરમિયાન કુલ વાવેતર વિસ્તાર</v>
      </c>
      <c r="F17" s="17" t="s">
        <v>63</v>
      </c>
      <c r="G17" s="17" t="str">
        <f>IFERROR(__xludf.DUMMYFUNCTION("GOOGLETRANSLATE(C17,""en"",""or"")"),"ଖରିଫ ଋତୁରେ ମୋଟ ଚାଷ ଜମି")</f>
        <v>ଖରିଫ ଋତୁରେ ମୋଟ ଚାଷ ଜମି</v>
      </c>
      <c r="H17" s="23" t="s">
        <v>64</v>
      </c>
      <c r="I17" s="23" t="str">
        <f>IFERROR(__xludf.DUMMYFUNCTION("GOOGLETRANSLATE(H17, ""en"", ""hi"")"),"एकड़ में")</f>
        <v>एकड़ में</v>
      </c>
      <c r="J17" s="23" t="str">
        <f>IFERROR(__xludf.DUMMYFUNCTION("GOOGLETRANSLATE(H17, ""en"", ""gu"")"),"એકરમાં")</f>
        <v>એકરમાં</v>
      </c>
      <c r="K17" s="23" t="str">
        <f>IFERROR(__xludf.DUMMYFUNCTION("GOOGLETRANSLATE(H17, ""en"", ""kn"")"),"ಎಕರೆಗಳಲ್ಲಿ")</f>
        <v>ಎಕರೆಗಳಲ್ಲಿ</v>
      </c>
      <c r="L17" s="25" t="s">
        <v>65</v>
      </c>
      <c r="M17" s="24" t="s">
        <v>32</v>
      </c>
      <c r="Q17" s="11" t="s">
        <v>59</v>
      </c>
    </row>
    <row r="18" ht="12.75" customHeight="1">
      <c r="A18" s="22" t="s">
        <v>66</v>
      </c>
      <c r="B18" s="22" t="s">
        <v>67</v>
      </c>
      <c r="C18" s="16" t="s">
        <v>68</v>
      </c>
      <c r="D18" s="16" t="s">
        <v>69</v>
      </c>
      <c r="E18" s="16" t="str">
        <f>IFERROR(__xludf.DUMMYFUNCTION("GOOGLETRANSLATE(C18, ""en"", ""gu"")"),"આ વિસ્તારમાં રવિ સિઝન દરમિયાન કયા મુખ્ય પાક ઉગાડવામાં આવે છે?
")</f>
        <v>આ વિસ્તારમાં રવિ સિઝન દરમિયાન કયા મુખ્ય પાક ઉગાડવામાં આવે છે?
</v>
      </c>
      <c r="F18" s="17" t="s">
        <v>70</v>
      </c>
      <c r="G18" s="17" t="str">
        <f>IFERROR(__xludf.DUMMYFUNCTION("GOOGLETRANSLATE(C18,""en"",""or"")"),"ଏହି ସ୍ଥାନରେ ରବି ଋତୁରେ ଚାଷ କରାଯାଉଥିବା ମୁଖ୍ୟ ଫସଲଗୁଡ଼ିକ କ’ଣ?
")</f>
        <v>ଏହି ସ୍ଥାନରେ ରବି ଋତୁରେ ଚାଷ କରାଯାଉଥିବା ମୁଖ୍ୟ ଫସଲଗୁଡ଼ିକ କ’ଣ?
</v>
      </c>
      <c r="M18" s="24" t="s">
        <v>32</v>
      </c>
      <c r="Q18" s="11" t="s">
        <v>71</v>
      </c>
    </row>
    <row r="19" ht="12.75" customHeight="1">
      <c r="A19" s="22" t="s">
        <v>60</v>
      </c>
      <c r="B19" s="22" t="s">
        <v>72</v>
      </c>
      <c r="C19" s="16" t="s">
        <v>73</v>
      </c>
      <c r="D19" s="16" t="str">
        <f>IFERROR(__xludf.DUMMYFUNCTION("GOOGLETRANSLATE(C19, ""en"", ""hi"")"),"रबी मौसम के दौरान खेती के अंतर्गत आने वाला कुल क्षेत्रफल")</f>
        <v>रबी मौसम के दौरान खेती के अंतर्गत आने वाला कुल क्षेत्रफल</v>
      </c>
      <c r="E19" s="16" t="str">
        <f>IFERROR(__xludf.DUMMYFUNCTION("GOOGLETRANSLATE(C19, ""en"", ""gu"")"),"રવિ સિઝન દરમિયાન કુલ વાવેતર વિસ્તાર")</f>
        <v>રવિ સિઝન દરમિયાન કુલ વાવેતર વિસ્તાર</v>
      </c>
      <c r="F19" s="17" t="s">
        <v>74</v>
      </c>
      <c r="G19" s="17" t="str">
        <f>IFERROR(__xludf.DUMMYFUNCTION("GOOGLETRANSLATE(C19,""en"",""or"")"),"ରବି ଋତୁରେ ମୋଟ ଚାଷ ଜମି")</f>
        <v>ରବି ଋତୁରେ ମୋଟ ଚାଷ ଜମି</v>
      </c>
      <c r="H19" s="23" t="s">
        <v>64</v>
      </c>
      <c r="I19" s="23" t="str">
        <f>IFERROR(__xludf.DUMMYFUNCTION("GOOGLETRANSLATE(H19, ""en"", ""hi"")"),"एकड़ में")</f>
        <v>एकड़ में</v>
      </c>
      <c r="J19" s="23" t="str">
        <f>IFERROR(__xludf.DUMMYFUNCTION("GOOGLETRANSLATE(H19, ""en"", ""gu"")"),"એકરમાં")</f>
        <v>એકરમાં</v>
      </c>
      <c r="K19" s="23" t="str">
        <f>IFERROR(__xludf.DUMMYFUNCTION("GOOGLETRANSLATE(H19, ""en"", ""kn"")"),"ಎಕರೆಗಳಲ್ಲಿ")</f>
        <v>ಎಕರೆಗಳಲ್ಲಿ</v>
      </c>
      <c r="L19" s="25" t="s">
        <v>65</v>
      </c>
      <c r="M19" s="24" t="s">
        <v>32</v>
      </c>
      <c r="Q19" s="11" t="s">
        <v>71</v>
      </c>
    </row>
    <row r="20" ht="12.75" customHeight="1">
      <c r="A20" s="22" t="s">
        <v>75</v>
      </c>
      <c r="B20" s="22" t="s">
        <v>76</v>
      </c>
      <c r="C20" s="16" t="s">
        <v>77</v>
      </c>
      <c r="D20" s="16" t="s">
        <v>78</v>
      </c>
      <c r="E20" s="16" t="str">
        <f>IFERROR(__xludf.DUMMYFUNCTION("GOOGLETRANSLATE(C20, ""en"", ""gu"")"),"આ વિસ્તારમાં ઝૈદ સિઝન દરમિયાન કયા મુખ્ય પાક ઉગાડવામાં આવે છે?")</f>
        <v>આ વિસ્તારમાં ઝૈદ સિઝન દરમિયાન કયા મુખ્ય પાક ઉગાડવામાં આવે છે?</v>
      </c>
      <c r="F20" s="17" t="s">
        <v>79</v>
      </c>
      <c r="G20" s="17" t="str">
        <f>IFERROR(__xludf.DUMMYFUNCTION("GOOGLETRANSLATE(C20,""en"",""or"")"),"ଏହି ପ୍ୟାଚ୍‌ରେ ଜୈଦ ଋତୁରେ ଚାଷ କରାଯାଉଥିବା ମୁଖ୍ୟ ଫସଲଗୁଡ଼ିକ କ’ଣ?")</f>
        <v>ଏହି ପ୍ୟାଚ୍‌ରେ ଜୈଦ ଋତୁରେ ଚାଷ କରାଯାଉଥିବା ମୁଖ୍ୟ ଫସଲଗୁଡ଼ିକ କ’ଣ?</v>
      </c>
      <c r="M20" s="24" t="s">
        <v>32</v>
      </c>
      <c r="Q20" s="11" t="s">
        <v>80</v>
      </c>
    </row>
    <row r="21" ht="12.75" customHeight="1">
      <c r="A21" s="22" t="s">
        <v>60</v>
      </c>
      <c r="B21" s="22" t="s">
        <v>81</v>
      </c>
      <c r="C21" s="17" t="s">
        <v>82</v>
      </c>
      <c r="D21" s="16" t="str">
        <f>IFERROR(__xludf.DUMMYFUNCTION("GOOGLETRANSLATE(C21, ""en"", ""hi"")"),"ज़ैद के मौसम के दौरान खेती के अंतर्गत आने वाला कुल क्षेत्रफल")</f>
        <v>ज़ैद के मौसम के दौरान खेती के अंतर्गत आने वाला कुल क्षेत्रफल</v>
      </c>
      <c r="E21" s="16" t="str">
        <f>IFERROR(__xludf.DUMMYFUNCTION("GOOGLETRANSLATE(C21, ""en"", ""gu"")"),"ઝૈદ સિઝન દરમિયાન કુલ વાવેતર વિસ્તાર")</f>
        <v>ઝૈદ સિઝન દરમિયાન કુલ વાવેતર વિસ્તાર</v>
      </c>
      <c r="F21" s="17" t="s">
        <v>83</v>
      </c>
      <c r="G21" s="17" t="str">
        <f>IFERROR(__xludf.DUMMYFUNCTION("GOOGLETRANSLATE(C21,""en"",""or"")"),"ଜାଇଦ ଋତୁରେ ମୋଟ ଚାଷ ଜମି")</f>
        <v>ଜାଇଦ ଋତୁରେ ମୋଟ ଚାଷ ଜମି</v>
      </c>
      <c r="H21" s="23" t="s">
        <v>64</v>
      </c>
      <c r="I21" s="23" t="str">
        <f>IFERROR(__xludf.DUMMYFUNCTION("GOOGLETRANSLATE(H21, ""en"", ""hi"")"),"एकड़ में")</f>
        <v>एकड़ में</v>
      </c>
      <c r="J21" s="23" t="str">
        <f>IFERROR(__xludf.DUMMYFUNCTION("GOOGLETRANSLATE(H21, ""en"", ""gu"")"),"એકરમાં")</f>
        <v>એકરમાં</v>
      </c>
      <c r="K21" s="23" t="str">
        <f>IFERROR(__xludf.DUMMYFUNCTION("GOOGLETRANSLATE(H21, ""en"", ""kn"")"),"ಎಕರೆಗಳಲ್ಲಿ")</f>
        <v>ಎಕರೆಗಳಲ್ಲಿ</v>
      </c>
      <c r="L21" s="25" t="s">
        <v>65</v>
      </c>
      <c r="M21" s="24" t="s">
        <v>32</v>
      </c>
      <c r="Q21" s="11" t="s">
        <v>80</v>
      </c>
    </row>
    <row r="22" ht="15.75" customHeight="1">
      <c r="A22" s="22" t="s">
        <v>84</v>
      </c>
      <c r="B22" s="22" t="s">
        <v>85</v>
      </c>
      <c r="C22" s="17" t="s">
        <v>86</v>
      </c>
      <c r="D22" s="16" t="s">
        <v>87</v>
      </c>
      <c r="E22" s="16" t="str">
        <f>IFERROR(__xludf.DUMMYFUNCTION("GOOGLETRANSLATE(C22, ""en"", ""gu"")"),"છેલ્લા ૩ વર્ષમાં પાકની તીવ્રતામાં કેટલો ફેરફાર થયો છે?")</f>
        <v>છેલ્લા ૩ વર્ષમાં પાકની તીવ્રતામાં કેટલો ફેરફાર થયો છે?</v>
      </c>
      <c r="F22" s="17" t="s">
        <v>88</v>
      </c>
      <c r="G22" s="17" t="str">
        <f>IFERROR(__xludf.DUMMYFUNCTION("GOOGLETRANSLATE(C22,""en"",""or"")"),"ଗତ 3 ବର୍ଷ ମଧ୍ୟରେ ଫସଲର ତୀବ୍ରତା କିପରି ପରିବର୍ତ୍ତନ ହୋଇଛି?")</f>
        <v>ଗତ 3 ବର୍ଷ ମଧ୍ୟରେ ଫସଲର ତୀବ୍ରତା କିପରି ପରିବର୍ତ୍ତନ ହୋଇଛି?</v>
      </c>
      <c r="M22" s="23" t="s">
        <v>32</v>
      </c>
      <c r="Q22" s="23" t="s">
        <v>53</v>
      </c>
    </row>
    <row r="23" ht="15.0" customHeight="1">
      <c r="A23" s="15" t="s">
        <v>33</v>
      </c>
      <c r="B23" s="22" t="s">
        <v>89</v>
      </c>
      <c r="C23" s="17" t="s">
        <v>90</v>
      </c>
      <c r="D23" s="16" t="s">
        <v>91</v>
      </c>
      <c r="E23" s="16" t="str">
        <f>IFERROR(__xludf.DUMMYFUNCTION("GOOGLETRANSLATE(C23, ""en"", ""gu"")"),"શું આ પેચમાં છેલ્લા 3 વર્ષમાં માટી ખરાબ થઈ ગઈ છે?")</f>
        <v>શું આ પેચમાં છેલ્લા 3 વર્ષમાં માટી ખરાબ થઈ ગઈ છે?</v>
      </c>
      <c r="F23" s="17" t="s">
        <v>92</v>
      </c>
      <c r="G23" s="17" t="str">
        <f>IFERROR(__xludf.DUMMYFUNCTION("GOOGLETRANSLATE(C23,""en"",""or"")"),"ଏହି ପ୍ୟାଚ୍‌ରେ ଗତ 3 ବର୍ଷ ମଧ୍ୟରେ ମାଟି କ୍ଷୟ ହୋଇଛି କି?")</f>
        <v>ଏହି ପ୍ୟାଚ୍‌ରେ ଗତ 3 ବର୍ଷ ମଧ୍ୟରେ ମାଟି କ୍ଷୟ ହୋଇଛି କି?</v>
      </c>
      <c r="M23" s="23" t="s">
        <v>32</v>
      </c>
      <c r="Q23" s="23" t="s">
        <v>93</v>
      </c>
    </row>
    <row r="24" ht="12.75" customHeight="1">
      <c r="A24" s="26" t="s">
        <v>94</v>
      </c>
      <c r="B24" s="26" t="s">
        <v>95</v>
      </c>
      <c r="C24" s="27" t="s">
        <v>96</v>
      </c>
      <c r="D24" s="27" t="s">
        <v>97</v>
      </c>
      <c r="E24" s="27" t="str">
        <f>IFERROR(__xludf.DUMMYFUNCTION("GOOGLETRANSLATE(C24, ""en"", ""gu"")"),"જો અધોગતિ થાય છે, તો અધોગતિના કારણો શું છે?")</f>
        <v>જો અધોગતિ થાય છે, તો અધોગતિના કારણો શું છે?</v>
      </c>
      <c r="F24" s="28" t="s">
        <v>98</v>
      </c>
      <c r="G24" s="17" t="str">
        <f>IFERROR(__xludf.DUMMYFUNCTION("GOOGLETRANSLATE(C24,""en"",""or"")"),"ଯଦି ଅବନତି ହୋଇଛି, ତେବେ ଅବନତିର କାରଣ କ'ଣ?")</f>
        <v>ଯଦି ଅବନତି ହୋଇଛି, ତେବେ ଅବନତିର କାରଣ କ'ଣ?</v>
      </c>
      <c r="H24" s="29"/>
      <c r="I24" s="29"/>
      <c r="J24" s="29"/>
      <c r="K24" s="29"/>
      <c r="L24" s="29"/>
      <c r="M24" s="29"/>
      <c r="N24" s="29"/>
      <c r="O24" s="29"/>
      <c r="P24" s="29"/>
      <c r="Q24" s="29" t="s">
        <v>99</v>
      </c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</row>
    <row r="25" ht="12.75" customHeight="1">
      <c r="A25" s="22" t="s">
        <v>100</v>
      </c>
      <c r="B25" s="22" t="s">
        <v>101</v>
      </c>
      <c r="C25" s="16" t="s">
        <v>96</v>
      </c>
      <c r="D25" s="16" t="s">
        <v>97</v>
      </c>
      <c r="E25" s="16" t="str">
        <f>IFERROR(__xludf.DUMMYFUNCTION("GOOGLETRANSLATE(C25, ""en"", ""gu"")"),"જો અધોગતિ થાય છે, તો અધોગતિના કારણો શું છે?")</f>
        <v>જો અધોગતિ થાય છે, તો અધોગતિના કારણો શું છે?</v>
      </c>
      <c r="F25" s="17" t="s">
        <v>98</v>
      </c>
      <c r="G25" s="17" t="str">
        <f>IFERROR(__xludf.DUMMYFUNCTION("GOOGLETRANSLATE(C25,""en"",""or"")"),"ଯଦି ଅବନତି ହୋଇଛି, ତେବେ ଅବନତିର କାରଣ କ'ଣ?")</f>
        <v>ଯଦି ଅବନତି ହୋଇଛି, ତେବେ ଅବନତିର କାରଣ କ'ଣ?</v>
      </c>
      <c r="M25" s="23" t="s">
        <v>32</v>
      </c>
      <c r="Q25" s="23" t="s">
        <v>102</v>
      </c>
    </row>
    <row r="26" ht="12.75" customHeight="1">
      <c r="A26" s="22" t="s">
        <v>23</v>
      </c>
      <c r="B26" s="22" t="s">
        <v>103</v>
      </c>
      <c r="C26" s="30" t="s">
        <v>104</v>
      </c>
      <c r="D26" s="17" t="s">
        <v>105</v>
      </c>
      <c r="E26" s="17" t="str">
        <f>IFERROR(__xludf.DUMMYFUNCTION("GOOGLETRANSLATE(D26, ""hi"", ""gu"")"),"&lt;span style=""color:red""&gt;આનાથી આગળ કંઈપણ બદલશો નહીં અને તમારો ફોર્મ ડેટા સબમિટ કરો&lt;/span&gt;")</f>
        <v>&lt;span style="color:red"&gt;આનાથી આગળ કંઈપણ બદલશો નહીં અને તમારો ફોર્મ ડેટા સબમિટ કરો&lt;/span&gt;</v>
      </c>
      <c r="F26" s="17" t="s">
        <v>106</v>
      </c>
      <c r="G26" s="17" t="str">
        <f>IFERROR(__xludf.DUMMYFUNCTION("GOOGLETRANSLATE(C26,""en"",""or"")"),"&lt;span style=""font-size: large; font-weight: bold; color:red;""&gt; ଏହି ବିନ୍ଦୁ ବ୍ୟତୀତ ଅନ୍ୟ କିଛି ପରିବର୍ତ୍ତନ କରନ୍ତୁ ନାହିଁ ଏବଂ ଆପଣଙ୍କର ଫର୍ମ ଡାଟା ଦାଖଲ କରନ୍ତୁ&lt;/span&gt;")</f>
        <v>&lt;span style="font-size: large; font-weight: bold; color:red;"&gt; ଏହି ବିନ୍ଦୁ ବ୍ୟତୀତ ଅନ୍ୟ କିଛି ପରିବର୍ତ୍ତନ କରନ୍ତୁ ନାହିଁ ଏବଂ ଆପଣଙ୍କର ଫର୍ମ ଡାଟା ଦାଖଲ କରନ୍ତୁ&lt;/span&gt;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</row>
    <row r="27" ht="12.75" customHeight="1">
      <c r="A27" s="22" t="s">
        <v>107</v>
      </c>
      <c r="B27" s="22" t="s">
        <v>108</v>
      </c>
      <c r="C27" s="31" t="s">
        <v>109</v>
      </c>
      <c r="D27" s="32" t="s">
        <v>110</v>
      </c>
      <c r="E27" s="31" t="str">
        <f>IFERROR(__xludf.DUMMYFUNCTION("GOOGLETRANSLATE(D27, ""hi"", ""gu"")"),"અક્ષાંશ રેખાંશ")</f>
        <v>અક્ષાંશ રેખાંશ</v>
      </c>
      <c r="F27" s="31" t="s">
        <v>111</v>
      </c>
      <c r="G27" s="11" t="str">
        <f>IFERROR(__xludf.DUMMYFUNCTION("GOOGLETRANSLATE(C27,""en"",""or"")"),"ଅକ୍ଷାଂଶ/ଲୋନ")</f>
        <v>ଅକ୍ଷାଂଶ/ଲୋନ</v>
      </c>
      <c r="H27" s="11"/>
      <c r="I27" s="11"/>
      <c r="J27" s="11"/>
      <c r="K27" s="11"/>
      <c r="L27" s="11" t="s">
        <v>112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</row>
    <row r="28" ht="12.75" customHeight="1">
      <c r="A28" s="33" t="s">
        <v>23</v>
      </c>
      <c r="B28" s="34" t="s">
        <v>103</v>
      </c>
      <c r="C28" s="31" t="s">
        <v>113</v>
      </c>
      <c r="D28" s="30" t="s">
        <v>114</v>
      </c>
      <c r="E28" s="17" t="str">
        <f>IFERROR(__xludf.DUMMYFUNCTION("GOOGLETRANSLATE(D28, ""hi"", ""gu"")"),"&lt;span style=""color:red""&gt;કૃપા કરીને નીચેના નકશામાં ભટકશો નહીં&lt;/span&gt;")</f>
        <v>&lt;span style="color:red"&gt;કૃપા કરીને નીચેના નકશામાં ભટકશો નહીં&lt;/span&gt;</v>
      </c>
      <c r="F28" s="31" t="s">
        <v>115</v>
      </c>
      <c r="G28" s="11" t="str">
        <f>IFERROR(__xludf.DUMMYFUNCTION("GOOGLETRANSLATE(C28,""en"",""or"")"),"&lt;span style=""color:red""&gt;ଦୟାକରି ତଳେ ଥିବା ମାନଚିତ୍ରରେ ଏଣେତେଣେ ବୁଲି ଦେଖନ୍ତୁ ନାହିଁ&lt;/span&gt;")</f>
        <v>&lt;span style="color:red"&gt;ଦୟାକରି ତଳେ ଥିବା ମାନଚିତ୍ରରେ ଏଣେତେଣେ ବୁଲି ଦେଖନ୍ତୁ ନାହିଁ&lt;/span&gt;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</row>
    <row r="29" ht="12.75" customHeight="1">
      <c r="A29" s="22" t="s">
        <v>116</v>
      </c>
      <c r="B29" s="22" t="s">
        <v>117</v>
      </c>
      <c r="C29" s="11"/>
      <c r="D29" s="11"/>
      <c r="E29" s="11"/>
      <c r="F29" s="11"/>
      <c r="G29" s="11"/>
      <c r="H29" s="31" t="s">
        <v>116</v>
      </c>
      <c r="I29" s="31" t="s">
        <v>118</v>
      </c>
      <c r="J29" s="31" t="str">
        <f>IFERROR(__xludf.DUMMYFUNCTION("GOOGLETRANSLATE(H29, ""en"", ""gu"")"),"જીઓપોઇન્ટ")</f>
        <v>જીઓપોઇન્ટ</v>
      </c>
      <c r="K29" s="31" t="str">
        <f>IFERROR(__xludf.DUMMYFUNCTION("GOOGLETRANSLATE(H29, ""en"", ""kn"")"),"ಜಿಯೋಪಾಯಿಂಟ್")</f>
        <v>ಜಿಯೋಪಾಯಿಂಟ್</v>
      </c>
      <c r="L29" s="11" t="s">
        <v>119</v>
      </c>
      <c r="M29" s="11" t="s">
        <v>32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</row>
    <row r="30" ht="12.75" customHeight="1">
      <c r="A30" s="22" t="s">
        <v>120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</row>
    <row r="31" ht="12.75" customHeight="1">
      <c r="A31" s="22" t="s">
        <v>28</v>
      </c>
      <c r="B31" s="35" t="s">
        <v>121</v>
      </c>
      <c r="C31" s="36" t="s">
        <v>122</v>
      </c>
      <c r="D31" s="37" t="s">
        <v>123</v>
      </c>
      <c r="E31" s="16" t="str">
        <f>IFERROR(__xludf.DUMMYFUNCTION("GOOGLETRANSLATE(C31, ""en"", ""gu"")"),"બ્લોકનું નામ")</f>
        <v>બ્લોકનું નામ</v>
      </c>
      <c r="F31" s="17" t="s">
        <v>124</v>
      </c>
      <c r="G31" s="17" t="str">
        <f>IFERROR(__xludf.DUMMYFUNCTION("GOOGLETRANSLATE(C31,""en"",""or"")"),"ବ୍ଲକ୍ ନାମ")</f>
        <v>ବ୍ଲକ୍ ନାମ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</row>
    <row r="32" ht="12.75" customHeight="1">
      <c r="A32" s="18" t="s">
        <v>28</v>
      </c>
      <c r="B32" s="18" t="s">
        <v>125</v>
      </c>
      <c r="C32" s="19" t="s">
        <v>126</v>
      </c>
      <c r="D32" s="16" t="s">
        <v>127</v>
      </c>
      <c r="E32" s="16" t="str">
        <f>IFERROR(__xludf.DUMMYFUNCTION("GOOGLETRANSLATE(C32, ""en"", ""gu"")"),"ક્રોપ ગ્રીડ ID")</f>
        <v>ક્રોપ ગ્રીડ ID</v>
      </c>
      <c r="F32" s="17" t="s">
        <v>128</v>
      </c>
      <c r="G32" s="17" t="str">
        <f>IFERROR(__xludf.DUMMYFUNCTION("GOOGLETRANSLATE(C32,""en"",""or"")"),"କ୍ରପ୍ ଗ୍ରିଡ୍ ID")</f>
        <v>କ୍ରପ୍ ଗ୍ରିଡ୍ ID</v>
      </c>
      <c r="H32" s="19"/>
      <c r="I32" s="19"/>
      <c r="J32" s="19"/>
      <c r="K32" s="19"/>
      <c r="L32" s="19"/>
      <c r="M32" s="19"/>
      <c r="N32" s="19"/>
      <c r="O32" s="19"/>
      <c r="P32" s="20"/>
      <c r="Q32" s="19"/>
      <c r="R32" s="10"/>
      <c r="S32" s="10"/>
    </row>
    <row r="33" ht="12.75" customHeight="1">
      <c r="A33" s="21" t="s">
        <v>28</v>
      </c>
      <c r="B33" s="21" t="s">
        <v>129</v>
      </c>
      <c r="C33" s="16" t="s">
        <v>130</v>
      </c>
      <c r="D33" s="16" t="s">
        <v>131</v>
      </c>
      <c r="E33" s="16" t="str">
        <f>IFERROR(__xludf.DUMMYFUNCTION("GOOGLETRANSLATE(C33, ""en"", ""gu"")"),"પ્લાન ID")</f>
        <v>પ્લાન ID</v>
      </c>
      <c r="F33" s="17" t="s">
        <v>132</v>
      </c>
      <c r="G33" s="17" t="str">
        <f>IFERROR(__xludf.DUMMYFUNCTION("GOOGLETRANSLATE(C33,""en"",""or"")"),"ପ୍ଲାନ୍ ID")</f>
        <v>ପ୍ଲାନ୍ ID</v>
      </c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</row>
    <row r="34" ht="12.75" customHeight="1">
      <c r="A34" s="21" t="s">
        <v>28</v>
      </c>
      <c r="B34" s="21" t="s">
        <v>133</v>
      </c>
      <c r="C34" s="16" t="s">
        <v>134</v>
      </c>
      <c r="D34" s="16" t="s">
        <v>135</v>
      </c>
      <c r="E34" s="16" t="str">
        <f>IFERROR(__xludf.DUMMYFUNCTION("GOOGLETRANSLATE(C34, ""en"", ""gu"")"),"યોજનાનું નામ")</f>
        <v>યોજનાનું નામ</v>
      </c>
      <c r="F34" s="17" t="s">
        <v>136</v>
      </c>
      <c r="G34" s="17" t="str">
        <f>IFERROR(__xludf.DUMMYFUNCTION("GOOGLETRANSLATE(C34,""en"",""or"")"),"ଯୋଜନାର ନାମ")</f>
        <v>ଯୋଜନାର ନାମ</v>
      </c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</row>
    <row r="35" ht="12.75" customHeight="1">
      <c r="A35" s="35" t="s">
        <v>28</v>
      </c>
      <c r="B35" s="35" t="s">
        <v>137</v>
      </c>
      <c r="C35" s="17" t="s">
        <v>138</v>
      </c>
      <c r="D35" s="38" t="s">
        <v>139</v>
      </c>
      <c r="E35" s="16" t="str">
        <f>IFERROR(__xludf.DUMMYFUNCTION("GOOGLETRANSLATE(C35, ""en"", ""gu"")"),"વપરાશકર્તાનું વર્તમાન સ્થાન")</f>
        <v>વપરાશકર્તાનું વર્તમાન સ્થાન</v>
      </c>
      <c r="F35" s="17" t="s">
        <v>140</v>
      </c>
      <c r="G35" s="17" t="str">
        <f>IFERROR(__xludf.DUMMYFUNCTION("GOOGLETRANSLATE(C35,""en"",""or"")"),"ଉପଯୋଗକର୍ତ୍ତାଙ୍କ ବର୍ତ୍ତମାନର ସ୍ଥାନ")</f>
        <v>ଉପଯୋଗକର୍ତ୍ତାଙ୍କ ବର୍ତ୍ତମାନର ସ୍ଥାନ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</row>
    <row r="36" ht="12.75" customHeight="1">
      <c r="A36" s="39"/>
      <c r="B36" s="39"/>
      <c r="C36" s="40"/>
      <c r="D36" s="10"/>
      <c r="E36" s="10"/>
      <c r="F36" s="11"/>
      <c r="G36" s="11"/>
    </row>
    <row r="37" ht="12.75" customHeight="1">
      <c r="A37" s="39"/>
      <c r="B37" s="39"/>
      <c r="C37" s="40"/>
      <c r="D37" s="10"/>
      <c r="E37" s="10"/>
      <c r="F37" s="11"/>
      <c r="G37" s="11"/>
    </row>
    <row r="38" ht="12.75" customHeight="1">
      <c r="A38" s="39"/>
      <c r="B38" s="39"/>
      <c r="C38" s="40"/>
      <c r="D38" s="10"/>
      <c r="E38" s="10"/>
      <c r="F38" s="11"/>
      <c r="G38" s="11"/>
    </row>
    <row r="39" ht="12.75" customHeight="1">
      <c r="A39" s="39"/>
      <c r="B39" s="39"/>
      <c r="C39" s="40"/>
      <c r="D39" s="10"/>
      <c r="E39" s="10"/>
      <c r="F39" s="11"/>
      <c r="G39" s="11"/>
    </row>
    <row r="40" ht="12.75" customHeight="1">
      <c r="A40" s="39"/>
      <c r="B40" s="39"/>
      <c r="C40" s="40"/>
      <c r="D40" s="10"/>
      <c r="E40" s="10"/>
      <c r="F40" s="11"/>
      <c r="G40" s="11"/>
    </row>
    <row r="41" ht="12.75" customHeight="1">
      <c r="A41" s="39"/>
      <c r="B41" s="39"/>
      <c r="C41" s="40"/>
      <c r="D41" s="10"/>
      <c r="E41" s="10"/>
      <c r="F41" s="11"/>
      <c r="G41" s="11"/>
    </row>
    <row r="42" ht="12.75" customHeight="1">
      <c r="A42" s="39"/>
      <c r="B42" s="39"/>
      <c r="C42" s="40"/>
      <c r="D42" s="10"/>
      <c r="E42" s="10"/>
      <c r="F42" s="11"/>
      <c r="G42" s="11"/>
    </row>
    <row r="43" ht="12.75" customHeight="1">
      <c r="A43" s="39"/>
      <c r="B43" s="39"/>
      <c r="C43" s="40"/>
      <c r="D43" s="10"/>
      <c r="E43" s="10"/>
      <c r="F43" s="11"/>
      <c r="G43" s="11"/>
    </row>
    <row r="44" ht="12.75" customHeight="1">
      <c r="A44" s="39"/>
      <c r="B44" s="39"/>
      <c r="C44" s="40"/>
      <c r="D44" s="10"/>
      <c r="E44" s="10"/>
      <c r="F44" s="11"/>
      <c r="G44" s="11"/>
    </row>
    <row r="45" ht="12.75" customHeight="1">
      <c r="A45" s="39"/>
      <c r="B45" s="39"/>
      <c r="C45" s="40"/>
      <c r="D45" s="10"/>
      <c r="E45" s="10"/>
      <c r="F45" s="11"/>
      <c r="G45" s="11"/>
    </row>
    <row r="46" ht="12.75" customHeight="1">
      <c r="A46" s="39"/>
      <c r="B46" s="39"/>
      <c r="C46" s="40"/>
      <c r="D46" s="10"/>
      <c r="E46" s="10"/>
      <c r="F46" s="11"/>
      <c r="G46" s="11"/>
    </row>
    <row r="47" ht="12.75" customHeight="1">
      <c r="A47" s="39"/>
      <c r="B47" s="39"/>
      <c r="C47" s="40"/>
      <c r="D47" s="10"/>
      <c r="E47" s="10"/>
      <c r="F47" s="11"/>
      <c r="G47" s="11"/>
    </row>
    <row r="48" ht="12.75" customHeight="1">
      <c r="A48" s="39"/>
      <c r="B48" s="39"/>
      <c r="C48" s="40"/>
      <c r="D48" s="10"/>
      <c r="E48" s="10"/>
      <c r="F48" s="11"/>
      <c r="G48" s="11"/>
    </row>
    <row r="49" ht="12.75" customHeight="1">
      <c r="A49" s="39"/>
      <c r="B49" s="39"/>
      <c r="C49" s="40"/>
      <c r="D49" s="10"/>
      <c r="E49" s="10"/>
      <c r="F49" s="11"/>
      <c r="G49" s="11"/>
    </row>
    <row r="50" ht="12.75" customHeight="1">
      <c r="A50" s="39"/>
      <c r="B50" s="39"/>
      <c r="C50" s="40"/>
      <c r="D50" s="10"/>
      <c r="E50" s="10"/>
      <c r="F50" s="11"/>
      <c r="G50" s="11"/>
    </row>
    <row r="51" ht="12.75" customHeight="1">
      <c r="A51" s="39"/>
      <c r="B51" s="39"/>
      <c r="C51" s="40"/>
      <c r="D51" s="10"/>
      <c r="E51" s="10"/>
      <c r="F51" s="11"/>
      <c r="G51" s="11"/>
    </row>
    <row r="52" ht="12.75" customHeight="1">
      <c r="A52" s="39"/>
      <c r="B52" s="39"/>
      <c r="C52" s="40"/>
      <c r="D52" s="10"/>
      <c r="E52" s="10"/>
      <c r="F52" s="11"/>
      <c r="G52" s="11"/>
    </row>
    <row r="53" ht="12.75" customHeight="1">
      <c r="A53" s="39"/>
      <c r="B53" s="39"/>
      <c r="C53" s="40"/>
      <c r="D53" s="10"/>
      <c r="E53" s="10"/>
      <c r="F53" s="11"/>
      <c r="G53" s="11"/>
    </row>
    <row r="54" ht="12.75" customHeight="1">
      <c r="A54" s="39"/>
      <c r="B54" s="39"/>
      <c r="C54" s="40"/>
      <c r="D54" s="10"/>
      <c r="E54" s="10"/>
      <c r="F54" s="11"/>
      <c r="G54" s="11"/>
    </row>
    <row r="55" ht="12.75" customHeight="1">
      <c r="A55" s="39"/>
      <c r="B55" s="39"/>
      <c r="C55" s="40"/>
      <c r="D55" s="10"/>
      <c r="E55" s="10"/>
      <c r="F55" s="11"/>
      <c r="G55" s="11"/>
    </row>
    <row r="56" ht="12.75" customHeight="1">
      <c r="A56" s="39"/>
      <c r="B56" s="39"/>
      <c r="C56" s="40"/>
      <c r="D56" s="10"/>
      <c r="E56" s="10"/>
      <c r="F56" s="11"/>
      <c r="G56" s="11"/>
    </row>
    <row r="57" ht="12.75" customHeight="1">
      <c r="A57" s="39"/>
      <c r="B57" s="39"/>
      <c r="C57" s="40"/>
      <c r="D57" s="10"/>
      <c r="E57" s="10"/>
      <c r="F57" s="11"/>
      <c r="G57" s="11"/>
    </row>
    <row r="58" ht="12.75" customHeight="1">
      <c r="A58" s="39"/>
      <c r="B58" s="39"/>
      <c r="C58" s="40"/>
      <c r="D58" s="10"/>
      <c r="E58" s="10"/>
      <c r="F58" s="11"/>
      <c r="G58" s="11"/>
    </row>
    <row r="59" ht="12.75" customHeight="1">
      <c r="A59" s="39"/>
      <c r="B59" s="39"/>
      <c r="C59" s="40"/>
      <c r="D59" s="10"/>
      <c r="E59" s="10"/>
      <c r="F59" s="11"/>
      <c r="G59" s="11"/>
    </row>
    <row r="60" ht="12.75" customHeight="1">
      <c r="A60" s="39"/>
      <c r="B60" s="39"/>
      <c r="C60" s="40"/>
      <c r="D60" s="10"/>
      <c r="E60" s="10"/>
      <c r="F60" s="11"/>
      <c r="G60" s="11"/>
    </row>
    <row r="61" ht="12.75" customHeight="1">
      <c r="A61" s="39"/>
      <c r="B61" s="39"/>
      <c r="C61" s="40"/>
      <c r="D61" s="10"/>
      <c r="E61" s="10"/>
      <c r="F61" s="11"/>
      <c r="G61" s="11"/>
    </row>
    <row r="62" ht="12.75" customHeight="1">
      <c r="A62" s="39"/>
      <c r="B62" s="39"/>
      <c r="C62" s="40"/>
      <c r="D62" s="10"/>
      <c r="E62" s="10"/>
      <c r="F62" s="11"/>
      <c r="G62" s="11"/>
    </row>
    <row r="63" ht="12.75" customHeight="1">
      <c r="A63" s="39"/>
      <c r="B63" s="39"/>
      <c r="C63" s="40"/>
      <c r="D63" s="10"/>
      <c r="E63" s="10"/>
      <c r="F63" s="11"/>
      <c r="G63" s="11"/>
    </row>
    <row r="64" ht="12.75" customHeight="1">
      <c r="A64" s="39"/>
      <c r="B64" s="39"/>
      <c r="C64" s="40"/>
      <c r="D64" s="10"/>
      <c r="E64" s="10"/>
      <c r="F64" s="11"/>
      <c r="G64" s="11"/>
    </row>
    <row r="65" ht="12.75" customHeight="1">
      <c r="A65" s="39"/>
      <c r="B65" s="39"/>
      <c r="C65" s="40"/>
      <c r="D65" s="10"/>
      <c r="E65" s="10"/>
      <c r="F65" s="11"/>
      <c r="G65" s="11"/>
    </row>
    <row r="66" ht="12.75" customHeight="1">
      <c r="A66" s="39"/>
      <c r="B66" s="39"/>
      <c r="C66" s="40"/>
      <c r="D66" s="10"/>
      <c r="E66" s="10"/>
      <c r="F66" s="11"/>
      <c r="G66" s="11"/>
    </row>
    <row r="67" ht="12.75" customHeight="1">
      <c r="A67" s="39"/>
      <c r="B67" s="39"/>
      <c r="C67" s="40"/>
      <c r="D67" s="10"/>
      <c r="E67" s="10"/>
      <c r="F67" s="11"/>
      <c r="G67" s="11"/>
    </row>
    <row r="68" ht="12.75" customHeight="1">
      <c r="A68" s="39"/>
      <c r="B68" s="39"/>
      <c r="C68" s="40"/>
      <c r="D68" s="10"/>
      <c r="E68" s="10"/>
      <c r="F68" s="11"/>
      <c r="G68" s="11"/>
    </row>
    <row r="69" ht="12.75" customHeight="1">
      <c r="A69" s="39"/>
      <c r="B69" s="39"/>
      <c r="C69" s="40"/>
      <c r="D69" s="10"/>
      <c r="E69" s="10"/>
      <c r="F69" s="11"/>
      <c r="G69" s="11"/>
    </row>
    <row r="70" ht="12.75" customHeight="1">
      <c r="A70" s="39"/>
      <c r="B70" s="39"/>
      <c r="C70" s="40"/>
      <c r="D70" s="10"/>
      <c r="E70" s="10"/>
      <c r="F70" s="11"/>
      <c r="G70" s="11"/>
    </row>
    <row r="71" ht="12.75" customHeight="1">
      <c r="A71" s="39"/>
      <c r="B71" s="39"/>
      <c r="C71" s="40"/>
      <c r="D71" s="10"/>
      <c r="E71" s="10"/>
      <c r="F71" s="11"/>
      <c r="G71" s="11"/>
    </row>
    <row r="72" ht="12.75" customHeight="1">
      <c r="A72" s="39"/>
      <c r="B72" s="39"/>
      <c r="C72" s="40"/>
      <c r="D72" s="10"/>
      <c r="E72" s="10"/>
      <c r="F72" s="11"/>
      <c r="G72" s="11"/>
    </row>
    <row r="73" ht="12.75" customHeight="1">
      <c r="A73" s="39"/>
      <c r="B73" s="39"/>
      <c r="C73" s="40"/>
      <c r="D73" s="10"/>
      <c r="E73" s="10"/>
      <c r="F73" s="11"/>
      <c r="G73" s="11"/>
    </row>
    <row r="74" ht="12.75" customHeight="1">
      <c r="A74" s="39"/>
      <c r="B74" s="39"/>
      <c r="C74" s="40"/>
      <c r="D74" s="10"/>
      <c r="E74" s="10"/>
      <c r="F74" s="11"/>
      <c r="G74" s="11"/>
    </row>
    <row r="75" ht="12.75" customHeight="1">
      <c r="A75" s="39"/>
      <c r="B75" s="39"/>
      <c r="C75" s="40"/>
      <c r="D75" s="10"/>
      <c r="E75" s="10"/>
      <c r="F75" s="11"/>
      <c r="G75" s="11"/>
    </row>
    <row r="76" ht="12.75" customHeight="1">
      <c r="A76" s="39"/>
      <c r="B76" s="39"/>
      <c r="C76" s="40"/>
      <c r="D76" s="10"/>
      <c r="E76" s="10"/>
      <c r="F76" s="11"/>
      <c r="G76" s="11"/>
    </row>
    <row r="77" ht="12.75" customHeight="1">
      <c r="A77" s="39"/>
      <c r="B77" s="39"/>
      <c r="C77" s="40"/>
      <c r="D77" s="10"/>
      <c r="E77" s="10"/>
      <c r="F77" s="11"/>
      <c r="G77" s="11"/>
    </row>
    <row r="78" ht="12.75" customHeight="1">
      <c r="A78" s="39"/>
      <c r="B78" s="39"/>
      <c r="C78" s="40"/>
      <c r="D78" s="10"/>
      <c r="E78" s="10"/>
      <c r="F78" s="11"/>
      <c r="G78" s="11"/>
    </row>
    <row r="79" ht="12.75" customHeight="1">
      <c r="A79" s="39"/>
      <c r="B79" s="39"/>
      <c r="C79" s="40"/>
      <c r="D79" s="10"/>
      <c r="E79" s="10"/>
      <c r="F79" s="11"/>
      <c r="G79" s="11"/>
    </row>
    <row r="80" ht="12.75" customHeight="1">
      <c r="A80" s="39"/>
      <c r="B80" s="39"/>
      <c r="C80" s="40"/>
      <c r="D80" s="10"/>
      <c r="E80" s="10"/>
      <c r="F80" s="11"/>
      <c r="G80" s="11"/>
    </row>
    <row r="81" ht="12.75" customHeight="1">
      <c r="A81" s="39"/>
      <c r="B81" s="39"/>
      <c r="C81" s="40"/>
      <c r="D81" s="10"/>
      <c r="E81" s="10"/>
      <c r="F81" s="11"/>
      <c r="G81" s="11"/>
    </row>
    <row r="82" ht="12.75" customHeight="1">
      <c r="A82" s="39"/>
      <c r="B82" s="39"/>
      <c r="C82" s="40"/>
      <c r="D82" s="10"/>
      <c r="E82" s="10"/>
      <c r="F82" s="11"/>
      <c r="G82" s="11"/>
    </row>
    <row r="83" ht="12.75" customHeight="1">
      <c r="A83" s="39"/>
      <c r="B83" s="39"/>
      <c r="C83" s="40"/>
      <c r="D83" s="10"/>
      <c r="E83" s="10"/>
      <c r="F83" s="11"/>
      <c r="G83" s="11"/>
    </row>
    <row r="84" ht="12.75" customHeight="1">
      <c r="A84" s="39"/>
      <c r="B84" s="39"/>
      <c r="C84" s="40"/>
      <c r="D84" s="10"/>
      <c r="E84" s="10"/>
      <c r="F84" s="11"/>
      <c r="G84" s="11"/>
    </row>
    <row r="85" ht="12.75" customHeight="1">
      <c r="A85" s="39"/>
      <c r="B85" s="39"/>
      <c r="C85" s="40"/>
      <c r="D85" s="10"/>
      <c r="E85" s="10"/>
      <c r="F85" s="11"/>
      <c r="G85" s="11"/>
    </row>
    <row r="86" ht="12.75" customHeight="1">
      <c r="A86" s="39"/>
      <c r="B86" s="39"/>
      <c r="C86" s="40"/>
      <c r="D86" s="10"/>
      <c r="E86" s="10"/>
      <c r="F86" s="11"/>
      <c r="G86" s="11"/>
    </row>
    <row r="87" ht="12.75" customHeight="1">
      <c r="A87" s="39"/>
      <c r="B87" s="39"/>
      <c r="C87" s="40"/>
      <c r="D87" s="10"/>
      <c r="E87" s="10"/>
      <c r="F87" s="11"/>
      <c r="G87" s="11"/>
    </row>
    <row r="88" ht="12.75" customHeight="1">
      <c r="A88" s="39"/>
      <c r="B88" s="39"/>
      <c r="C88" s="40"/>
      <c r="D88" s="10"/>
      <c r="E88" s="10"/>
      <c r="F88" s="11"/>
      <c r="G88" s="11"/>
    </row>
    <row r="89" ht="12.75" customHeight="1">
      <c r="A89" s="39"/>
      <c r="B89" s="39"/>
      <c r="C89" s="40"/>
      <c r="D89" s="10"/>
      <c r="E89" s="10"/>
      <c r="F89" s="11"/>
      <c r="G89" s="11"/>
    </row>
    <row r="90" ht="12.75" customHeight="1">
      <c r="A90" s="39"/>
      <c r="B90" s="39"/>
      <c r="C90" s="40"/>
      <c r="D90" s="10"/>
      <c r="E90" s="10"/>
      <c r="F90" s="11"/>
      <c r="G90" s="11"/>
    </row>
    <row r="91" ht="12.75" customHeight="1">
      <c r="A91" s="39"/>
      <c r="B91" s="39"/>
      <c r="C91" s="40"/>
      <c r="D91" s="10"/>
      <c r="E91" s="10"/>
      <c r="F91" s="11"/>
      <c r="G91" s="11"/>
    </row>
    <row r="92" ht="12.75" customHeight="1">
      <c r="A92" s="39"/>
      <c r="B92" s="39"/>
      <c r="C92" s="40"/>
      <c r="D92" s="10"/>
      <c r="E92" s="10"/>
      <c r="F92" s="11"/>
      <c r="G92" s="11"/>
    </row>
    <row r="93" ht="12.75" customHeight="1">
      <c r="A93" s="39"/>
      <c r="B93" s="39"/>
      <c r="C93" s="40"/>
      <c r="D93" s="10"/>
      <c r="E93" s="10"/>
      <c r="F93" s="11"/>
      <c r="G93" s="11"/>
    </row>
    <row r="94" ht="12.75" customHeight="1">
      <c r="A94" s="39"/>
      <c r="B94" s="39"/>
      <c r="C94" s="40"/>
      <c r="D94" s="10"/>
      <c r="E94" s="10"/>
      <c r="F94" s="11"/>
      <c r="G94" s="11"/>
    </row>
    <row r="95" ht="12.75" customHeight="1">
      <c r="A95" s="39"/>
      <c r="B95" s="39"/>
      <c r="C95" s="40"/>
      <c r="D95" s="10"/>
      <c r="E95" s="10"/>
      <c r="F95" s="11"/>
      <c r="G95" s="11"/>
    </row>
    <row r="96" ht="12.75" customHeight="1">
      <c r="A96" s="39"/>
      <c r="B96" s="39"/>
      <c r="C96" s="40"/>
      <c r="D96" s="10"/>
      <c r="E96" s="10"/>
      <c r="F96" s="11"/>
      <c r="G96" s="11"/>
    </row>
    <row r="97" ht="12.75" customHeight="1">
      <c r="A97" s="39"/>
      <c r="B97" s="39"/>
      <c r="C97" s="40"/>
      <c r="D97" s="10"/>
      <c r="E97" s="10"/>
      <c r="F97" s="11"/>
      <c r="G97" s="11"/>
    </row>
    <row r="98" ht="12.75" customHeight="1">
      <c r="A98" s="39"/>
      <c r="B98" s="39"/>
      <c r="C98" s="40"/>
      <c r="D98" s="10"/>
      <c r="E98" s="10"/>
      <c r="F98" s="11"/>
      <c r="G98" s="11"/>
    </row>
    <row r="99" ht="12.75" customHeight="1">
      <c r="A99" s="39"/>
      <c r="B99" s="39"/>
      <c r="C99" s="40"/>
      <c r="D99" s="10"/>
      <c r="E99" s="10"/>
      <c r="F99" s="11"/>
      <c r="G99" s="11"/>
    </row>
    <row r="100" ht="12.75" customHeight="1">
      <c r="A100" s="39"/>
      <c r="B100" s="39"/>
      <c r="C100" s="40"/>
      <c r="D100" s="10"/>
      <c r="E100" s="10"/>
      <c r="F100" s="11"/>
      <c r="G100" s="11"/>
    </row>
    <row r="101" ht="12.75" customHeight="1">
      <c r="A101" s="39"/>
      <c r="B101" s="39"/>
      <c r="C101" s="40"/>
      <c r="D101" s="10"/>
      <c r="E101" s="10"/>
      <c r="F101" s="11"/>
      <c r="G101" s="11"/>
    </row>
    <row r="102" ht="12.75" customHeight="1">
      <c r="A102" s="39"/>
      <c r="B102" s="39"/>
      <c r="C102" s="40"/>
      <c r="D102" s="10"/>
      <c r="E102" s="10"/>
      <c r="F102" s="11"/>
      <c r="G102" s="11"/>
    </row>
    <row r="103" ht="12.75" customHeight="1">
      <c r="A103" s="39"/>
      <c r="B103" s="39"/>
      <c r="C103" s="40"/>
      <c r="D103" s="10"/>
      <c r="E103" s="10"/>
      <c r="F103" s="11"/>
      <c r="G103" s="11"/>
    </row>
    <row r="104" ht="12.75" customHeight="1">
      <c r="A104" s="39"/>
      <c r="B104" s="39"/>
      <c r="C104" s="40"/>
      <c r="D104" s="10"/>
      <c r="E104" s="10"/>
      <c r="F104" s="11"/>
      <c r="G104" s="11"/>
    </row>
    <row r="105" ht="12.75" customHeight="1">
      <c r="A105" s="39"/>
      <c r="B105" s="39"/>
      <c r="C105" s="40"/>
      <c r="D105" s="10"/>
      <c r="E105" s="10"/>
      <c r="F105" s="11"/>
      <c r="G105" s="11"/>
    </row>
    <row r="106" ht="12.75" customHeight="1">
      <c r="A106" s="39"/>
      <c r="B106" s="39"/>
      <c r="C106" s="40"/>
      <c r="D106" s="10"/>
      <c r="E106" s="10"/>
      <c r="F106" s="11"/>
      <c r="G106" s="11"/>
    </row>
    <row r="107" ht="12.75" customHeight="1">
      <c r="A107" s="39"/>
      <c r="B107" s="39"/>
      <c r="C107" s="40"/>
      <c r="D107" s="10"/>
      <c r="E107" s="10"/>
      <c r="F107" s="11"/>
      <c r="G107" s="11"/>
    </row>
    <row r="108" ht="12.75" customHeight="1">
      <c r="A108" s="39"/>
      <c r="B108" s="39"/>
      <c r="C108" s="40"/>
      <c r="D108" s="10"/>
      <c r="E108" s="10"/>
      <c r="F108" s="11"/>
      <c r="G108" s="11"/>
    </row>
    <row r="109" ht="12.75" customHeight="1">
      <c r="A109" s="39"/>
      <c r="B109" s="39"/>
      <c r="C109" s="40"/>
      <c r="D109" s="10"/>
      <c r="E109" s="10"/>
      <c r="F109" s="11"/>
      <c r="G109" s="11"/>
    </row>
    <row r="110" ht="12.75" customHeight="1">
      <c r="A110" s="39"/>
      <c r="B110" s="39"/>
      <c r="C110" s="40"/>
      <c r="D110" s="10"/>
      <c r="E110" s="10"/>
      <c r="F110" s="11"/>
      <c r="G110" s="11"/>
    </row>
    <row r="111" ht="12.75" customHeight="1">
      <c r="A111" s="39"/>
      <c r="B111" s="39"/>
      <c r="C111" s="40"/>
      <c r="D111" s="10"/>
      <c r="E111" s="10"/>
      <c r="F111" s="11"/>
      <c r="G111" s="11"/>
    </row>
    <row r="112" ht="12.75" customHeight="1">
      <c r="A112" s="39"/>
      <c r="B112" s="39"/>
      <c r="C112" s="40"/>
      <c r="D112" s="10"/>
      <c r="E112" s="10"/>
      <c r="F112" s="11"/>
      <c r="G112" s="11"/>
    </row>
    <row r="113" ht="12.75" customHeight="1">
      <c r="A113" s="39"/>
      <c r="B113" s="39"/>
      <c r="C113" s="40"/>
      <c r="D113" s="10"/>
      <c r="E113" s="10"/>
      <c r="F113" s="11"/>
      <c r="G113" s="11"/>
    </row>
    <row r="114" ht="12.75" customHeight="1">
      <c r="A114" s="39"/>
      <c r="B114" s="39"/>
      <c r="C114" s="40"/>
      <c r="D114" s="10"/>
      <c r="E114" s="10"/>
      <c r="F114" s="11"/>
      <c r="G114" s="11"/>
    </row>
    <row r="115" ht="12.75" customHeight="1">
      <c r="A115" s="39"/>
      <c r="B115" s="39"/>
      <c r="C115" s="40"/>
      <c r="D115" s="10"/>
      <c r="E115" s="10"/>
      <c r="F115" s="11"/>
      <c r="G115" s="11"/>
    </row>
    <row r="116" ht="12.75" customHeight="1">
      <c r="A116" s="39"/>
      <c r="B116" s="39"/>
      <c r="C116" s="40"/>
      <c r="D116" s="10"/>
      <c r="E116" s="10"/>
      <c r="F116" s="11"/>
      <c r="G116" s="11"/>
    </row>
    <row r="117" ht="12.75" customHeight="1">
      <c r="A117" s="39"/>
      <c r="B117" s="39"/>
      <c r="C117" s="40"/>
      <c r="D117" s="10"/>
      <c r="E117" s="10"/>
      <c r="F117" s="11"/>
      <c r="G117" s="11"/>
    </row>
    <row r="118" ht="12.75" customHeight="1">
      <c r="A118" s="39"/>
      <c r="B118" s="39"/>
      <c r="C118" s="40"/>
      <c r="D118" s="10"/>
      <c r="E118" s="10"/>
      <c r="F118" s="11"/>
      <c r="G118" s="11"/>
    </row>
    <row r="119" ht="12.75" customHeight="1">
      <c r="A119" s="39"/>
      <c r="B119" s="39"/>
      <c r="C119" s="40"/>
      <c r="D119" s="10"/>
      <c r="E119" s="10"/>
      <c r="F119" s="11"/>
      <c r="G119" s="11"/>
    </row>
    <row r="120" ht="12.75" customHeight="1">
      <c r="A120" s="39"/>
      <c r="B120" s="39"/>
      <c r="C120" s="40"/>
      <c r="D120" s="10"/>
      <c r="E120" s="10"/>
      <c r="F120" s="11"/>
      <c r="G120" s="11"/>
    </row>
    <row r="121" ht="12.75" customHeight="1">
      <c r="A121" s="39"/>
      <c r="B121" s="39"/>
      <c r="C121" s="40"/>
      <c r="D121" s="10"/>
      <c r="E121" s="10"/>
      <c r="F121" s="11"/>
      <c r="G121" s="11"/>
    </row>
    <row r="122" ht="12.75" customHeight="1">
      <c r="A122" s="39"/>
      <c r="B122" s="39"/>
      <c r="C122" s="40"/>
      <c r="D122" s="10"/>
      <c r="E122" s="10"/>
      <c r="F122" s="11"/>
      <c r="G122" s="11"/>
    </row>
    <row r="123" ht="12.75" customHeight="1">
      <c r="A123" s="39"/>
      <c r="B123" s="39"/>
      <c r="C123" s="40"/>
      <c r="D123" s="10"/>
      <c r="E123" s="10"/>
      <c r="F123" s="11"/>
      <c r="G123" s="11"/>
    </row>
    <row r="124" ht="12.75" customHeight="1">
      <c r="A124" s="39"/>
      <c r="B124" s="39"/>
      <c r="C124" s="40"/>
      <c r="D124" s="10"/>
      <c r="E124" s="10"/>
      <c r="F124" s="11"/>
      <c r="G124" s="11"/>
    </row>
    <row r="125" ht="12.75" customHeight="1">
      <c r="A125" s="39"/>
      <c r="B125" s="39"/>
      <c r="C125" s="40"/>
      <c r="D125" s="10"/>
      <c r="E125" s="10"/>
      <c r="F125" s="11"/>
      <c r="G125" s="11"/>
    </row>
    <row r="126" ht="12.75" customHeight="1">
      <c r="A126" s="39"/>
      <c r="B126" s="39"/>
      <c r="C126" s="40"/>
      <c r="D126" s="10"/>
      <c r="E126" s="10"/>
      <c r="F126" s="11"/>
      <c r="G126" s="11"/>
    </row>
    <row r="127" ht="12.75" customHeight="1">
      <c r="A127" s="39"/>
      <c r="B127" s="39"/>
      <c r="C127" s="40"/>
      <c r="D127" s="10"/>
      <c r="E127" s="10"/>
      <c r="F127" s="11"/>
      <c r="G127" s="11"/>
    </row>
    <row r="128" ht="12.75" customHeight="1">
      <c r="A128" s="39"/>
      <c r="B128" s="39"/>
      <c r="C128" s="40"/>
      <c r="D128" s="10"/>
      <c r="E128" s="10"/>
      <c r="F128" s="11"/>
      <c r="G128" s="11"/>
    </row>
    <row r="129" ht="12.75" customHeight="1">
      <c r="A129" s="39"/>
      <c r="B129" s="39"/>
      <c r="C129" s="40"/>
      <c r="D129" s="10"/>
      <c r="E129" s="10"/>
      <c r="F129" s="11"/>
      <c r="G129" s="11"/>
    </row>
    <row r="130" ht="12.75" customHeight="1">
      <c r="A130" s="39"/>
      <c r="B130" s="39"/>
      <c r="C130" s="40"/>
      <c r="D130" s="10"/>
      <c r="E130" s="10"/>
      <c r="F130" s="11"/>
      <c r="G130" s="11"/>
    </row>
    <row r="131" ht="12.75" customHeight="1">
      <c r="A131" s="39"/>
      <c r="B131" s="39"/>
      <c r="C131" s="40"/>
      <c r="D131" s="10"/>
      <c r="E131" s="10"/>
      <c r="F131" s="11"/>
      <c r="G131" s="11"/>
    </row>
    <row r="132" ht="12.75" customHeight="1">
      <c r="A132" s="39"/>
      <c r="B132" s="39"/>
      <c r="C132" s="40"/>
      <c r="D132" s="10"/>
      <c r="E132" s="10"/>
      <c r="F132" s="11"/>
      <c r="G132" s="11"/>
    </row>
    <row r="133" ht="12.75" customHeight="1">
      <c r="A133" s="39"/>
      <c r="B133" s="39"/>
      <c r="C133" s="40"/>
      <c r="D133" s="10"/>
      <c r="E133" s="10"/>
      <c r="F133" s="11"/>
      <c r="G133" s="11"/>
    </row>
    <row r="134" ht="12.75" customHeight="1">
      <c r="A134" s="39"/>
      <c r="B134" s="39"/>
      <c r="C134" s="40"/>
      <c r="D134" s="10"/>
      <c r="E134" s="10"/>
      <c r="F134" s="11"/>
      <c r="G134" s="11"/>
    </row>
    <row r="135" ht="12.75" customHeight="1">
      <c r="A135" s="39"/>
      <c r="B135" s="39"/>
      <c r="C135" s="40"/>
      <c r="D135" s="10"/>
      <c r="E135" s="10"/>
      <c r="F135" s="11"/>
      <c r="G135" s="11"/>
    </row>
    <row r="136" ht="12.75" customHeight="1">
      <c r="A136" s="39"/>
      <c r="B136" s="39"/>
      <c r="C136" s="40"/>
      <c r="D136" s="10"/>
      <c r="E136" s="10"/>
      <c r="F136" s="11"/>
      <c r="G136" s="11"/>
    </row>
    <row r="137" ht="12.75" customHeight="1">
      <c r="A137" s="39"/>
      <c r="B137" s="39"/>
      <c r="C137" s="40"/>
      <c r="D137" s="10"/>
      <c r="E137" s="10"/>
      <c r="F137" s="11"/>
      <c r="G137" s="11"/>
    </row>
    <row r="138" ht="12.75" customHeight="1">
      <c r="A138" s="39"/>
      <c r="B138" s="39"/>
      <c r="C138" s="40"/>
      <c r="D138" s="10"/>
      <c r="E138" s="10"/>
      <c r="F138" s="11"/>
      <c r="G138" s="11"/>
    </row>
    <row r="139" ht="12.75" customHeight="1">
      <c r="A139" s="39"/>
      <c r="B139" s="39"/>
      <c r="C139" s="40"/>
      <c r="D139" s="10"/>
      <c r="E139" s="10"/>
      <c r="F139" s="11"/>
      <c r="G139" s="11"/>
    </row>
    <row r="140" ht="12.75" customHeight="1">
      <c r="A140" s="39"/>
      <c r="B140" s="39"/>
      <c r="C140" s="40"/>
      <c r="D140" s="10"/>
      <c r="E140" s="10"/>
      <c r="F140" s="11"/>
      <c r="G140" s="11"/>
    </row>
    <row r="141" ht="12.75" customHeight="1">
      <c r="A141" s="39"/>
      <c r="B141" s="39"/>
      <c r="C141" s="40"/>
      <c r="D141" s="10"/>
      <c r="E141" s="10"/>
      <c r="F141" s="11"/>
      <c r="G141" s="11"/>
    </row>
    <row r="142" ht="12.75" customHeight="1">
      <c r="A142" s="39"/>
      <c r="B142" s="39"/>
      <c r="C142" s="40"/>
      <c r="D142" s="10"/>
      <c r="E142" s="10"/>
      <c r="F142" s="11"/>
      <c r="G142" s="11"/>
    </row>
    <row r="143" ht="12.75" customHeight="1">
      <c r="A143" s="39"/>
      <c r="B143" s="39"/>
      <c r="C143" s="40"/>
      <c r="D143" s="10"/>
      <c r="E143" s="10"/>
      <c r="F143" s="11"/>
      <c r="G143" s="11"/>
    </row>
    <row r="144" ht="12.75" customHeight="1">
      <c r="A144" s="39"/>
      <c r="B144" s="39"/>
      <c r="C144" s="40"/>
      <c r="D144" s="10"/>
      <c r="E144" s="10"/>
      <c r="F144" s="11"/>
      <c r="G144" s="11"/>
    </row>
    <row r="145" ht="12.75" customHeight="1">
      <c r="A145" s="39"/>
      <c r="B145" s="39"/>
      <c r="C145" s="40"/>
      <c r="D145" s="10"/>
      <c r="E145" s="10"/>
      <c r="F145" s="11"/>
      <c r="G145" s="11"/>
    </row>
    <row r="146" ht="12.75" customHeight="1">
      <c r="A146" s="39"/>
      <c r="B146" s="39"/>
      <c r="C146" s="40"/>
      <c r="D146" s="10"/>
      <c r="E146" s="10"/>
      <c r="F146" s="11"/>
      <c r="G146" s="11"/>
    </row>
    <row r="147" ht="12.75" customHeight="1">
      <c r="A147" s="39"/>
      <c r="B147" s="39"/>
      <c r="C147" s="40"/>
      <c r="D147" s="10"/>
      <c r="E147" s="10"/>
      <c r="F147" s="11"/>
      <c r="G147" s="11"/>
    </row>
    <row r="148" ht="12.75" customHeight="1">
      <c r="A148" s="39"/>
      <c r="B148" s="39"/>
      <c r="C148" s="40"/>
      <c r="D148" s="10"/>
      <c r="E148" s="10"/>
      <c r="F148" s="11"/>
      <c r="G148" s="11"/>
    </row>
    <row r="149" ht="12.75" customHeight="1">
      <c r="A149" s="39"/>
      <c r="B149" s="39"/>
      <c r="C149" s="40"/>
      <c r="D149" s="10"/>
      <c r="E149" s="10"/>
      <c r="F149" s="11"/>
      <c r="G149" s="11"/>
    </row>
    <row r="150" ht="12.75" customHeight="1">
      <c r="A150" s="39"/>
      <c r="B150" s="39"/>
      <c r="C150" s="40"/>
      <c r="D150" s="10"/>
      <c r="E150" s="10"/>
      <c r="F150" s="11"/>
      <c r="G150" s="11"/>
    </row>
    <row r="151" ht="12.75" customHeight="1">
      <c r="A151" s="39"/>
      <c r="B151" s="39"/>
      <c r="C151" s="40"/>
      <c r="D151" s="10"/>
      <c r="E151" s="10"/>
      <c r="F151" s="11"/>
      <c r="G151" s="11"/>
    </row>
    <row r="152" ht="12.75" customHeight="1">
      <c r="A152" s="39"/>
      <c r="B152" s="39"/>
      <c r="C152" s="40"/>
      <c r="D152" s="10"/>
      <c r="E152" s="10"/>
      <c r="F152" s="11"/>
      <c r="G152" s="11"/>
    </row>
    <row r="153" ht="12.75" customHeight="1">
      <c r="A153" s="39"/>
      <c r="B153" s="39"/>
      <c r="C153" s="40"/>
      <c r="D153" s="10"/>
      <c r="E153" s="10"/>
      <c r="F153" s="11"/>
      <c r="G153" s="11"/>
    </row>
    <row r="154" ht="12.75" customHeight="1">
      <c r="A154" s="39"/>
      <c r="B154" s="39"/>
      <c r="C154" s="40"/>
      <c r="D154" s="10"/>
      <c r="E154" s="10"/>
      <c r="F154" s="11"/>
      <c r="G154" s="11"/>
    </row>
    <row r="155" ht="12.75" customHeight="1">
      <c r="A155" s="39"/>
      <c r="B155" s="39"/>
      <c r="C155" s="40"/>
      <c r="D155" s="10"/>
      <c r="E155" s="10"/>
      <c r="F155" s="11"/>
      <c r="G155" s="11"/>
    </row>
    <row r="156" ht="12.75" customHeight="1">
      <c r="A156" s="39"/>
      <c r="B156" s="39"/>
      <c r="C156" s="40"/>
      <c r="D156" s="10"/>
      <c r="E156" s="10"/>
      <c r="F156" s="11"/>
      <c r="G156" s="11"/>
    </row>
    <row r="157" ht="12.75" customHeight="1">
      <c r="A157" s="39"/>
      <c r="B157" s="39"/>
      <c r="C157" s="40"/>
      <c r="D157" s="10"/>
      <c r="E157" s="10"/>
      <c r="F157" s="11"/>
      <c r="G157" s="11"/>
    </row>
    <row r="158" ht="12.75" customHeight="1">
      <c r="A158" s="39"/>
      <c r="B158" s="39"/>
      <c r="C158" s="40"/>
      <c r="D158" s="10"/>
      <c r="E158" s="10"/>
      <c r="F158" s="11"/>
      <c r="G158" s="11"/>
    </row>
    <row r="159" ht="12.75" customHeight="1">
      <c r="A159" s="39"/>
      <c r="B159" s="39"/>
      <c r="C159" s="40"/>
      <c r="D159" s="10"/>
      <c r="E159" s="10"/>
      <c r="F159" s="11"/>
      <c r="G159" s="11"/>
    </row>
    <row r="160" ht="12.75" customHeight="1">
      <c r="A160" s="39"/>
      <c r="B160" s="39"/>
      <c r="C160" s="40"/>
      <c r="D160" s="10"/>
      <c r="E160" s="10"/>
      <c r="F160" s="11"/>
      <c r="G160" s="11"/>
    </row>
    <row r="161" ht="12.75" customHeight="1">
      <c r="A161" s="39"/>
      <c r="B161" s="39"/>
      <c r="C161" s="40"/>
      <c r="D161" s="10"/>
      <c r="E161" s="10"/>
      <c r="F161" s="11"/>
      <c r="G161" s="11"/>
    </row>
    <row r="162" ht="12.75" customHeight="1">
      <c r="A162" s="39"/>
      <c r="B162" s="39"/>
      <c r="C162" s="40"/>
      <c r="D162" s="10"/>
      <c r="E162" s="10"/>
      <c r="F162" s="11"/>
      <c r="G162" s="11"/>
    </row>
    <row r="163" ht="12.75" customHeight="1">
      <c r="A163" s="39"/>
      <c r="B163" s="39"/>
      <c r="C163" s="40"/>
      <c r="D163" s="10"/>
      <c r="E163" s="10"/>
      <c r="F163" s="11"/>
      <c r="G163" s="11"/>
    </row>
    <row r="164" ht="12.75" customHeight="1">
      <c r="A164" s="39"/>
      <c r="B164" s="39"/>
      <c r="C164" s="40"/>
      <c r="D164" s="10"/>
      <c r="E164" s="10"/>
      <c r="F164" s="11"/>
      <c r="G164" s="11"/>
    </row>
    <row r="165" ht="12.75" customHeight="1">
      <c r="A165" s="39"/>
      <c r="B165" s="39"/>
      <c r="C165" s="40"/>
      <c r="D165" s="10"/>
      <c r="E165" s="10"/>
      <c r="F165" s="11"/>
      <c r="G165" s="11"/>
    </row>
    <row r="166" ht="12.75" customHeight="1">
      <c r="A166" s="39"/>
      <c r="B166" s="39"/>
      <c r="C166" s="40"/>
      <c r="D166" s="10"/>
      <c r="E166" s="10"/>
      <c r="F166" s="11"/>
      <c r="G166" s="11"/>
    </row>
    <row r="167" ht="12.75" customHeight="1">
      <c r="A167" s="39"/>
      <c r="B167" s="39"/>
      <c r="C167" s="40"/>
      <c r="D167" s="10"/>
      <c r="E167" s="10"/>
      <c r="F167" s="11"/>
      <c r="G167" s="11"/>
    </row>
    <row r="168" ht="12.75" customHeight="1">
      <c r="A168" s="39"/>
      <c r="B168" s="39"/>
      <c r="C168" s="40"/>
      <c r="D168" s="10"/>
      <c r="E168" s="10"/>
      <c r="F168" s="11"/>
      <c r="G168" s="11"/>
    </row>
    <row r="169" ht="12.75" customHeight="1">
      <c r="A169" s="39"/>
      <c r="B169" s="39"/>
      <c r="C169" s="40"/>
      <c r="D169" s="10"/>
      <c r="E169" s="10"/>
      <c r="F169" s="11"/>
      <c r="G169" s="11"/>
    </row>
    <row r="170" ht="12.75" customHeight="1">
      <c r="A170" s="39"/>
      <c r="B170" s="39"/>
      <c r="C170" s="40"/>
      <c r="D170" s="10"/>
      <c r="E170" s="10"/>
      <c r="F170" s="11"/>
      <c r="G170" s="11"/>
    </row>
    <row r="171" ht="12.75" customHeight="1">
      <c r="A171" s="39"/>
      <c r="B171" s="39"/>
      <c r="C171" s="40"/>
      <c r="D171" s="10"/>
      <c r="E171" s="10"/>
      <c r="F171" s="11"/>
      <c r="G171" s="11"/>
    </row>
    <row r="172" ht="12.75" customHeight="1">
      <c r="A172" s="39"/>
      <c r="B172" s="39"/>
      <c r="C172" s="40"/>
      <c r="D172" s="10"/>
      <c r="E172" s="10"/>
      <c r="F172" s="11"/>
      <c r="G172" s="11"/>
    </row>
    <row r="173" ht="12.75" customHeight="1">
      <c r="A173" s="39"/>
      <c r="B173" s="39"/>
      <c r="C173" s="40"/>
      <c r="D173" s="10"/>
      <c r="E173" s="10"/>
      <c r="F173" s="11"/>
      <c r="G173" s="11"/>
    </row>
    <row r="174" ht="12.75" customHeight="1">
      <c r="A174" s="39"/>
      <c r="B174" s="39"/>
      <c r="C174" s="40"/>
      <c r="D174" s="10"/>
      <c r="E174" s="10"/>
      <c r="F174" s="11"/>
      <c r="G174" s="11"/>
    </row>
    <row r="175" ht="12.75" customHeight="1">
      <c r="A175" s="39"/>
      <c r="B175" s="39"/>
      <c r="C175" s="40"/>
      <c r="D175" s="10"/>
      <c r="E175" s="10"/>
      <c r="F175" s="11"/>
      <c r="G175" s="11"/>
    </row>
    <row r="176" ht="12.75" customHeight="1">
      <c r="A176" s="39"/>
      <c r="B176" s="39"/>
      <c r="C176" s="40"/>
      <c r="D176" s="10"/>
      <c r="E176" s="10"/>
      <c r="F176" s="11"/>
      <c r="G176" s="11"/>
    </row>
    <row r="177" ht="12.75" customHeight="1">
      <c r="A177" s="39"/>
      <c r="B177" s="39"/>
      <c r="C177" s="40"/>
      <c r="D177" s="10"/>
      <c r="E177" s="10"/>
      <c r="F177" s="11"/>
      <c r="G177" s="11"/>
    </row>
    <row r="178" ht="12.75" customHeight="1">
      <c r="A178" s="39"/>
      <c r="B178" s="39"/>
      <c r="C178" s="40"/>
      <c r="D178" s="10"/>
      <c r="E178" s="10"/>
      <c r="F178" s="11"/>
      <c r="G178" s="11"/>
    </row>
    <row r="179" ht="12.75" customHeight="1">
      <c r="A179" s="39"/>
      <c r="B179" s="39"/>
      <c r="C179" s="40"/>
      <c r="D179" s="10"/>
      <c r="E179" s="10"/>
      <c r="F179" s="11"/>
      <c r="G179" s="11"/>
    </row>
    <row r="180" ht="12.75" customHeight="1">
      <c r="A180" s="39"/>
      <c r="B180" s="39"/>
      <c r="C180" s="40"/>
      <c r="D180" s="10"/>
      <c r="E180" s="10"/>
      <c r="F180" s="11"/>
      <c r="G180" s="11"/>
    </row>
    <row r="181" ht="12.75" customHeight="1">
      <c r="A181" s="39"/>
      <c r="B181" s="39"/>
      <c r="C181" s="40"/>
      <c r="D181" s="10"/>
      <c r="E181" s="10"/>
      <c r="F181" s="11"/>
      <c r="G181" s="11"/>
    </row>
    <row r="182" ht="12.75" customHeight="1">
      <c r="A182" s="39"/>
      <c r="B182" s="39"/>
      <c r="C182" s="40"/>
      <c r="D182" s="10"/>
      <c r="E182" s="10"/>
      <c r="F182" s="11"/>
      <c r="G182" s="11"/>
    </row>
    <row r="183" ht="12.75" customHeight="1">
      <c r="A183" s="39"/>
      <c r="B183" s="39"/>
      <c r="C183" s="40"/>
      <c r="D183" s="10"/>
      <c r="E183" s="10"/>
      <c r="F183" s="11"/>
      <c r="G183" s="11"/>
    </row>
    <row r="184" ht="12.75" customHeight="1">
      <c r="A184" s="39"/>
      <c r="B184" s="39"/>
      <c r="C184" s="40"/>
      <c r="D184" s="10"/>
      <c r="E184" s="10"/>
      <c r="F184" s="11"/>
      <c r="G184" s="11"/>
    </row>
    <row r="185" ht="12.75" customHeight="1">
      <c r="A185" s="39"/>
      <c r="B185" s="39"/>
      <c r="C185" s="40"/>
      <c r="D185" s="10"/>
      <c r="E185" s="10"/>
      <c r="F185" s="11"/>
      <c r="G185" s="11"/>
    </row>
    <row r="186" ht="12.75" customHeight="1">
      <c r="A186" s="39"/>
      <c r="B186" s="39"/>
      <c r="C186" s="40"/>
      <c r="D186" s="10"/>
      <c r="E186" s="10"/>
      <c r="F186" s="11"/>
      <c r="G186" s="11"/>
    </row>
    <row r="187" ht="12.75" customHeight="1">
      <c r="A187" s="39"/>
      <c r="B187" s="39"/>
      <c r="C187" s="40"/>
      <c r="D187" s="10"/>
      <c r="E187" s="10"/>
      <c r="F187" s="11"/>
      <c r="G187" s="11"/>
    </row>
    <row r="188" ht="12.75" customHeight="1">
      <c r="A188" s="39"/>
      <c r="B188" s="39"/>
      <c r="C188" s="40"/>
      <c r="D188" s="10"/>
      <c r="E188" s="10"/>
      <c r="F188" s="11"/>
      <c r="G188" s="11"/>
    </row>
    <row r="189" ht="12.75" customHeight="1">
      <c r="A189" s="39"/>
      <c r="B189" s="39"/>
      <c r="C189" s="40"/>
      <c r="D189" s="10"/>
      <c r="E189" s="10"/>
      <c r="F189" s="11"/>
      <c r="G189" s="11"/>
    </row>
    <row r="190" ht="12.75" customHeight="1">
      <c r="A190" s="39"/>
      <c r="B190" s="39"/>
      <c r="C190" s="40"/>
      <c r="D190" s="10"/>
      <c r="E190" s="10"/>
      <c r="F190" s="11"/>
      <c r="G190" s="11"/>
    </row>
    <row r="191" ht="12.75" customHeight="1">
      <c r="A191" s="39"/>
      <c r="B191" s="39"/>
      <c r="C191" s="40"/>
      <c r="D191" s="10"/>
      <c r="E191" s="10"/>
      <c r="F191" s="11"/>
      <c r="G191" s="11"/>
    </row>
    <row r="192" ht="12.75" customHeight="1">
      <c r="A192" s="39"/>
      <c r="B192" s="39"/>
      <c r="C192" s="40"/>
      <c r="D192" s="10"/>
      <c r="E192" s="10"/>
      <c r="F192" s="11"/>
      <c r="G192" s="11"/>
    </row>
    <row r="193" ht="12.75" customHeight="1">
      <c r="A193" s="39"/>
      <c r="B193" s="39"/>
      <c r="C193" s="40"/>
      <c r="D193" s="10"/>
      <c r="E193" s="10"/>
      <c r="F193" s="11"/>
      <c r="G193" s="11"/>
    </row>
    <row r="194" ht="12.75" customHeight="1">
      <c r="A194" s="39"/>
      <c r="B194" s="39"/>
      <c r="C194" s="40"/>
      <c r="D194" s="10"/>
      <c r="E194" s="10"/>
      <c r="F194" s="11"/>
      <c r="G194" s="11"/>
    </row>
    <row r="195" ht="12.75" customHeight="1">
      <c r="A195" s="39"/>
      <c r="B195" s="39"/>
      <c r="C195" s="40"/>
      <c r="D195" s="10"/>
      <c r="E195" s="10"/>
      <c r="F195" s="11"/>
      <c r="G195" s="11"/>
    </row>
    <row r="196" ht="12.75" customHeight="1">
      <c r="A196" s="39"/>
      <c r="B196" s="39"/>
      <c r="C196" s="40"/>
      <c r="D196" s="10"/>
      <c r="E196" s="10"/>
      <c r="F196" s="11"/>
      <c r="G196" s="11"/>
    </row>
    <row r="197" ht="12.75" customHeight="1">
      <c r="A197" s="39"/>
      <c r="B197" s="39"/>
      <c r="C197" s="40"/>
      <c r="D197" s="10"/>
      <c r="E197" s="10"/>
      <c r="F197" s="11"/>
      <c r="G197" s="11"/>
    </row>
    <row r="198" ht="12.75" customHeight="1">
      <c r="A198" s="39"/>
      <c r="B198" s="39"/>
      <c r="C198" s="40"/>
      <c r="D198" s="10"/>
      <c r="E198" s="10"/>
      <c r="F198" s="11"/>
      <c r="G198" s="11"/>
    </row>
    <row r="199" ht="12.75" customHeight="1">
      <c r="A199" s="39"/>
      <c r="B199" s="39"/>
      <c r="C199" s="40"/>
      <c r="D199" s="10"/>
      <c r="E199" s="10"/>
      <c r="F199" s="11"/>
      <c r="G199" s="11"/>
    </row>
    <row r="200" ht="12.75" customHeight="1">
      <c r="A200" s="39"/>
      <c r="B200" s="39"/>
      <c r="C200" s="40"/>
      <c r="D200" s="10"/>
      <c r="E200" s="10"/>
      <c r="F200" s="11"/>
      <c r="G200" s="11"/>
    </row>
    <row r="201" ht="12.75" customHeight="1">
      <c r="A201" s="39"/>
      <c r="B201" s="39"/>
      <c r="C201" s="40"/>
      <c r="D201" s="10"/>
      <c r="E201" s="10"/>
      <c r="F201" s="11"/>
      <c r="G201" s="11"/>
    </row>
    <row r="202" ht="12.75" customHeight="1">
      <c r="A202" s="39"/>
      <c r="B202" s="39"/>
      <c r="C202" s="40"/>
      <c r="D202" s="10"/>
      <c r="E202" s="10"/>
      <c r="F202" s="11"/>
      <c r="G202" s="11"/>
    </row>
    <row r="203" ht="12.75" customHeight="1">
      <c r="A203" s="39"/>
      <c r="B203" s="39"/>
      <c r="C203" s="40"/>
      <c r="D203" s="10"/>
      <c r="E203" s="10"/>
      <c r="F203" s="11"/>
      <c r="G203" s="11"/>
    </row>
    <row r="204" ht="12.75" customHeight="1">
      <c r="A204" s="39"/>
      <c r="B204" s="39"/>
      <c r="C204" s="40"/>
      <c r="D204" s="10"/>
      <c r="E204" s="10"/>
      <c r="F204" s="11"/>
      <c r="G204" s="11"/>
    </row>
    <row r="205" ht="12.75" customHeight="1">
      <c r="A205" s="39"/>
      <c r="B205" s="39"/>
      <c r="C205" s="40"/>
      <c r="D205" s="10"/>
      <c r="E205" s="10"/>
      <c r="F205" s="11"/>
      <c r="G205" s="11"/>
    </row>
    <row r="206" ht="12.75" customHeight="1">
      <c r="A206" s="39"/>
      <c r="B206" s="39"/>
      <c r="C206" s="40"/>
      <c r="D206" s="10"/>
      <c r="E206" s="10"/>
      <c r="F206" s="11"/>
      <c r="G206" s="11"/>
    </row>
    <row r="207" ht="12.75" customHeight="1">
      <c r="A207" s="39"/>
      <c r="B207" s="39"/>
      <c r="C207" s="40"/>
      <c r="D207" s="10"/>
      <c r="E207" s="10"/>
      <c r="F207" s="11"/>
      <c r="G207" s="11"/>
    </row>
    <row r="208" ht="12.75" customHeight="1">
      <c r="A208" s="39"/>
      <c r="B208" s="39"/>
      <c r="C208" s="40"/>
      <c r="D208" s="10"/>
      <c r="E208" s="10"/>
      <c r="F208" s="11"/>
      <c r="G208" s="11"/>
    </row>
    <row r="209" ht="12.75" customHeight="1">
      <c r="A209" s="39"/>
      <c r="B209" s="39"/>
      <c r="C209" s="40"/>
      <c r="D209" s="10"/>
      <c r="E209" s="10"/>
      <c r="F209" s="11"/>
      <c r="G209" s="11"/>
    </row>
    <row r="210" ht="12.75" customHeight="1">
      <c r="A210" s="39"/>
      <c r="B210" s="39"/>
      <c r="C210" s="40"/>
      <c r="D210" s="10"/>
      <c r="E210" s="10"/>
      <c r="F210" s="11"/>
      <c r="G210" s="11"/>
    </row>
    <row r="211" ht="12.75" customHeight="1">
      <c r="A211" s="39"/>
      <c r="B211" s="39"/>
      <c r="C211" s="40"/>
      <c r="D211" s="10"/>
      <c r="E211" s="10"/>
      <c r="F211" s="11"/>
      <c r="G211" s="11"/>
    </row>
    <row r="212" ht="12.75" customHeight="1">
      <c r="A212" s="39"/>
      <c r="B212" s="39"/>
      <c r="C212" s="40"/>
      <c r="D212" s="10"/>
      <c r="E212" s="10"/>
      <c r="F212" s="11"/>
      <c r="G212" s="11"/>
    </row>
    <row r="213" ht="12.75" customHeight="1">
      <c r="A213" s="39"/>
      <c r="B213" s="39"/>
      <c r="C213" s="40"/>
      <c r="D213" s="10"/>
      <c r="E213" s="10"/>
      <c r="F213" s="11"/>
      <c r="G213" s="11"/>
    </row>
    <row r="214" ht="12.75" customHeight="1">
      <c r="A214" s="39"/>
      <c r="B214" s="39"/>
      <c r="C214" s="40"/>
      <c r="D214" s="10"/>
      <c r="E214" s="10"/>
      <c r="F214" s="11"/>
      <c r="G214" s="11"/>
    </row>
    <row r="215" ht="12.75" customHeight="1">
      <c r="A215" s="39"/>
      <c r="B215" s="39"/>
      <c r="C215" s="40"/>
      <c r="D215" s="10"/>
      <c r="E215" s="10"/>
      <c r="F215" s="11"/>
      <c r="G215" s="11"/>
    </row>
    <row r="216" ht="12.75" customHeight="1">
      <c r="A216" s="39"/>
      <c r="B216" s="39"/>
      <c r="C216" s="40"/>
      <c r="D216" s="10"/>
      <c r="E216" s="10"/>
      <c r="F216" s="11"/>
      <c r="G216" s="11"/>
    </row>
    <row r="217" ht="12.75" customHeight="1">
      <c r="A217" s="39"/>
      <c r="B217" s="39"/>
      <c r="C217" s="40"/>
      <c r="D217" s="10"/>
      <c r="E217" s="10"/>
      <c r="F217" s="11"/>
      <c r="G217" s="11"/>
    </row>
    <row r="218" ht="12.75" customHeight="1">
      <c r="A218" s="39"/>
      <c r="B218" s="39"/>
      <c r="C218" s="40"/>
      <c r="D218" s="10"/>
      <c r="E218" s="10"/>
      <c r="F218" s="11"/>
      <c r="G218" s="11"/>
    </row>
    <row r="219" ht="12.75" customHeight="1">
      <c r="A219" s="39"/>
      <c r="B219" s="39"/>
      <c r="C219" s="40"/>
      <c r="D219" s="10"/>
      <c r="E219" s="10"/>
      <c r="F219" s="11"/>
      <c r="G219" s="11"/>
    </row>
    <row r="220" ht="12.75" customHeight="1">
      <c r="A220" s="39"/>
      <c r="B220" s="39"/>
      <c r="C220" s="40"/>
      <c r="D220" s="10"/>
      <c r="E220" s="10"/>
      <c r="F220" s="11"/>
      <c r="G220" s="11"/>
    </row>
    <row r="221" ht="12.75" customHeight="1">
      <c r="A221" s="39"/>
      <c r="B221" s="39"/>
      <c r="C221" s="40"/>
      <c r="D221" s="10"/>
      <c r="E221" s="10"/>
      <c r="F221" s="11"/>
      <c r="G221" s="11"/>
    </row>
    <row r="222" ht="12.75" customHeight="1">
      <c r="A222" s="39"/>
      <c r="B222" s="39"/>
      <c r="C222" s="40"/>
      <c r="D222" s="10"/>
      <c r="E222" s="10"/>
      <c r="F222" s="11"/>
      <c r="G222" s="11"/>
    </row>
    <row r="223" ht="12.75" customHeight="1">
      <c r="A223" s="39"/>
      <c r="B223" s="39"/>
      <c r="C223" s="40"/>
      <c r="D223" s="10"/>
      <c r="E223" s="10"/>
      <c r="F223" s="11"/>
      <c r="G223" s="11"/>
    </row>
    <row r="224" ht="12.75" customHeight="1">
      <c r="A224" s="39"/>
      <c r="B224" s="39"/>
      <c r="C224" s="40"/>
      <c r="D224" s="10"/>
      <c r="E224" s="10"/>
      <c r="F224" s="11"/>
      <c r="G224" s="11"/>
    </row>
    <row r="225" ht="12.75" customHeight="1">
      <c r="A225" s="39"/>
      <c r="B225" s="39"/>
      <c r="C225" s="40"/>
      <c r="D225" s="10"/>
      <c r="E225" s="10"/>
      <c r="F225" s="11"/>
      <c r="G225" s="11"/>
    </row>
    <row r="226" ht="12.75" customHeight="1">
      <c r="A226" s="39"/>
      <c r="B226" s="39"/>
      <c r="C226" s="40"/>
      <c r="D226" s="10"/>
      <c r="E226" s="10"/>
      <c r="F226" s="11"/>
      <c r="G226" s="11"/>
    </row>
    <row r="227" ht="12.75" customHeight="1">
      <c r="A227" s="39"/>
      <c r="B227" s="39"/>
      <c r="C227" s="40"/>
      <c r="D227" s="10"/>
      <c r="E227" s="10"/>
      <c r="F227" s="11"/>
      <c r="G227" s="11"/>
    </row>
    <row r="228" ht="12.75" customHeight="1">
      <c r="A228" s="39"/>
      <c r="B228" s="39"/>
      <c r="C228" s="40"/>
      <c r="D228" s="10"/>
      <c r="E228" s="10"/>
      <c r="F228" s="11"/>
      <c r="G228" s="11"/>
    </row>
    <row r="229" ht="12.75" customHeight="1">
      <c r="A229" s="39"/>
      <c r="B229" s="39"/>
      <c r="C229" s="40"/>
      <c r="D229" s="10"/>
      <c r="E229" s="10"/>
      <c r="F229" s="11"/>
      <c r="G229" s="11"/>
    </row>
    <row r="230" ht="12.75" customHeight="1">
      <c r="A230" s="39"/>
      <c r="B230" s="39"/>
      <c r="C230" s="40"/>
      <c r="D230" s="10"/>
      <c r="E230" s="10"/>
      <c r="F230" s="11"/>
      <c r="G230" s="11"/>
    </row>
    <row r="231" ht="12.75" customHeight="1">
      <c r="A231" s="39"/>
      <c r="B231" s="39"/>
      <c r="C231" s="40"/>
      <c r="D231" s="10"/>
      <c r="E231" s="10"/>
      <c r="F231" s="11"/>
      <c r="G231" s="11"/>
    </row>
    <row r="232" ht="12.75" customHeight="1">
      <c r="A232" s="39"/>
      <c r="B232" s="39"/>
      <c r="C232" s="40"/>
      <c r="D232" s="10"/>
      <c r="E232" s="10"/>
      <c r="F232" s="11"/>
      <c r="G232" s="11"/>
    </row>
    <row r="233" ht="12.75" customHeight="1">
      <c r="A233" s="39"/>
      <c r="B233" s="39"/>
      <c r="C233" s="40"/>
      <c r="D233" s="10"/>
      <c r="E233" s="10"/>
      <c r="F233" s="11"/>
      <c r="G233" s="11"/>
    </row>
    <row r="234" ht="12.75" customHeight="1">
      <c r="A234" s="39"/>
      <c r="B234" s="39"/>
      <c r="C234" s="40"/>
      <c r="D234" s="10"/>
      <c r="E234" s="10"/>
      <c r="F234" s="11"/>
      <c r="G234" s="11"/>
    </row>
    <row r="235" ht="12.75" customHeight="1">
      <c r="A235" s="39"/>
      <c r="B235" s="39"/>
      <c r="C235" s="40"/>
      <c r="F235" s="11"/>
      <c r="G235" s="11"/>
    </row>
    <row r="236" ht="15.75" customHeight="1">
      <c r="A236" s="41"/>
    </row>
    <row r="237" ht="15.75" customHeight="1">
      <c r="A237" s="41"/>
    </row>
    <row r="238" ht="15.75" customHeight="1">
      <c r="A238" s="41"/>
    </row>
    <row r="239" ht="15.75" customHeight="1">
      <c r="A239" s="41"/>
    </row>
    <row r="240" ht="15.75" customHeight="1">
      <c r="A240" s="41"/>
    </row>
    <row r="241" ht="15.75" customHeight="1">
      <c r="A241" s="41"/>
    </row>
    <row r="242" ht="15.75" customHeight="1">
      <c r="A242" s="41"/>
    </row>
    <row r="243" ht="15.75" customHeight="1">
      <c r="A243" s="41"/>
    </row>
    <row r="244" ht="15.75" customHeight="1">
      <c r="A244" s="41"/>
    </row>
    <row r="245" ht="15.75" customHeight="1">
      <c r="A245" s="41"/>
    </row>
    <row r="246" ht="15.75" customHeight="1">
      <c r="A246" s="41"/>
    </row>
    <row r="247" ht="15.75" customHeight="1">
      <c r="A247" s="41"/>
    </row>
    <row r="248" ht="15.75" customHeight="1">
      <c r="A248" s="41"/>
    </row>
    <row r="249" ht="15.75" customHeight="1">
      <c r="A249" s="41"/>
    </row>
    <row r="250" ht="15.75" customHeight="1">
      <c r="A250" s="41"/>
    </row>
    <row r="251" ht="15.75" customHeight="1">
      <c r="A251" s="41"/>
    </row>
    <row r="252" ht="15.75" customHeight="1">
      <c r="A252" s="41"/>
    </row>
    <row r="253" ht="15.75" customHeight="1">
      <c r="A253" s="41"/>
    </row>
    <row r="254" ht="15.75" customHeight="1">
      <c r="A254" s="41"/>
    </row>
    <row r="255" ht="15.75" customHeight="1">
      <c r="A255" s="41"/>
    </row>
    <row r="256" ht="15.75" customHeight="1">
      <c r="A256" s="41"/>
    </row>
    <row r="257" ht="15.75" customHeight="1">
      <c r="A257" s="41"/>
    </row>
    <row r="258" ht="15.75" customHeight="1">
      <c r="A258" s="41"/>
    </row>
    <row r="259" ht="15.75" customHeight="1">
      <c r="A259" s="41"/>
    </row>
    <row r="260" ht="15.75" customHeight="1">
      <c r="A260" s="41"/>
    </row>
    <row r="261" ht="15.75" customHeight="1">
      <c r="A261" s="41"/>
    </row>
    <row r="262" ht="15.75" customHeight="1">
      <c r="A262" s="41"/>
    </row>
    <row r="263" ht="15.75" customHeight="1">
      <c r="A263" s="41"/>
    </row>
    <row r="264" ht="15.75" customHeight="1">
      <c r="A264" s="41"/>
    </row>
    <row r="265" ht="15.75" customHeight="1">
      <c r="A265" s="41"/>
    </row>
    <row r="266" ht="15.75" customHeight="1">
      <c r="A266" s="41"/>
    </row>
    <row r="267" ht="15.75" customHeight="1">
      <c r="A267" s="41"/>
    </row>
    <row r="268" ht="15.75" customHeight="1">
      <c r="A268" s="41"/>
    </row>
    <row r="269" ht="15.75" customHeight="1">
      <c r="A269" s="41"/>
    </row>
    <row r="270" ht="15.75" customHeight="1">
      <c r="A270" s="41"/>
    </row>
    <row r="271" ht="15.75" customHeight="1">
      <c r="A271" s="41"/>
    </row>
    <row r="272" ht="15.75" customHeight="1">
      <c r="A272" s="41"/>
    </row>
    <row r="273" ht="15.75" customHeight="1">
      <c r="A273" s="41"/>
    </row>
    <row r="274" ht="15.75" customHeight="1">
      <c r="A274" s="41"/>
    </row>
    <row r="275" ht="15.75" customHeight="1">
      <c r="A275" s="41"/>
    </row>
    <row r="276" ht="15.75" customHeight="1">
      <c r="A276" s="41"/>
    </row>
    <row r="277" ht="15.75" customHeight="1">
      <c r="A277" s="41"/>
    </row>
    <row r="278" ht="15.75" customHeight="1">
      <c r="A278" s="41"/>
    </row>
    <row r="279" ht="15.75" customHeight="1">
      <c r="A279" s="41"/>
    </row>
    <row r="280" ht="15.75" customHeight="1">
      <c r="A280" s="41"/>
    </row>
    <row r="281" ht="15.75" customHeight="1">
      <c r="A281" s="41"/>
    </row>
    <row r="282" ht="15.75" customHeight="1">
      <c r="A282" s="41"/>
    </row>
    <row r="283" ht="15.75" customHeight="1">
      <c r="A283" s="41"/>
    </row>
    <row r="284" ht="15.75" customHeight="1">
      <c r="A284" s="41"/>
    </row>
    <row r="285" ht="15.75" customHeight="1">
      <c r="A285" s="41"/>
    </row>
    <row r="286" ht="15.75" customHeight="1">
      <c r="A286" s="41"/>
    </row>
    <row r="287" ht="15.75" customHeight="1">
      <c r="A287" s="41"/>
    </row>
    <row r="288" ht="15.75" customHeight="1">
      <c r="A288" s="41"/>
    </row>
    <row r="289" ht="15.75" customHeight="1">
      <c r="A289" s="41"/>
    </row>
    <row r="290" ht="15.75" customHeight="1">
      <c r="A290" s="41"/>
    </row>
    <row r="291" ht="15.75" customHeight="1">
      <c r="A291" s="41"/>
    </row>
    <row r="292" ht="15.75" customHeight="1">
      <c r="A292" s="41"/>
    </row>
    <row r="293" ht="15.75" customHeight="1">
      <c r="A293" s="41"/>
    </row>
    <row r="294" ht="15.75" customHeight="1">
      <c r="A294" s="41"/>
    </row>
    <row r="295" ht="15.75" customHeight="1">
      <c r="A295" s="41"/>
    </row>
    <row r="296" ht="15.75" customHeight="1">
      <c r="A296" s="41"/>
    </row>
    <row r="297" ht="15.75" customHeight="1">
      <c r="A297" s="41"/>
    </row>
    <row r="298" ht="15.75" customHeight="1">
      <c r="A298" s="41"/>
    </row>
    <row r="299" ht="15.75" customHeight="1">
      <c r="A299" s="41"/>
    </row>
    <row r="300" ht="15.75" customHeight="1">
      <c r="A300" s="41"/>
    </row>
    <row r="301" ht="15.75" customHeight="1">
      <c r="A301" s="41"/>
    </row>
    <row r="302" ht="15.75" customHeight="1">
      <c r="A302" s="41"/>
    </row>
    <row r="303" ht="15.75" customHeight="1">
      <c r="A303" s="41"/>
    </row>
    <row r="304" ht="15.75" customHeight="1">
      <c r="A304" s="41"/>
    </row>
    <row r="305" ht="15.75" customHeight="1">
      <c r="A305" s="41"/>
    </row>
    <row r="306" ht="15.75" customHeight="1">
      <c r="A306" s="41"/>
    </row>
    <row r="307" ht="15.75" customHeight="1">
      <c r="A307" s="41"/>
    </row>
    <row r="308" ht="15.75" customHeight="1">
      <c r="A308" s="41"/>
    </row>
    <row r="309" ht="15.75" customHeight="1">
      <c r="A309" s="41"/>
    </row>
    <row r="310" ht="15.75" customHeight="1">
      <c r="A310" s="41"/>
    </row>
    <row r="311" ht="15.75" customHeight="1">
      <c r="A311" s="41"/>
    </row>
    <row r="312" ht="15.75" customHeight="1">
      <c r="A312" s="41"/>
    </row>
    <row r="313" ht="15.75" customHeight="1">
      <c r="A313" s="41"/>
    </row>
    <row r="314" ht="15.75" customHeight="1">
      <c r="A314" s="41"/>
    </row>
    <row r="315" ht="15.75" customHeight="1">
      <c r="A315" s="41"/>
    </row>
    <row r="316" ht="15.75" customHeight="1">
      <c r="A316" s="41"/>
    </row>
    <row r="317" ht="15.75" customHeight="1">
      <c r="A317" s="41"/>
    </row>
    <row r="318" ht="15.75" customHeight="1">
      <c r="A318" s="41"/>
    </row>
    <row r="319" ht="15.75" customHeight="1">
      <c r="A319" s="41"/>
    </row>
    <row r="320" ht="15.75" customHeight="1">
      <c r="A320" s="41"/>
    </row>
    <row r="321" ht="15.75" customHeight="1">
      <c r="A321" s="41"/>
    </row>
    <row r="322" ht="15.75" customHeight="1">
      <c r="A322" s="41"/>
    </row>
    <row r="323" ht="15.75" customHeight="1">
      <c r="A323" s="41"/>
    </row>
    <row r="324" ht="15.75" customHeight="1">
      <c r="A324" s="41"/>
    </row>
    <row r="325" ht="15.75" customHeight="1">
      <c r="A325" s="41"/>
    </row>
    <row r="326" ht="15.75" customHeight="1">
      <c r="A326" s="41"/>
    </row>
    <row r="327" ht="15.75" customHeight="1">
      <c r="A327" s="41"/>
    </row>
    <row r="328" ht="15.75" customHeight="1">
      <c r="A328" s="41"/>
    </row>
    <row r="329" ht="15.75" customHeight="1">
      <c r="A329" s="41"/>
    </row>
    <row r="330" ht="15.75" customHeight="1">
      <c r="A330" s="41"/>
    </row>
    <row r="331" ht="15.75" customHeight="1">
      <c r="A331" s="41"/>
    </row>
    <row r="332" ht="15.75" customHeight="1">
      <c r="A332" s="41"/>
    </row>
    <row r="333" ht="15.75" customHeight="1">
      <c r="A333" s="41"/>
    </row>
    <row r="334" ht="15.75" customHeight="1">
      <c r="A334" s="41"/>
    </row>
    <row r="335" ht="15.75" customHeight="1">
      <c r="A335" s="41"/>
    </row>
    <row r="336" ht="15.75" customHeight="1">
      <c r="A336" s="41"/>
    </row>
    <row r="337" ht="15.75" customHeight="1">
      <c r="A337" s="41"/>
    </row>
    <row r="338" ht="15.75" customHeight="1">
      <c r="A338" s="41"/>
    </row>
    <row r="339" ht="15.75" customHeight="1">
      <c r="A339" s="41"/>
    </row>
    <row r="340" ht="15.75" customHeight="1">
      <c r="A340" s="41"/>
    </row>
    <row r="341" ht="15.75" customHeight="1">
      <c r="A341" s="41"/>
    </row>
    <row r="342" ht="15.75" customHeight="1">
      <c r="A342" s="41"/>
    </row>
    <row r="343" ht="15.75" customHeight="1">
      <c r="A343" s="41"/>
    </row>
    <row r="344" ht="15.75" customHeight="1">
      <c r="A344" s="41"/>
    </row>
    <row r="345" ht="15.75" customHeight="1">
      <c r="A345" s="41"/>
    </row>
    <row r="346" ht="15.75" customHeight="1">
      <c r="A346" s="41"/>
    </row>
    <row r="347" ht="15.75" customHeight="1">
      <c r="A347" s="41"/>
    </row>
    <row r="348" ht="15.75" customHeight="1">
      <c r="A348" s="41"/>
    </row>
    <row r="349" ht="15.75" customHeight="1">
      <c r="A349" s="41"/>
    </row>
    <row r="350" ht="15.75" customHeight="1">
      <c r="A350" s="41"/>
    </row>
    <row r="351" ht="15.75" customHeight="1">
      <c r="A351" s="41"/>
    </row>
    <row r="352" ht="15.75" customHeight="1">
      <c r="A352" s="41"/>
    </row>
    <row r="353" ht="15.75" customHeight="1">
      <c r="A353" s="41"/>
    </row>
    <row r="354" ht="15.75" customHeight="1">
      <c r="A354" s="41"/>
    </row>
    <row r="355" ht="15.75" customHeight="1">
      <c r="A355" s="41"/>
    </row>
    <row r="356" ht="15.75" customHeight="1">
      <c r="A356" s="41"/>
    </row>
    <row r="357" ht="15.75" customHeight="1">
      <c r="A357" s="41"/>
    </row>
    <row r="358" ht="15.75" customHeight="1">
      <c r="A358" s="41"/>
    </row>
    <row r="359" ht="15.75" customHeight="1">
      <c r="A359" s="41"/>
    </row>
    <row r="360" ht="15.75" customHeight="1">
      <c r="A360" s="41"/>
    </row>
    <row r="361" ht="15.75" customHeight="1">
      <c r="A361" s="41"/>
    </row>
    <row r="362" ht="15.75" customHeight="1">
      <c r="A362" s="41"/>
    </row>
    <row r="363" ht="15.75" customHeight="1">
      <c r="A363" s="41"/>
    </row>
    <row r="364" ht="15.75" customHeight="1">
      <c r="A364" s="41"/>
    </row>
    <row r="365" ht="15.75" customHeight="1">
      <c r="A365" s="41"/>
    </row>
    <row r="366" ht="15.75" customHeight="1">
      <c r="A366" s="41"/>
    </row>
    <row r="367" ht="15.75" customHeight="1">
      <c r="A367" s="41"/>
    </row>
    <row r="368" ht="15.75" customHeight="1">
      <c r="A368" s="41"/>
    </row>
    <row r="369" ht="15.75" customHeight="1">
      <c r="A369" s="41"/>
    </row>
    <row r="370" ht="15.75" customHeight="1">
      <c r="A370" s="41"/>
    </row>
    <row r="371" ht="15.75" customHeight="1">
      <c r="A371" s="41"/>
    </row>
    <row r="372" ht="15.75" customHeight="1">
      <c r="A372" s="41"/>
    </row>
    <row r="373" ht="15.75" customHeight="1">
      <c r="A373" s="41"/>
    </row>
    <row r="374" ht="15.75" customHeight="1">
      <c r="A374" s="41"/>
    </row>
    <row r="375" ht="15.75" customHeight="1">
      <c r="A375" s="41"/>
    </row>
    <row r="376" ht="15.75" customHeight="1">
      <c r="A376" s="41"/>
    </row>
    <row r="377" ht="15.75" customHeight="1">
      <c r="A377" s="41"/>
    </row>
    <row r="378" ht="15.75" customHeight="1">
      <c r="A378" s="41"/>
    </row>
    <row r="379" ht="15.75" customHeight="1">
      <c r="A379" s="41"/>
    </row>
    <row r="380" ht="15.75" customHeight="1">
      <c r="A380" s="41"/>
    </row>
    <row r="381" ht="15.75" customHeight="1">
      <c r="A381" s="41"/>
    </row>
    <row r="382" ht="15.75" customHeight="1">
      <c r="A382" s="41"/>
    </row>
    <row r="383" ht="15.75" customHeight="1">
      <c r="A383" s="41"/>
    </row>
    <row r="384" ht="15.75" customHeight="1">
      <c r="A384" s="41"/>
    </row>
    <row r="385" ht="15.75" customHeight="1">
      <c r="A385" s="41"/>
    </row>
    <row r="386" ht="15.75" customHeight="1">
      <c r="A386" s="41"/>
    </row>
    <row r="387" ht="15.75" customHeight="1">
      <c r="A387" s="41"/>
    </row>
    <row r="388" ht="15.75" customHeight="1">
      <c r="A388" s="41"/>
    </row>
    <row r="389" ht="15.75" customHeight="1">
      <c r="A389" s="41"/>
    </row>
    <row r="390" ht="15.75" customHeight="1">
      <c r="A390" s="41"/>
    </row>
    <row r="391" ht="15.75" customHeight="1">
      <c r="A391" s="41"/>
    </row>
    <row r="392" ht="15.75" customHeight="1">
      <c r="A392" s="41"/>
    </row>
    <row r="393" ht="15.75" customHeight="1">
      <c r="A393" s="41"/>
    </row>
    <row r="394" ht="15.75" customHeight="1">
      <c r="A394" s="41"/>
    </row>
    <row r="395" ht="15.75" customHeight="1">
      <c r="A395" s="41"/>
    </row>
    <row r="396" ht="15.75" customHeight="1">
      <c r="A396" s="41"/>
    </row>
    <row r="397" ht="15.75" customHeight="1">
      <c r="A397" s="41"/>
    </row>
    <row r="398" ht="15.75" customHeight="1">
      <c r="A398" s="41"/>
    </row>
    <row r="399" ht="15.75" customHeight="1">
      <c r="A399" s="41"/>
    </row>
    <row r="400" ht="15.75" customHeight="1">
      <c r="A400" s="41"/>
    </row>
    <row r="401" ht="15.75" customHeight="1">
      <c r="A401" s="41"/>
    </row>
    <row r="402" ht="15.75" customHeight="1">
      <c r="A402" s="41"/>
    </row>
    <row r="403" ht="15.75" customHeight="1">
      <c r="A403" s="41"/>
    </row>
    <row r="404" ht="15.75" customHeight="1">
      <c r="A404" s="41"/>
    </row>
    <row r="405" ht="15.75" customHeight="1">
      <c r="A405" s="41"/>
    </row>
    <row r="406" ht="15.75" customHeight="1">
      <c r="A406" s="41"/>
    </row>
    <row r="407" ht="15.75" customHeight="1">
      <c r="A407" s="41"/>
    </row>
    <row r="408" ht="15.75" customHeight="1">
      <c r="A408" s="41"/>
    </row>
    <row r="409" ht="15.75" customHeight="1">
      <c r="A409" s="41"/>
    </row>
    <row r="410" ht="15.75" customHeight="1">
      <c r="A410" s="41"/>
    </row>
    <row r="411" ht="15.75" customHeight="1">
      <c r="A411" s="41"/>
    </row>
    <row r="412" ht="15.75" customHeight="1">
      <c r="A412" s="41"/>
    </row>
    <row r="413" ht="15.75" customHeight="1">
      <c r="A413" s="41"/>
    </row>
    <row r="414" ht="15.75" customHeight="1">
      <c r="A414" s="41"/>
    </row>
    <row r="415" ht="15.75" customHeight="1">
      <c r="A415" s="41"/>
    </row>
    <row r="416" ht="15.75" customHeight="1">
      <c r="A416" s="41"/>
    </row>
    <row r="417" ht="15.75" customHeight="1">
      <c r="A417" s="41"/>
    </row>
    <row r="418" ht="15.75" customHeight="1">
      <c r="A418" s="41"/>
    </row>
    <row r="419" ht="15.75" customHeight="1">
      <c r="A419" s="41"/>
    </row>
    <row r="420" ht="15.75" customHeight="1">
      <c r="A420" s="41"/>
    </row>
    <row r="421" ht="15.75" customHeight="1">
      <c r="A421" s="41"/>
    </row>
    <row r="422" ht="15.75" customHeight="1">
      <c r="A422" s="41"/>
    </row>
    <row r="423" ht="15.75" customHeight="1">
      <c r="A423" s="41"/>
    </row>
    <row r="424" ht="15.75" customHeight="1">
      <c r="A424" s="41"/>
    </row>
    <row r="425" ht="15.75" customHeight="1">
      <c r="A425" s="41"/>
    </row>
    <row r="426" ht="15.75" customHeight="1">
      <c r="A426" s="41"/>
    </row>
    <row r="427" ht="15.75" customHeight="1">
      <c r="A427" s="41"/>
    </row>
    <row r="428" ht="15.75" customHeight="1">
      <c r="A428" s="41"/>
    </row>
    <row r="429" ht="15.75" customHeight="1">
      <c r="A429" s="41"/>
    </row>
    <row r="430" ht="15.75" customHeight="1">
      <c r="A430" s="41"/>
    </row>
    <row r="431" ht="15.75" customHeight="1">
      <c r="A431" s="41"/>
    </row>
    <row r="432" ht="15.75" customHeight="1">
      <c r="A432" s="41"/>
    </row>
    <row r="433" ht="15.75" customHeight="1">
      <c r="A433" s="41"/>
    </row>
    <row r="434" ht="15.75" customHeight="1">
      <c r="A434" s="41"/>
    </row>
    <row r="435" ht="15.75" customHeight="1">
      <c r="A435" s="41"/>
    </row>
    <row r="436" ht="15.75" customHeight="1">
      <c r="A436" s="41"/>
    </row>
    <row r="437" ht="15.75" customHeight="1">
      <c r="A437" s="41"/>
    </row>
    <row r="438" ht="15.75" customHeight="1">
      <c r="A438" s="41"/>
    </row>
    <row r="439" ht="15.75" customHeight="1">
      <c r="A439" s="41"/>
    </row>
    <row r="440" ht="15.75" customHeight="1">
      <c r="A440" s="41"/>
    </row>
    <row r="441" ht="15.75" customHeight="1">
      <c r="A441" s="41"/>
    </row>
    <row r="442" ht="15.75" customHeight="1">
      <c r="A442" s="41"/>
    </row>
    <row r="443" ht="15.75" customHeight="1">
      <c r="A443" s="41"/>
    </row>
    <row r="444" ht="15.75" customHeight="1">
      <c r="A444" s="41"/>
    </row>
    <row r="445" ht="15.75" customHeight="1">
      <c r="A445" s="41"/>
    </row>
    <row r="446" ht="15.75" customHeight="1">
      <c r="A446" s="41"/>
    </row>
    <row r="447" ht="15.75" customHeight="1">
      <c r="A447" s="41"/>
    </row>
    <row r="448" ht="15.75" customHeight="1">
      <c r="A448" s="41"/>
    </row>
    <row r="449" ht="15.75" customHeight="1">
      <c r="A449" s="41"/>
    </row>
    <row r="450" ht="15.75" customHeight="1">
      <c r="A450" s="41"/>
    </row>
    <row r="451" ht="15.75" customHeight="1">
      <c r="A451" s="41"/>
    </row>
    <row r="452" ht="15.75" customHeight="1">
      <c r="A452" s="41"/>
    </row>
    <row r="453" ht="15.75" customHeight="1">
      <c r="A453" s="41"/>
    </row>
    <row r="454" ht="15.75" customHeight="1">
      <c r="A454" s="41"/>
    </row>
    <row r="455" ht="15.75" customHeight="1">
      <c r="A455" s="41"/>
    </row>
    <row r="456" ht="15.75" customHeight="1">
      <c r="A456" s="41"/>
    </row>
    <row r="457" ht="15.75" customHeight="1">
      <c r="A457" s="41"/>
    </row>
    <row r="458" ht="15.75" customHeight="1">
      <c r="A458" s="41"/>
    </row>
    <row r="459" ht="15.75" customHeight="1">
      <c r="A459" s="41"/>
    </row>
    <row r="460" ht="15.75" customHeight="1">
      <c r="A460" s="41"/>
    </row>
    <row r="461" ht="15.75" customHeight="1">
      <c r="A461" s="41"/>
    </row>
    <row r="462" ht="15.75" customHeight="1">
      <c r="A462" s="41"/>
    </row>
    <row r="463" ht="15.75" customHeight="1">
      <c r="A463" s="41"/>
    </row>
    <row r="464" ht="15.75" customHeight="1">
      <c r="A464" s="41"/>
    </row>
    <row r="465" ht="15.75" customHeight="1">
      <c r="A465" s="41"/>
    </row>
    <row r="466" ht="15.75" customHeight="1">
      <c r="A466" s="41"/>
    </row>
    <row r="467" ht="15.75" customHeight="1">
      <c r="A467" s="41"/>
    </row>
    <row r="468" ht="15.75" customHeight="1">
      <c r="A468" s="41"/>
    </row>
    <row r="469" ht="15.75" customHeight="1">
      <c r="A469" s="41"/>
    </row>
    <row r="470" ht="15.75" customHeight="1">
      <c r="A470" s="41"/>
    </row>
    <row r="471" ht="15.75" customHeight="1">
      <c r="A471" s="41"/>
    </row>
    <row r="472" ht="15.75" customHeight="1">
      <c r="A472" s="41"/>
    </row>
    <row r="473" ht="15.75" customHeight="1">
      <c r="A473" s="41"/>
    </row>
    <row r="474" ht="15.75" customHeight="1">
      <c r="A474" s="41"/>
    </row>
    <row r="475" ht="15.75" customHeight="1">
      <c r="A475" s="41"/>
    </row>
    <row r="476" ht="15.75" customHeight="1">
      <c r="A476" s="41"/>
    </row>
    <row r="477" ht="15.75" customHeight="1">
      <c r="A477" s="41"/>
    </row>
    <row r="478" ht="15.75" customHeight="1">
      <c r="A478" s="41"/>
    </row>
    <row r="479" ht="15.75" customHeight="1">
      <c r="A479" s="41"/>
    </row>
    <row r="480" ht="15.75" customHeight="1">
      <c r="A480" s="41"/>
    </row>
    <row r="481" ht="15.75" customHeight="1">
      <c r="A481" s="41"/>
    </row>
    <row r="482" ht="15.75" customHeight="1">
      <c r="A482" s="41"/>
    </row>
    <row r="483" ht="15.75" customHeight="1">
      <c r="A483" s="41"/>
    </row>
    <row r="484" ht="15.75" customHeight="1">
      <c r="A484" s="41"/>
    </row>
    <row r="485" ht="15.75" customHeight="1">
      <c r="A485" s="41"/>
    </row>
    <row r="486" ht="15.75" customHeight="1">
      <c r="A486" s="41"/>
    </row>
    <row r="487" ht="15.75" customHeight="1">
      <c r="A487" s="41"/>
    </row>
    <row r="488" ht="15.75" customHeight="1">
      <c r="A488" s="41"/>
    </row>
    <row r="489" ht="15.75" customHeight="1">
      <c r="A489" s="41"/>
    </row>
    <row r="490" ht="15.75" customHeight="1">
      <c r="A490" s="41"/>
    </row>
    <row r="491" ht="15.75" customHeight="1">
      <c r="A491" s="41"/>
    </row>
    <row r="492" ht="15.75" customHeight="1">
      <c r="A492" s="41"/>
    </row>
    <row r="493" ht="15.75" customHeight="1">
      <c r="A493" s="41"/>
    </row>
    <row r="494" ht="15.75" customHeight="1">
      <c r="A494" s="41"/>
    </row>
    <row r="495" ht="15.75" customHeight="1">
      <c r="A495" s="41"/>
    </row>
    <row r="496" ht="15.75" customHeight="1">
      <c r="A496" s="41"/>
    </row>
    <row r="497" ht="15.75" customHeight="1">
      <c r="A497" s="41"/>
    </row>
    <row r="498" ht="15.75" customHeight="1">
      <c r="A498" s="41"/>
    </row>
    <row r="499" ht="15.75" customHeight="1">
      <c r="A499" s="41"/>
    </row>
    <row r="500" ht="15.75" customHeight="1">
      <c r="A500" s="41"/>
    </row>
    <row r="501" ht="15.75" customHeight="1">
      <c r="A501" s="41"/>
    </row>
    <row r="502" ht="15.75" customHeight="1">
      <c r="A502" s="41"/>
    </row>
    <row r="503" ht="15.75" customHeight="1">
      <c r="A503" s="41"/>
    </row>
    <row r="504" ht="15.75" customHeight="1">
      <c r="A504" s="41"/>
    </row>
    <row r="505" ht="15.75" customHeight="1">
      <c r="A505" s="41"/>
    </row>
    <row r="506" ht="15.75" customHeight="1">
      <c r="A506" s="41"/>
    </row>
    <row r="507" ht="15.75" customHeight="1">
      <c r="A507" s="41"/>
    </row>
    <row r="508" ht="15.75" customHeight="1">
      <c r="A508" s="41"/>
    </row>
    <row r="509" ht="15.75" customHeight="1">
      <c r="A509" s="41"/>
    </row>
    <row r="510" ht="15.75" customHeight="1">
      <c r="A510" s="41"/>
    </row>
    <row r="511" ht="15.75" customHeight="1">
      <c r="A511" s="41"/>
    </row>
    <row r="512" ht="15.75" customHeight="1">
      <c r="A512" s="41"/>
    </row>
    <row r="513" ht="15.75" customHeight="1">
      <c r="A513" s="41"/>
    </row>
    <row r="514" ht="15.75" customHeight="1">
      <c r="A514" s="41"/>
    </row>
    <row r="515" ht="15.75" customHeight="1">
      <c r="A515" s="41"/>
    </row>
    <row r="516" ht="15.75" customHeight="1">
      <c r="A516" s="41"/>
    </row>
    <row r="517" ht="15.75" customHeight="1">
      <c r="A517" s="41"/>
    </row>
    <row r="518" ht="15.75" customHeight="1">
      <c r="A518" s="41"/>
    </row>
    <row r="519" ht="15.75" customHeight="1">
      <c r="A519" s="41"/>
    </row>
    <row r="520" ht="15.75" customHeight="1">
      <c r="A520" s="41"/>
    </row>
    <row r="521" ht="15.75" customHeight="1">
      <c r="A521" s="41"/>
    </row>
    <row r="522" ht="15.75" customHeight="1">
      <c r="A522" s="41"/>
    </row>
    <row r="523" ht="15.75" customHeight="1">
      <c r="A523" s="41"/>
    </row>
    <row r="524" ht="15.75" customHeight="1">
      <c r="A524" s="41"/>
    </row>
    <row r="525" ht="15.75" customHeight="1">
      <c r="A525" s="41"/>
    </row>
    <row r="526" ht="15.75" customHeight="1">
      <c r="A526" s="41"/>
    </row>
    <row r="527" ht="15.75" customHeight="1">
      <c r="A527" s="41"/>
    </row>
    <row r="528" ht="15.75" customHeight="1">
      <c r="A528" s="41"/>
    </row>
    <row r="529" ht="15.75" customHeight="1">
      <c r="A529" s="41"/>
    </row>
    <row r="530" ht="15.75" customHeight="1">
      <c r="A530" s="41"/>
    </row>
    <row r="531" ht="15.75" customHeight="1">
      <c r="A531" s="41"/>
    </row>
    <row r="532" ht="15.75" customHeight="1">
      <c r="A532" s="41"/>
    </row>
    <row r="533" ht="15.75" customHeight="1">
      <c r="A533" s="41"/>
    </row>
    <row r="534" ht="15.75" customHeight="1">
      <c r="A534" s="41"/>
    </row>
    <row r="535" ht="15.75" customHeight="1">
      <c r="A535" s="41"/>
    </row>
    <row r="536" ht="15.75" customHeight="1">
      <c r="A536" s="41"/>
    </row>
    <row r="537" ht="15.75" customHeight="1">
      <c r="A537" s="41"/>
    </row>
    <row r="538" ht="15.75" customHeight="1">
      <c r="A538" s="41"/>
    </row>
    <row r="539" ht="15.75" customHeight="1">
      <c r="A539" s="41"/>
    </row>
    <row r="540" ht="15.75" customHeight="1">
      <c r="A540" s="41"/>
    </row>
    <row r="541" ht="15.75" customHeight="1">
      <c r="A541" s="41"/>
    </row>
    <row r="542" ht="15.75" customHeight="1">
      <c r="A542" s="41"/>
    </row>
    <row r="543" ht="15.75" customHeight="1">
      <c r="A543" s="41"/>
    </row>
    <row r="544" ht="15.75" customHeight="1">
      <c r="A544" s="41"/>
    </row>
    <row r="545" ht="15.75" customHeight="1">
      <c r="A545" s="41"/>
    </row>
    <row r="546" ht="15.75" customHeight="1">
      <c r="A546" s="41"/>
    </row>
    <row r="547" ht="15.75" customHeight="1">
      <c r="A547" s="41"/>
    </row>
    <row r="548" ht="15.75" customHeight="1">
      <c r="A548" s="41"/>
    </row>
    <row r="549" ht="15.75" customHeight="1">
      <c r="A549" s="41"/>
    </row>
    <row r="550" ht="15.75" customHeight="1">
      <c r="A550" s="41"/>
    </row>
    <row r="551" ht="15.75" customHeight="1">
      <c r="A551" s="41"/>
    </row>
    <row r="552" ht="15.75" customHeight="1">
      <c r="A552" s="41"/>
    </row>
    <row r="553" ht="15.75" customHeight="1">
      <c r="A553" s="41"/>
    </row>
    <row r="554" ht="15.75" customHeight="1">
      <c r="A554" s="41"/>
    </row>
    <row r="555" ht="15.75" customHeight="1">
      <c r="A555" s="41"/>
    </row>
    <row r="556" ht="15.75" customHeight="1">
      <c r="A556" s="41"/>
    </row>
    <row r="557" ht="15.75" customHeight="1">
      <c r="A557" s="41"/>
    </row>
    <row r="558" ht="15.75" customHeight="1">
      <c r="A558" s="41"/>
    </row>
    <row r="559" ht="15.75" customHeight="1">
      <c r="A559" s="41"/>
    </row>
    <row r="560" ht="15.75" customHeight="1">
      <c r="A560" s="41"/>
    </row>
    <row r="561" ht="15.75" customHeight="1">
      <c r="A561" s="41"/>
    </row>
    <row r="562" ht="15.75" customHeight="1">
      <c r="A562" s="41"/>
    </row>
    <row r="563" ht="15.75" customHeight="1">
      <c r="A563" s="41"/>
    </row>
    <row r="564" ht="15.75" customHeight="1">
      <c r="A564" s="41"/>
    </row>
    <row r="565" ht="15.75" customHeight="1">
      <c r="A565" s="41"/>
    </row>
    <row r="566" ht="15.75" customHeight="1">
      <c r="A566" s="41"/>
    </row>
    <row r="567" ht="15.75" customHeight="1">
      <c r="A567" s="41"/>
    </row>
    <row r="568" ht="15.75" customHeight="1">
      <c r="A568" s="41"/>
    </row>
    <row r="569" ht="15.75" customHeight="1">
      <c r="A569" s="41"/>
    </row>
    <row r="570" ht="15.75" customHeight="1">
      <c r="A570" s="41"/>
    </row>
    <row r="571" ht="15.75" customHeight="1">
      <c r="A571" s="41"/>
    </row>
    <row r="572" ht="15.75" customHeight="1">
      <c r="A572" s="41"/>
    </row>
    <row r="573" ht="15.75" customHeight="1">
      <c r="A573" s="41"/>
    </row>
    <row r="574" ht="15.75" customHeight="1">
      <c r="A574" s="41"/>
    </row>
    <row r="575" ht="15.75" customHeight="1">
      <c r="A575" s="41"/>
    </row>
    <row r="576" ht="15.75" customHeight="1">
      <c r="A576" s="41"/>
    </row>
    <row r="577" ht="15.75" customHeight="1">
      <c r="A577" s="41"/>
    </row>
    <row r="578" ht="15.75" customHeight="1">
      <c r="A578" s="41"/>
    </row>
    <row r="579" ht="15.75" customHeight="1">
      <c r="A579" s="41"/>
    </row>
    <row r="580" ht="15.75" customHeight="1">
      <c r="A580" s="41"/>
    </row>
    <row r="581" ht="15.75" customHeight="1">
      <c r="A581" s="41"/>
    </row>
    <row r="582" ht="15.75" customHeight="1">
      <c r="A582" s="41"/>
    </row>
    <row r="583" ht="15.75" customHeight="1">
      <c r="A583" s="41"/>
    </row>
    <row r="584" ht="15.75" customHeight="1">
      <c r="A584" s="41"/>
    </row>
    <row r="585" ht="15.75" customHeight="1">
      <c r="A585" s="41"/>
    </row>
    <row r="586" ht="15.75" customHeight="1">
      <c r="A586" s="41"/>
    </row>
    <row r="587" ht="15.75" customHeight="1">
      <c r="A587" s="41"/>
    </row>
    <row r="588" ht="15.75" customHeight="1">
      <c r="A588" s="41"/>
    </row>
    <row r="589" ht="15.75" customHeight="1">
      <c r="A589" s="41"/>
    </row>
    <row r="590" ht="15.75" customHeight="1">
      <c r="A590" s="41"/>
    </row>
    <row r="591" ht="15.75" customHeight="1">
      <c r="A591" s="41"/>
    </row>
    <row r="592" ht="15.75" customHeight="1">
      <c r="A592" s="41"/>
    </row>
    <row r="593" ht="15.75" customHeight="1">
      <c r="A593" s="41"/>
    </row>
    <row r="594" ht="15.75" customHeight="1">
      <c r="A594" s="41"/>
    </row>
    <row r="595" ht="15.75" customHeight="1">
      <c r="A595" s="41"/>
    </row>
    <row r="596" ht="15.75" customHeight="1">
      <c r="A596" s="41"/>
    </row>
    <row r="597" ht="15.75" customHeight="1">
      <c r="A597" s="41"/>
    </row>
    <row r="598" ht="15.75" customHeight="1">
      <c r="A598" s="41"/>
    </row>
    <row r="599" ht="15.75" customHeight="1">
      <c r="A599" s="41"/>
    </row>
    <row r="600" ht="15.75" customHeight="1">
      <c r="A600" s="41"/>
    </row>
    <row r="601" ht="15.75" customHeight="1">
      <c r="A601" s="41"/>
    </row>
    <row r="602" ht="15.75" customHeight="1">
      <c r="A602" s="41"/>
    </row>
    <row r="603" ht="15.75" customHeight="1">
      <c r="A603" s="41"/>
    </row>
    <row r="604" ht="15.75" customHeight="1">
      <c r="A604" s="41"/>
    </row>
    <row r="605" ht="15.75" customHeight="1">
      <c r="A605" s="41"/>
    </row>
    <row r="606" ht="15.75" customHeight="1">
      <c r="A606" s="41"/>
    </row>
    <row r="607" ht="15.75" customHeight="1">
      <c r="A607" s="41"/>
    </row>
    <row r="608" ht="15.75" customHeight="1">
      <c r="A608" s="41"/>
    </row>
    <row r="609" ht="15.75" customHeight="1">
      <c r="A609" s="41"/>
    </row>
    <row r="610" ht="15.75" customHeight="1">
      <c r="A610" s="41"/>
    </row>
    <row r="611" ht="15.75" customHeight="1">
      <c r="A611" s="41"/>
    </row>
    <row r="612" ht="15.75" customHeight="1">
      <c r="A612" s="41"/>
    </row>
    <row r="613" ht="15.75" customHeight="1">
      <c r="A613" s="41"/>
    </row>
    <row r="614" ht="15.75" customHeight="1">
      <c r="A614" s="41"/>
    </row>
    <row r="615" ht="15.75" customHeight="1">
      <c r="A615" s="41"/>
    </row>
    <row r="616" ht="15.75" customHeight="1">
      <c r="A616" s="41"/>
    </row>
    <row r="617" ht="15.75" customHeight="1">
      <c r="A617" s="41"/>
    </row>
    <row r="618" ht="15.75" customHeight="1">
      <c r="A618" s="41"/>
    </row>
    <row r="619" ht="15.75" customHeight="1">
      <c r="A619" s="41"/>
    </row>
    <row r="620" ht="15.75" customHeight="1">
      <c r="A620" s="41"/>
    </row>
    <row r="621" ht="15.75" customHeight="1">
      <c r="A621" s="41"/>
    </row>
    <row r="622" ht="15.75" customHeight="1">
      <c r="A622" s="41"/>
    </row>
    <row r="623" ht="15.75" customHeight="1">
      <c r="A623" s="41"/>
    </row>
    <row r="624" ht="15.75" customHeight="1">
      <c r="A624" s="41"/>
    </row>
    <row r="625" ht="15.75" customHeight="1">
      <c r="A625" s="41"/>
    </row>
    <row r="626" ht="15.75" customHeight="1">
      <c r="A626" s="41"/>
    </row>
    <row r="627" ht="15.75" customHeight="1">
      <c r="A627" s="41"/>
    </row>
    <row r="628" ht="15.75" customHeight="1">
      <c r="A628" s="41"/>
    </row>
    <row r="629" ht="15.75" customHeight="1">
      <c r="A629" s="41"/>
    </row>
    <row r="630" ht="15.75" customHeight="1">
      <c r="A630" s="41"/>
    </row>
    <row r="631" ht="15.75" customHeight="1">
      <c r="A631" s="41"/>
    </row>
    <row r="632" ht="15.75" customHeight="1">
      <c r="A632" s="41"/>
    </row>
    <row r="633" ht="15.75" customHeight="1">
      <c r="A633" s="41"/>
    </row>
    <row r="634" ht="15.75" customHeight="1">
      <c r="A634" s="41"/>
    </row>
    <row r="635" ht="15.75" customHeight="1">
      <c r="A635" s="41"/>
    </row>
    <row r="636" ht="15.75" customHeight="1">
      <c r="A636" s="41"/>
    </row>
    <row r="637" ht="15.75" customHeight="1">
      <c r="A637" s="41"/>
    </row>
    <row r="638" ht="15.75" customHeight="1">
      <c r="A638" s="41"/>
    </row>
    <row r="639" ht="15.75" customHeight="1">
      <c r="A639" s="41"/>
    </row>
    <row r="640" ht="15.75" customHeight="1">
      <c r="A640" s="41"/>
    </row>
    <row r="641" ht="15.75" customHeight="1">
      <c r="A641" s="41"/>
    </row>
    <row r="642" ht="15.75" customHeight="1">
      <c r="A642" s="41"/>
    </row>
    <row r="643" ht="15.75" customHeight="1">
      <c r="A643" s="41"/>
    </row>
    <row r="644" ht="15.75" customHeight="1">
      <c r="A644" s="41"/>
    </row>
    <row r="645" ht="15.75" customHeight="1">
      <c r="A645" s="41"/>
    </row>
    <row r="646" ht="15.75" customHeight="1">
      <c r="A646" s="41"/>
    </row>
    <row r="647" ht="15.75" customHeight="1">
      <c r="A647" s="41"/>
    </row>
    <row r="648" ht="15.75" customHeight="1">
      <c r="A648" s="41"/>
    </row>
    <row r="649" ht="15.75" customHeight="1">
      <c r="A649" s="41"/>
    </row>
    <row r="650" ht="15.75" customHeight="1">
      <c r="A650" s="41"/>
    </row>
    <row r="651" ht="15.75" customHeight="1">
      <c r="A651" s="41"/>
    </row>
    <row r="652" ht="15.75" customHeight="1">
      <c r="A652" s="41"/>
    </row>
    <row r="653" ht="15.75" customHeight="1">
      <c r="A653" s="41"/>
    </row>
    <row r="654" ht="15.75" customHeight="1">
      <c r="A654" s="41"/>
    </row>
    <row r="655" ht="15.75" customHeight="1">
      <c r="A655" s="41"/>
    </row>
    <row r="656" ht="15.75" customHeight="1">
      <c r="A656" s="41"/>
    </row>
    <row r="657" ht="15.75" customHeight="1">
      <c r="A657" s="41"/>
    </row>
    <row r="658" ht="15.75" customHeight="1">
      <c r="A658" s="41"/>
    </row>
    <row r="659" ht="15.75" customHeight="1">
      <c r="A659" s="41"/>
    </row>
    <row r="660" ht="15.75" customHeight="1">
      <c r="A660" s="41"/>
    </row>
    <row r="661" ht="15.75" customHeight="1">
      <c r="A661" s="41"/>
    </row>
    <row r="662" ht="15.75" customHeight="1">
      <c r="A662" s="41"/>
    </row>
    <row r="663" ht="15.75" customHeight="1">
      <c r="A663" s="41"/>
    </row>
    <row r="664" ht="15.75" customHeight="1">
      <c r="A664" s="41"/>
    </row>
    <row r="665" ht="15.75" customHeight="1">
      <c r="A665" s="41"/>
    </row>
    <row r="666" ht="15.75" customHeight="1">
      <c r="A666" s="41"/>
    </row>
    <row r="667" ht="15.75" customHeight="1">
      <c r="A667" s="41"/>
    </row>
    <row r="668" ht="15.75" customHeight="1">
      <c r="A668" s="41"/>
    </row>
    <row r="669" ht="15.75" customHeight="1">
      <c r="A669" s="41"/>
    </row>
    <row r="670" ht="15.75" customHeight="1">
      <c r="A670" s="41"/>
    </row>
    <row r="671" ht="15.75" customHeight="1">
      <c r="A671" s="41"/>
    </row>
    <row r="672" ht="15.75" customHeight="1">
      <c r="A672" s="41"/>
    </row>
    <row r="673" ht="15.75" customHeight="1">
      <c r="A673" s="41"/>
    </row>
    <row r="674" ht="15.75" customHeight="1">
      <c r="A674" s="41"/>
    </row>
    <row r="675" ht="15.75" customHeight="1">
      <c r="A675" s="41"/>
    </row>
    <row r="676" ht="15.75" customHeight="1">
      <c r="A676" s="41"/>
    </row>
    <row r="677" ht="15.75" customHeight="1">
      <c r="A677" s="41"/>
    </row>
    <row r="678" ht="15.75" customHeight="1">
      <c r="A678" s="41"/>
    </row>
    <row r="679" ht="15.75" customHeight="1">
      <c r="A679" s="41"/>
    </row>
    <row r="680" ht="15.75" customHeight="1">
      <c r="A680" s="41"/>
    </row>
    <row r="681" ht="15.75" customHeight="1">
      <c r="A681" s="41"/>
    </row>
    <row r="682" ht="15.75" customHeight="1">
      <c r="A682" s="41"/>
    </row>
    <row r="683" ht="15.75" customHeight="1">
      <c r="A683" s="41"/>
    </row>
    <row r="684" ht="15.75" customHeight="1">
      <c r="A684" s="41"/>
    </row>
    <row r="685" ht="15.75" customHeight="1">
      <c r="A685" s="41"/>
    </row>
    <row r="686" ht="15.75" customHeight="1">
      <c r="A686" s="41"/>
    </row>
    <row r="687" ht="15.75" customHeight="1">
      <c r="A687" s="41"/>
    </row>
    <row r="688" ht="15.75" customHeight="1">
      <c r="A688" s="41"/>
    </row>
    <row r="689" ht="15.75" customHeight="1">
      <c r="A689" s="41"/>
    </row>
    <row r="690" ht="15.75" customHeight="1">
      <c r="A690" s="41"/>
    </row>
    <row r="691" ht="15.75" customHeight="1">
      <c r="A691" s="41"/>
    </row>
    <row r="692" ht="15.75" customHeight="1">
      <c r="A692" s="41"/>
    </row>
    <row r="693" ht="15.75" customHeight="1">
      <c r="A693" s="41"/>
    </row>
    <row r="694" ht="15.75" customHeight="1">
      <c r="A694" s="41"/>
    </row>
    <row r="695" ht="15.75" customHeight="1">
      <c r="A695" s="41"/>
    </row>
    <row r="696" ht="15.75" customHeight="1">
      <c r="A696" s="41"/>
    </row>
    <row r="697" ht="15.75" customHeight="1">
      <c r="A697" s="41"/>
    </row>
    <row r="698" ht="15.75" customHeight="1">
      <c r="A698" s="41"/>
    </row>
    <row r="699" ht="15.75" customHeight="1">
      <c r="A699" s="41"/>
    </row>
    <row r="700" ht="15.75" customHeight="1">
      <c r="A700" s="41"/>
    </row>
    <row r="701" ht="15.75" customHeight="1">
      <c r="A701" s="41"/>
    </row>
    <row r="702" ht="15.75" customHeight="1">
      <c r="A702" s="41"/>
    </row>
    <row r="703" ht="15.75" customHeight="1">
      <c r="A703" s="41"/>
    </row>
    <row r="704" ht="15.75" customHeight="1">
      <c r="A704" s="41"/>
    </row>
    <row r="705" ht="15.75" customHeight="1">
      <c r="A705" s="41"/>
    </row>
    <row r="706" ht="15.75" customHeight="1">
      <c r="A706" s="41"/>
    </row>
    <row r="707" ht="15.75" customHeight="1">
      <c r="A707" s="41"/>
    </row>
    <row r="708" ht="15.75" customHeight="1">
      <c r="A708" s="41"/>
    </row>
    <row r="709" ht="15.75" customHeight="1">
      <c r="A709" s="41"/>
    </row>
    <row r="710" ht="15.75" customHeight="1">
      <c r="A710" s="41"/>
    </row>
    <row r="711" ht="15.75" customHeight="1">
      <c r="A711" s="41"/>
    </row>
    <row r="712" ht="15.75" customHeight="1">
      <c r="A712" s="41"/>
    </row>
    <row r="713" ht="15.75" customHeight="1">
      <c r="A713" s="41"/>
    </row>
    <row r="714" ht="15.75" customHeight="1">
      <c r="A714" s="41"/>
    </row>
    <row r="715" ht="15.75" customHeight="1">
      <c r="A715" s="41"/>
    </row>
    <row r="716" ht="15.75" customHeight="1">
      <c r="A716" s="41"/>
    </row>
    <row r="717" ht="15.75" customHeight="1">
      <c r="A717" s="41"/>
    </row>
    <row r="718" ht="15.75" customHeight="1">
      <c r="A718" s="41"/>
    </row>
    <row r="719" ht="15.75" customHeight="1">
      <c r="A719" s="41"/>
    </row>
    <row r="720" ht="15.75" customHeight="1">
      <c r="A720" s="41"/>
    </row>
    <row r="721" ht="15.75" customHeight="1">
      <c r="A721" s="41"/>
    </row>
    <row r="722" ht="15.75" customHeight="1">
      <c r="A722" s="41"/>
    </row>
    <row r="723" ht="15.75" customHeight="1">
      <c r="A723" s="41"/>
    </row>
    <row r="724" ht="15.75" customHeight="1">
      <c r="A724" s="41"/>
    </row>
    <row r="725" ht="15.75" customHeight="1">
      <c r="A725" s="41"/>
    </row>
    <row r="726" ht="15.75" customHeight="1">
      <c r="A726" s="41"/>
    </row>
    <row r="727" ht="15.75" customHeight="1">
      <c r="A727" s="41"/>
    </row>
    <row r="728" ht="15.75" customHeight="1">
      <c r="A728" s="41"/>
    </row>
    <row r="729" ht="15.75" customHeight="1">
      <c r="A729" s="41"/>
    </row>
    <row r="730" ht="15.75" customHeight="1">
      <c r="A730" s="41"/>
    </row>
    <row r="731" ht="15.75" customHeight="1">
      <c r="A731" s="41"/>
    </row>
    <row r="732" ht="15.75" customHeight="1">
      <c r="A732" s="41"/>
    </row>
    <row r="733" ht="15.75" customHeight="1">
      <c r="A733" s="41"/>
    </row>
    <row r="734" ht="15.75" customHeight="1">
      <c r="A734" s="41"/>
    </row>
    <row r="735" ht="15.75" customHeight="1">
      <c r="A735" s="41"/>
    </row>
    <row r="736" ht="15.75" customHeight="1">
      <c r="A736" s="41"/>
    </row>
    <row r="737" ht="15.75" customHeight="1">
      <c r="A737" s="41"/>
    </row>
    <row r="738" ht="15.75" customHeight="1">
      <c r="A738" s="41"/>
    </row>
    <row r="739" ht="15.75" customHeight="1">
      <c r="A739" s="41"/>
    </row>
    <row r="740" ht="15.75" customHeight="1">
      <c r="A740" s="41"/>
    </row>
    <row r="741" ht="15.75" customHeight="1">
      <c r="A741" s="41"/>
    </row>
    <row r="742" ht="15.75" customHeight="1">
      <c r="A742" s="41"/>
    </row>
    <row r="743" ht="15.75" customHeight="1">
      <c r="A743" s="41"/>
    </row>
    <row r="744" ht="15.75" customHeight="1">
      <c r="A744" s="41"/>
    </row>
    <row r="745" ht="15.75" customHeight="1">
      <c r="A745" s="41"/>
    </row>
    <row r="746" ht="15.75" customHeight="1">
      <c r="A746" s="41"/>
    </row>
    <row r="747" ht="15.75" customHeight="1">
      <c r="A747" s="41"/>
    </row>
    <row r="748" ht="15.75" customHeight="1">
      <c r="A748" s="41"/>
    </row>
    <row r="749" ht="15.75" customHeight="1">
      <c r="A749" s="41"/>
    </row>
    <row r="750" ht="15.75" customHeight="1">
      <c r="A750" s="41"/>
    </row>
    <row r="751" ht="15.75" customHeight="1">
      <c r="A751" s="41"/>
    </row>
    <row r="752" ht="15.75" customHeight="1">
      <c r="A752" s="41"/>
    </row>
    <row r="753" ht="15.75" customHeight="1">
      <c r="A753" s="41"/>
    </row>
    <row r="754" ht="15.75" customHeight="1">
      <c r="A754" s="41"/>
    </row>
    <row r="755" ht="15.75" customHeight="1">
      <c r="A755" s="41"/>
    </row>
    <row r="756" ht="15.75" customHeight="1">
      <c r="A756" s="41"/>
    </row>
    <row r="757" ht="15.75" customHeight="1">
      <c r="A757" s="41"/>
    </row>
    <row r="758" ht="15.75" customHeight="1">
      <c r="A758" s="41"/>
    </row>
    <row r="759" ht="15.75" customHeight="1">
      <c r="A759" s="41"/>
    </row>
    <row r="760" ht="15.75" customHeight="1">
      <c r="A760" s="41"/>
    </row>
    <row r="761" ht="15.75" customHeight="1">
      <c r="A761" s="41"/>
    </row>
    <row r="762" ht="15.75" customHeight="1">
      <c r="A762" s="41"/>
    </row>
    <row r="763" ht="15.75" customHeight="1">
      <c r="A763" s="41"/>
    </row>
    <row r="764" ht="15.75" customHeight="1">
      <c r="A764" s="41"/>
    </row>
    <row r="765" ht="15.75" customHeight="1">
      <c r="A765" s="41"/>
    </row>
    <row r="766" ht="15.75" customHeight="1">
      <c r="A766" s="41"/>
    </row>
    <row r="767" ht="15.75" customHeight="1">
      <c r="A767" s="41"/>
    </row>
    <row r="768" ht="15.75" customHeight="1">
      <c r="A768" s="41"/>
    </row>
    <row r="769" ht="15.75" customHeight="1">
      <c r="A769" s="41"/>
    </row>
    <row r="770" ht="15.75" customHeight="1">
      <c r="A770" s="41"/>
    </row>
    <row r="771" ht="15.75" customHeight="1">
      <c r="A771" s="41"/>
    </row>
    <row r="772" ht="15.75" customHeight="1">
      <c r="A772" s="41"/>
    </row>
    <row r="773" ht="15.75" customHeight="1">
      <c r="A773" s="41"/>
    </row>
    <row r="774" ht="15.75" customHeight="1">
      <c r="A774" s="41"/>
    </row>
    <row r="775" ht="15.75" customHeight="1">
      <c r="A775" s="41"/>
    </row>
    <row r="776" ht="15.75" customHeight="1">
      <c r="A776" s="41"/>
    </row>
    <row r="777" ht="15.75" customHeight="1">
      <c r="A777" s="41"/>
    </row>
    <row r="778" ht="15.75" customHeight="1">
      <c r="A778" s="41"/>
    </row>
    <row r="779" ht="15.75" customHeight="1">
      <c r="A779" s="41"/>
    </row>
    <row r="780" ht="15.75" customHeight="1">
      <c r="A780" s="41"/>
    </row>
    <row r="781" ht="15.75" customHeight="1">
      <c r="A781" s="41"/>
    </row>
    <row r="782" ht="15.75" customHeight="1">
      <c r="A782" s="41"/>
    </row>
    <row r="783" ht="15.75" customHeight="1">
      <c r="A783" s="41"/>
    </row>
    <row r="784" ht="15.75" customHeight="1">
      <c r="A784" s="41"/>
    </row>
    <row r="785" ht="15.75" customHeight="1">
      <c r="A785" s="41"/>
    </row>
    <row r="786" ht="15.75" customHeight="1">
      <c r="A786" s="41"/>
    </row>
    <row r="787" ht="15.75" customHeight="1">
      <c r="A787" s="41"/>
    </row>
    <row r="788" ht="15.75" customHeight="1">
      <c r="A788" s="41"/>
    </row>
    <row r="789" ht="15.75" customHeight="1">
      <c r="A789" s="41"/>
    </row>
    <row r="790" ht="15.75" customHeight="1">
      <c r="A790" s="41"/>
    </row>
    <row r="791" ht="15.75" customHeight="1">
      <c r="A791" s="41"/>
    </row>
    <row r="792" ht="15.75" customHeight="1">
      <c r="A792" s="41"/>
    </row>
    <row r="793" ht="15.75" customHeight="1">
      <c r="A793" s="41"/>
    </row>
    <row r="794" ht="15.75" customHeight="1">
      <c r="A794" s="41"/>
    </row>
    <row r="795" ht="15.75" customHeight="1">
      <c r="A795" s="41"/>
    </row>
    <row r="796" ht="15.75" customHeight="1">
      <c r="A796" s="41"/>
    </row>
    <row r="797" ht="15.75" customHeight="1">
      <c r="A797" s="41"/>
    </row>
    <row r="798" ht="15.75" customHeight="1">
      <c r="A798" s="41"/>
    </row>
    <row r="799" ht="15.75" customHeight="1">
      <c r="A799" s="41"/>
    </row>
    <row r="800" ht="15.75" customHeight="1">
      <c r="A800" s="41"/>
    </row>
    <row r="801" ht="15.75" customHeight="1">
      <c r="A801" s="41"/>
    </row>
    <row r="802" ht="15.75" customHeight="1">
      <c r="A802" s="41"/>
    </row>
    <row r="803" ht="15.75" customHeight="1">
      <c r="A803" s="41"/>
    </row>
    <row r="804" ht="15.75" customHeight="1">
      <c r="A804" s="41"/>
    </row>
    <row r="805" ht="15.75" customHeight="1">
      <c r="A805" s="41"/>
    </row>
    <row r="806" ht="15.75" customHeight="1">
      <c r="A806" s="41"/>
    </row>
    <row r="807" ht="15.75" customHeight="1">
      <c r="A807" s="41"/>
    </row>
    <row r="808" ht="15.75" customHeight="1">
      <c r="A808" s="41"/>
    </row>
    <row r="809" ht="15.75" customHeight="1">
      <c r="A809" s="41"/>
    </row>
    <row r="810" ht="15.75" customHeight="1">
      <c r="A810" s="41"/>
    </row>
    <row r="811" ht="15.75" customHeight="1">
      <c r="A811" s="41"/>
    </row>
    <row r="812" ht="15.75" customHeight="1">
      <c r="A812" s="41"/>
    </row>
    <row r="813" ht="15.75" customHeight="1">
      <c r="A813" s="41"/>
    </row>
    <row r="814" ht="15.75" customHeight="1">
      <c r="A814" s="41"/>
    </row>
    <row r="815" ht="15.75" customHeight="1">
      <c r="A815" s="41"/>
    </row>
    <row r="816" ht="15.75" customHeight="1">
      <c r="A816" s="41"/>
    </row>
    <row r="817" ht="15.75" customHeight="1">
      <c r="A817" s="41"/>
    </row>
    <row r="818" ht="15.75" customHeight="1">
      <c r="A818" s="41"/>
    </row>
    <row r="819" ht="15.75" customHeight="1">
      <c r="A819" s="41"/>
    </row>
    <row r="820" ht="15.75" customHeight="1">
      <c r="A820" s="41"/>
    </row>
    <row r="821" ht="15.75" customHeight="1">
      <c r="A821" s="41"/>
    </row>
    <row r="822" ht="15.75" customHeight="1">
      <c r="A822" s="41"/>
    </row>
    <row r="823" ht="15.75" customHeight="1">
      <c r="A823" s="41"/>
    </row>
    <row r="824" ht="15.75" customHeight="1">
      <c r="A824" s="41"/>
    </row>
    <row r="825" ht="15.75" customHeight="1">
      <c r="A825" s="41"/>
    </row>
    <row r="826" ht="15.75" customHeight="1">
      <c r="A826" s="41"/>
    </row>
    <row r="827" ht="15.75" customHeight="1">
      <c r="A827" s="41"/>
    </row>
    <row r="828" ht="15.75" customHeight="1">
      <c r="A828" s="41"/>
    </row>
    <row r="829" ht="15.75" customHeight="1">
      <c r="A829" s="41"/>
    </row>
    <row r="830" ht="15.75" customHeight="1">
      <c r="A830" s="41"/>
    </row>
    <row r="831" ht="15.75" customHeight="1">
      <c r="A831" s="41"/>
    </row>
    <row r="832" ht="15.75" customHeight="1">
      <c r="A832" s="41"/>
    </row>
    <row r="833" ht="15.75" customHeight="1">
      <c r="A833" s="41"/>
    </row>
    <row r="834" ht="15.75" customHeight="1">
      <c r="A834" s="41"/>
    </row>
    <row r="835" ht="15.75" customHeight="1">
      <c r="A835" s="41"/>
    </row>
    <row r="836" ht="15.75" customHeight="1">
      <c r="A836" s="41"/>
    </row>
    <row r="837" ht="15.75" customHeight="1">
      <c r="A837" s="41"/>
    </row>
    <row r="838" ht="15.75" customHeight="1">
      <c r="A838" s="41"/>
    </row>
    <row r="839" ht="15.75" customHeight="1">
      <c r="A839" s="41"/>
    </row>
    <row r="840" ht="15.75" customHeight="1">
      <c r="A840" s="41"/>
    </row>
    <row r="841" ht="15.75" customHeight="1">
      <c r="A841" s="41"/>
    </row>
    <row r="842" ht="15.75" customHeight="1">
      <c r="A842" s="41"/>
    </row>
    <row r="843" ht="15.75" customHeight="1">
      <c r="A843" s="41"/>
    </row>
    <row r="844" ht="15.75" customHeight="1">
      <c r="A844" s="41"/>
    </row>
    <row r="845" ht="15.75" customHeight="1">
      <c r="A845" s="41"/>
    </row>
    <row r="846" ht="15.75" customHeight="1">
      <c r="A846" s="41"/>
    </row>
    <row r="847" ht="15.75" customHeight="1">
      <c r="A847" s="41"/>
    </row>
    <row r="848" ht="15.75" customHeight="1">
      <c r="A848" s="41"/>
    </row>
    <row r="849" ht="15.75" customHeight="1">
      <c r="A849" s="41"/>
    </row>
    <row r="850" ht="15.75" customHeight="1">
      <c r="A850" s="41"/>
    </row>
    <row r="851" ht="15.75" customHeight="1">
      <c r="A851" s="41"/>
    </row>
    <row r="852" ht="15.75" customHeight="1">
      <c r="A852" s="41"/>
    </row>
    <row r="853" ht="15.75" customHeight="1">
      <c r="A853" s="41"/>
    </row>
    <row r="854" ht="15.75" customHeight="1">
      <c r="A854" s="41"/>
    </row>
    <row r="855" ht="15.75" customHeight="1">
      <c r="A855" s="41"/>
    </row>
    <row r="856" ht="15.75" customHeight="1">
      <c r="A856" s="41"/>
    </row>
    <row r="857" ht="15.75" customHeight="1">
      <c r="A857" s="41"/>
    </row>
    <row r="858" ht="15.75" customHeight="1">
      <c r="A858" s="41"/>
    </row>
    <row r="859" ht="15.75" customHeight="1">
      <c r="A859" s="41"/>
    </row>
    <row r="860" ht="15.75" customHeight="1">
      <c r="A860" s="41"/>
    </row>
    <row r="861" ht="15.75" customHeight="1">
      <c r="A861" s="41"/>
    </row>
    <row r="862" ht="15.75" customHeight="1">
      <c r="A862" s="41"/>
    </row>
    <row r="863" ht="15.75" customHeight="1">
      <c r="A863" s="41"/>
    </row>
    <row r="864" ht="15.75" customHeight="1">
      <c r="A864" s="41"/>
    </row>
    <row r="865" ht="15.75" customHeight="1">
      <c r="A865" s="41"/>
    </row>
    <row r="866" ht="15.75" customHeight="1">
      <c r="A866" s="41"/>
    </row>
    <row r="867" ht="15.75" customHeight="1">
      <c r="A867" s="41"/>
    </row>
    <row r="868" ht="15.75" customHeight="1">
      <c r="A868" s="41"/>
    </row>
    <row r="869" ht="15.75" customHeight="1">
      <c r="A869" s="41"/>
    </row>
    <row r="870" ht="15.75" customHeight="1">
      <c r="A870" s="41"/>
    </row>
    <row r="871" ht="15.75" customHeight="1">
      <c r="A871" s="41"/>
    </row>
    <row r="872" ht="15.75" customHeight="1">
      <c r="A872" s="41"/>
    </row>
    <row r="873" ht="15.75" customHeight="1">
      <c r="A873" s="41"/>
    </row>
    <row r="874" ht="15.75" customHeight="1">
      <c r="A874" s="41"/>
    </row>
    <row r="875" ht="15.75" customHeight="1">
      <c r="A875" s="41"/>
    </row>
    <row r="876" ht="15.75" customHeight="1">
      <c r="A876" s="41"/>
    </row>
    <row r="877" ht="15.75" customHeight="1">
      <c r="A877" s="41"/>
    </row>
    <row r="878" ht="15.75" customHeight="1">
      <c r="A878" s="41"/>
    </row>
    <row r="879" ht="15.75" customHeight="1">
      <c r="A879" s="41"/>
    </row>
    <row r="880" ht="15.75" customHeight="1">
      <c r="A880" s="41"/>
    </row>
    <row r="881" ht="15.75" customHeight="1">
      <c r="A881" s="41"/>
    </row>
    <row r="882" ht="15.75" customHeight="1">
      <c r="A882" s="41"/>
    </row>
    <row r="883" ht="15.75" customHeight="1">
      <c r="A883" s="41"/>
    </row>
    <row r="884" ht="15.75" customHeight="1">
      <c r="A884" s="41"/>
    </row>
    <row r="885" ht="15.75" customHeight="1">
      <c r="A885" s="41"/>
    </row>
    <row r="886" ht="15.75" customHeight="1">
      <c r="A886" s="41"/>
    </row>
    <row r="887" ht="15.75" customHeight="1">
      <c r="A887" s="41"/>
    </row>
    <row r="888" ht="15.75" customHeight="1">
      <c r="A888" s="41"/>
    </row>
    <row r="889" ht="15.75" customHeight="1">
      <c r="A889" s="41"/>
    </row>
    <row r="890" ht="15.75" customHeight="1">
      <c r="A890" s="41"/>
    </row>
    <row r="891" ht="15.75" customHeight="1">
      <c r="A891" s="41"/>
    </row>
    <row r="892" ht="15.75" customHeight="1">
      <c r="A892" s="41"/>
    </row>
    <row r="893" ht="15.75" customHeight="1">
      <c r="A893" s="41"/>
    </row>
    <row r="894" ht="15.75" customHeight="1">
      <c r="A894" s="41"/>
    </row>
    <row r="895" ht="15.75" customHeight="1">
      <c r="A895" s="41"/>
    </row>
    <row r="896" ht="15.75" customHeight="1">
      <c r="A896" s="41"/>
    </row>
    <row r="897" ht="15.75" customHeight="1">
      <c r="A897" s="41"/>
    </row>
    <row r="898" ht="15.75" customHeight="1">
      <c r="A898" s="41"/>
    </row>
    <row r="899" ht="15.75" customHeight="1">
      <c r="A899" s="41"/>
    </row>
    <row r="900" ht="15.75" customHeight="1">
      <c r="A900" s="41"/>
    </row>
    <row r="901" ht="15.75" customHeight="1">
      <c r="A901" s="41"/>
    </row>
    <row r="902" ht="15.75" customHeight="1">
      <c r="A902" s="41"/>
    </row>
    <row r="903" ht="15.75" customHeight="1">
      <c r="A903" s="41"/>
    </row>
    <row r="904" ht="15.75" customHeight="1">
      <c r="A904" s="41"/>
    </row>
    <row r="905" ht="15.75" customHeight="1">
      <c r="A905" s="41"/>
    </row>
    <row r="906" ht="15.75" customHeight="1">
      <c r="A906" s="41"/>
    </row>
    <row r="907" ht="15.75" customHeight="1">
      <c r="A907" s="41"/>
    </row>
    <row r="908" ht="15.75" customHeight="1">
      <c r="A908" s="41"/>
    </row>
    <row r="909" ht="15.75" customHeight="1">
      <c r="A909" s="41"/>
    </row>
    <row r="910" ht="15.75" customHeight="1">
      <c r="A910" s="41"/>
    </row>
    <row r="911" ht="15.75" customHeight="1">
      <c r="A911" s="41"/>
    </row>
    <row r="912" ht="15.75" customHeight="1">
      <c r="A912" s="41"/>
    </row>
    <row r="913" ht="15.75" customHeight="1">
      <c r="A913" s="41"/>
    </row>
    <row r="914" ht="15.75" customHeight="1">
      <c r="A914" s="41"/>
    </row>
    <row r="915" ht="15.75" customHeight="1">
      <c r="A915" s="41"/>
    </row>
    <row r="916" ht="15.75" customHeight="1">
      <c r="A916" s="41"/>
    </row>
    <row r="917" ht="15.75" customHeight="1">
      <c r="A917" s="41"/>
    </row>
    <row r="918" ht="15.75" customHeight="1">
      <c r="A918" s="41"/>
    </row>
    <row r="919" ht="15.75" customHeight="1">
      <c r="A919" s="41"/>
    </row>
    <row r="920" ht="15.75" customHeight="1">
      <c r="A920" s="41"/>
    </row>
    <row r="921" ht="15.75" customHeight="1">
      <c r="A921" s="41"/>
    </row>
    <row r="922" ht="15.75" customHeight="1">
      <c r="A922" s="41"/>
    </row>
    <row r="923" ht="15.75" customHeight="1">
      <c r="A923" s="41"/>
    </row>
    <row r="924" ht="15.75" customHeight="1">
      <c r="A924" s="41"/>
    </row>
    <row r="925" ht="15.75" customHeight="1">
      <c r="A925" s="41"/>
    </row>
    <row r="926" ht="15.75" customHeight="1">
      <c r="A926" s="41"/>
    </row>
    <row r="927" ht="15.75" customHeight="1">
      <c r="A927" s="41"/>
    </row>
    <row r="928" ht="15.75" customHeight="1">
      <c r="A928" s="41"/>
    </row>
    <row r="929" ht="15.75" customHeight="1">
      <c r="A929" s="41"/>
    </row>
    <row r="930" ht="15.75" customHeight="1">
      <c r="A930" s="41"/>
    </row>
    <row r="931" ht="15.75" customHeight="1">
      <c r="A931" s="41"/>
    </row>
    <row r="932" ht="15.75" customHeight="1">
      <c r="A932" s="41"/>
    </row>
    <row r="933" ht="15.75" customHeight="1">
      <c r="A933" s="41"/>
    </row>
    <row r="934" ht="15.75" customHeight="1">
      <c r="A934" s="41"/>
    </row>
    <row r="935" ht="15.75" customHeight="1">
      <c r="A935" s="41"/>
    </row>
    <row r="936" ht="15.75" customHeight="1">
      <c r="A936" s="41"/>
    </row>
    <row r="937" ht="15.75" customHeight="1">
      <c r="A937" s="41"/>
    </row>
    <row r="938" ht="15.75" customHeight="1">
      <c r="A938" s="41"/>
    </row>
    <row r="939" ht="15.75" customHeight="1">
      <c r="A939" s="41"/>
    </row>
    <row r="940" ht="15.75" customHeight="1">
      <c r="A940" s="41"/>
    </row>
    <row r="941" ht="15.75" customHeight="1">
      <c r="A941" s="41"/>
    </row>
    <row r="942" ht="15.75" customHeight="1">
      <c r="A942" s="41"/>
    </row>
    <row r="943" ht="15.75" customHeight="1">
      <c r="A943" s="41"/>
    </row>
    <row r="944" ht="15.75" customHeight="1">
      <c r="A944" s="41"/>
    </row>
    <row r="945" ht="15.75" customHeight="1">
      <c r="A945" s="41"/>
    </row>
    <row r="946" ht="15.75" customHeight="1">
      <c r="A946" s="41"/>
    </row>
    <row r="947" ht="15.75" customHeight="1">
      <c r="A947" s="41"/>
    </row>
    <row r="948" ht="15.75" customHeight="1">
      <c r="A948" s="41"/>
    </row>
    <row r="949" ht="15.75" customHeight="1">
      <c r="A949" s="41"/>
    </row>
    <row r="950" ht="15.75" customHeight="1">
      <c r="A950" s="41"/>
    </row>
    <row r="951" ht="15.75" customHeight="1">
      <c r="A951" s="41"/>
    </row>
    <row r="952" ht="15.75" customHeight="1">
      <c r="A952" s="41"/>
    </row>
    <row r="953" ht="15.75" customHeight="1">
      <c r="A953" s="41"/>
    </row>
    <row r="954" ht="15.75" customHeight="1">
      <c r="A954" s="41"/>
    </row>
    <row r="955" ht="15.75" customHeight="1">
      <c r="A955" s="41"/>
    </row>
    <row r="956" ht="15.75" customHeight="1">
      <c r="A956" s="41"/>
    </row>
    <row r="957" ht="15.75" customHeight="1">
      <c r="A957" s="41"/>
    </row>
    <row r="958" ht="15.75" customHeight="1">
      <c r="A958" s="41"/>
    </row>
    <row r="959" ht="15.75" customHeight="1">
      <c r="A959" s="41"/>
    </row>
    <row r="960" ht="15.75" customHeight="1">
      <c r="A960" s="41"/>
    </row>
    <row r="961" ht="15.75" customHeight="1">
      <c r="A961" s="41"/>
    </row>
    <row r="962" ht="15.75" customHeight="1">
      <c r="A962" s="41"/>
    </row>
    <row r="963" ht="15.75" customHeight="1">
      <c r="A963" s="41"/>
    </row>
    <row r="964" ht="15.75" customHeight="1">
      <c r="A964" s="41"/>
    </row>
    <row r="965" ht="15.75" customHeight="1">
      <c r="A965" s="41"/>
    </row>
    <row r="966" ht="15.75" customHeight="1">
      <c r="A966" s="41"/>
    </row>
    <row r="967" ht="15.75" customHeight="1">
      <c r="A967" s="41"/>
    </row>
    <row r="968" ht="15.75" customHeight="1">
      <c r="A968" s="41"/>
    </row>
    <row r="969" ht="15.75" customHeight="1">
      <c r="A969" s="41"/>
    </row>
    <row r="970" ht="15.75" customHeight="1">
      <c r="A970" s="41"/>
    </row>
    <row r="971" ht="15.75" customHeight="1">
      <c r="A971" s="41"/>
    </row>
    <row r="972" ht="15.75" customHeight="1">
      <c r="A972" s="41"/>
    </row>
    <row r="973" ht="15.75" customHeight="1">
      <c r="A973" s="41"/>
    </row>
    <row r="974" ht="15.75" customHeight="1">
      <c r="A974" s="41"/>
    </row>
    <row r="975" ht="15.75" customHeight="1">
      <c r="A975" s="41"/>
    </row>
    <row r="976" ht="15.75" customHeight="1">
      <c r="A976" s="41"/>
    </row>
    <row r="977" ht="15.75" customHeight="1">
      <c r="A977" s="41"/>
    </row>
    <row r="978" ht="15.75" customHeight="1">
      <c r="A978" s="41"/>
    </row>
    <row r="979" ht="15.75" customHeight="1">
      <c r="A979" s="41"/>
    </row>
    <row r="980" ht="15.75" customHeight="1">
      <c r="A980" s="41"/>
    </row>
    <row r="981" ht="15.75" customHeight="1">
      <c r="A981" s="41"/>
    </row>
    <row r="982" ht="15.75" customHeight="1">
      <c r="A982" s="41"/>
    </row>
    <row r="983" ht="15.75" customHeight="1">
      <c r="A983" s="41"/>
    </row>
    <row r="984" ht="15.75" customHeight="1">
      <c r="A984" s="41"/>
    </row>
    <row r="985" ht="15.75" customHeight="1">
      <c r="A985" s="41"/>
    </row>
    <row r="986" ht="15.75" customHeight="1">
      <c r="A986" s="41"/>
    </row>
    <row r="987" ht="15.75" customHeight="1">
      <c r="A987" s="41"/>
    </row>
    <row r="988" ht="15.75" customHeight="1">
      <c r="A988" s="41"/>
    </row>
    <row r="989" ht="15.75" customHeight="1">
      <c r="A989" s="41"/>
    </row>
    <row r="990" ht="15.75" customHeight="1">
      <c r="A990" s="41"/>
    </row>
    <row r="991" ht="15.75" customHeight="1">
      <c r="A991" s="41"/>
    </row>
    <row r="992" ht="15.75" customHeight="1">
      <c r="A992" s="41"/>
    </row>
    <row r="993" ht="15.75" customHeight="1">
      <c r="A993" s="41"/>
    </row>
    <row r="994" ht="15.75" customHeight="1">
      <c r="A994" s="41"/>
    </row>
    <row r="995" ht="15.75" customHeight="1">
      <c r="A995" s="41"/>
    </row>
    <row r="996" ht="15.75" customHeight="1">
      <c r="A996" s="41"/>
    </row>
    <row r="997" ht="15.75" customHeight="1">
      <c r="A997" s="41"/>
    </row>
    <row r="998" ht="15.75" customHeight="1">
      <c r="A998" s="41"/>
    </row>
    <row r="999" ht="15.75" customHeight="1">
      <c r="A999" s="41"/>
    </row>
    <row r="1000" ht="15.75" customHeight="1">
      <c r="A1000" s="41"/>
    </row>
    <row r="1001" ht="15.75" customHeight="1">
      <c r="A1001" s="41"/>
    </row>
    <row r="1002" ht="15.75" customHeight="1">
      <c r="A1002" s="41"/>
    </row>
    <row r="1003" ht="15.75" customHeight="1">
      <c r="A1003" s="41"/>
    </row>
    <row r="1004" ht="15.75" customHeight="1">
      <c r="A1004" s="41"/>
    </row>
  </sheetData>
  <dataValidations>
    <dataValidation type="list" allowBlank="1" showErrorMessage="1" sqref="A1 A6:A8 A10:A13 A15:A26 A31:A1004">
      <formula1>"note,select_multiple cropping_kharif or_other,select_multiple cropping_Rabi or_other,select_multiple cropping_Zaid or_other,select_multiple opt_irrigation,select_one opt_classified,select_one opt_productivity,select_multiple reason_degradation,select_one "&amp;"Y_N,text,type,select_multiple opt_classified,select_multiple practice,integer,decimal"</formula1>
    </dataValidation>
    <dataValidation type="list" allowBlank="1" showErrorMessage="1" sqref="A2:A5">
      <formula1>"audio,begin_group,deviceid,end,end_group,geopoint,image,integer,note,select_multiple caste_use,select_multiple repairs_well or_other,select_one Functional_Non_functional,select_one observed_change,select_one owns,select_one pollutants_groundwater,select_o"&amp;"ne scheme or_other,select_one well_type or_other,select_one well_used or_other,select_one Y_N,select_one year,start,text,today,type,begin group,end group,select_multiple uses_structure,select_one Bunding or_other,select_one Canal or_other,select_one check"&amp;"_dam or_other,select_one Community_pond or_other,select_one Continuous_contour_trenches or_other,select_one Diversion_drains or_other,select_one Drainage_soakage  or_other,select_one Earthen_gully_plug or_other,select_one Farm_bund or_other,select_one far"&amp;"m_ponds or_other,select_one identified,select_one large_water_body or_other,select_one loose_boulder_structure or_other,select_one manages,select_one model30_40 or_other,select_one model5 or_other,select_one owns,select_one Percolation_tank or_other,selec"&amp;"t_one Recharge_pits or_other,select_one Rock_fill_dam or_other,select_one Soakage_pits or_other,select_one Staggered_contour_trenches or_other,select_one Stone_bunding or_other,select_one Trench or_other,select_one Water_absorption_trenches or_other,selec"&amp;"t_one water_structure"</formula1>
    </dataValidation>
    <dataValidation type="list" allowBlank="1" showErrorMessage="1" sqref="A27:A30">
      <formula1>"audio,begin_group,deviceid,end,end_group,geopoint,image,integer,note,select_multiple caste_use,select_multiple repairs_well or_other,select_one Functional_Non_functional,select_one observed_change,select_one owns,select_one pollutants_groundwater,select_o"&amp;"ne scheme or_other,select_one well_type or_other,select_one well_used or_other,select_one Y_N,select_one year,start,text,today,type,select_one caste_use,select_one changes_observed"</formula1>
    </dataValidation>
  </dataValidation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22.13"/>
    <col customWidth="1" min="3" max="3" width="32.75"/>
    <col customWidth="1" min="4" max="4" width="35.63"/>
    <col customWidth="1" min="5" max="5" width="24.38"/>
    <col customWidth="1" min="6" max="7" width="27.25"/>
    <col customWidth="1" min="8" max="27" width="12.13"/>
  </cols>
  <sheetData>
    <row r="1" ht="12.75" customHeight="1">
      <c r="A1" s="42" t="s">
        <v>141</v>
      </c>
      <c r="B1" s="42" t="s">
        <v>1</v>
      </c>
      <c r="C1" s="43" t="s">
        <v>2</v>
      </c>
      <c r="D1" s="2" t="s">
        <v>3</v>
      </c>
      <c r="E1" s="43" t="s">
        <v>4</v>
      </c>
      <c r="F1" s="44" t="s">
        <v>5</v>
      </c>
      <c r="G1" s="45" t="s">
        <v>6</v>
      </c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</row>
    <row r="2" ht="12.75" customHeight="1">
      <c r="A2" s="39" t="s">
        <v>142</v>
      </c>
      <c r="B2" s="39" t="s">
        <v>143</v>
      </c>
      <c r="C2" s="23" t="s">
        <v>143</v>
      </c>
      <c r="D2" s="16" t="s">
        <v>144</v>
      </c>
      <c r="E2" s="23" t="str">
        <f>IFERROR(__xludf.DUMMYFUNCTION("GOOGLETRANSLATE(C2, ""en"", ""gu"")"),"વરસાદ")</f>
        <v>વરસાદ</v>
      </c>
      <c r="F2" s="11" t="s">
        <v>145</v>
      </c>
      <c r="G2" s="11" t="str">
        <f>IFERROR(__xludf.DUMMYFUNCTION("GOOGLETRANSLATE(C2,""en"",""or"")"),"ବର୍ଷା")</f>
        <v>ବର୍ଷା</v>
      </c>
    </row>
    <row r="3" ht="12.75" customHeight="1">
      <c r="A3" s="39" t="s">
        <v>142</v>
      </c>
      <c r="B3" s="39" t="s">
        <v>146</v>
      </c>
      <c r="C3" s="23" t="s">
        <v>146</v>
      </c>
      <c r="D3" s="16" t="s">
        <v>147</v>
      </c>
      <c r="E3" s="23" t="str">
        <f>IFERROR(__xludf.DUMMYFUNCTION("GOOGLETRANSLATE(C3, ""en"", ""gu"")"),"કૂવો")</f>
        <v>કૂવો</v>
      </c>
      <c r="F3" s="11" t="s">
        <v>148</v>
      </c>
      <c r="G3" s="11" t="str">
        <f>IFERROR(__xludf.DUMMYFUNCTION("GOOGLETRANSLATE(C3,""en"",""or"")"),"କୂପ")</f>
        <v>କୂପ</v>
      </c>
    </row>
    <row r="4" ht="12.75" customHeight="1">
      <c r="A4" s="39" t="s">
        <v>142</v>
      </c>
      <c r="B4" s="39" t="s">
        <v>149</v>
      </c>
      <c r="C4" s="23" t="s">
        <v>149</v>
      </c>
      <c r="D4" s="16" t="s">
        <v>150</v>
      </c>
      <c r="E4" s="23" t="str">
        <f>IFERROR(__xludf.DUMMYFUNCTION("GOOGLETRANSLATE(C4, ""en"", ""gu"")"),"બોરવેલ")</f>
        <v>બોરવેલ</v>
      </c>
      <c r="F4" s="11" t="s">
        <v>151</v>
      </c>
      <c r="G4" s="11" t="str">
        <f>IFERROR(__xludf.DUMMYFUNCTION("GOOGLETRANSLATE(C4,""en"",""or"")"),"ବୋରୱେଲ୍")</f>
        <v>ବୋରୱେଲ୍</v>
      </c>
    </row>
    <row r="5" ht="12.75" customHeight="1">
      <c r="A5" s="39" t="s">
        <v>142</v>
      </c>
      <c r="B5" s="39" t="s">
        <v>152</v>
      </c>
      <c r="C5" s="23" t="s">
        <v>152</v>
      </c>
      <c r="D5" s="16" t="s">
        <v>153</v>
      </c>
      <c r="E5" s="23" t="str">
        <f>IFERROR(__xludf.DUMMYFUNCTION("GOOGLETRANSLATE(C5, ""en"", ""gu"")"),"ચેનલ")</f>
        <v>ચેનલ</v>
      </c>
      <c r="F5" s="11" t="s">
        <v>154</v>
      </c>
      <c r="G5" s="11" t="str">
        <f>IFERROR(__xludf.DUMMYFUNCTION("GOOGLETRANSLATE(C5,""en"",""or"")"),"କେନାଲ")</f>
        <v>କେନାଲ</v>
      </c>
    </row>
    <row r="6" ht="12.75" customHeight="1">
      <c r="A6" s="39" t="s">
        <v>142</v>
      </c>
      <c r="B6" s="39" t="s">
        <v>155</v>
      </c>
      <c r="C6" s="23" t="s">
        <v>155</v>
      </c>
      <c r="D6" s="16" t="s">
        <v>156</v>
      </c>
      <c r="E6" s="23" t="str">
        <f>IFERROR(__xludf.DUMMYFUNCTION("GOOGLETRANSLATE(C6, ""en"", ""gu"")"),"તળાવ")</f>
        <v>તળાવ</v>
      </c>
      <c r="F6" s="11" t="s">
        <v>157</v>
      </c>
      <c r="G6" s="11" t="str">
        <f>IFERROR(__xludf.DUMMYFUNCTION("GOOGLETRANSLATE(C6,""en"",""or"")"),"ପୋଖରୀ")</f>
        <v>ପୋଖରୀ</v>
      </c>
    </row>
    <row r="7" ht="12.75" customHeight="1">
      <c r="A7" s="39" t="s">
        <v>142</v>
      </c>
      <c r="B7" s="39" t="s">
        <v>158</v>
      </c>
      <c r="C7" s="23" t="s">
        <v>159</v>
      </c>
      <c r="D7" s="16" t="s">
        <v>160</v>
      </c>
      <c r="E7" s="23" t="str">
        <f>IFERROR(__xludf.DUMMYFUNCTION("GOOGLETRANSLATE(C7, ""en"", ""gu"")"),"ખબર નથી")</f>
        <v>ખબર નથી</v>
      </c>
      <c r="F7" s="11" t="str">
        <f>IFERROR(__xludf.DUMMYFUNCTION("GOOGLETRANSLATE(C7, ""en"", ""kn"")"),"ಗೊತ್ತಿಲ್ಲ")</f>
        <v>ಗೊತ್ತಿಲ್ಲ</v>
      </c>
      <c r="G7" s="11" t="str">
        <f>IFERROR(__xludf.DUMMYFUNCTION("GOOGLETRANSLATE(C7,""en"",""or"")"),"ଜାଣିନାହିଁ")</f>
        <v>ଜାଣିନାହିଁ</v>
      </c>
    </row>
    <row r="8" ht="12.75" customHeight="1">
      <c r="A8" s="39"/>
      <c r="B8" s="39"/>
      <c r="D8" s="10"/>
      <c r="F8" s="11"/>
      <c r="G8" s="11"/>
    </row>
    <row r="9" ht="12.75" customHeight="1">
      <c r="A9" s="39" t="s">
        <v>161</v>
      </c>
      <c r="B9" s="39" t="s">
        <v>162</v>
      </c>
      <c r="C9" s="23" t="s">
        <v>163</v>
      </c>
      <c r="D9" s="16" t="s">
        <v>164</v>
      </c>
      <c r="E9" s="23" t="str">
        <f>IFERROR(__xludf.DUMMYFUNCTION("GOOGLETRANSLATE(C9, ""en"", ""gu"")"),"અપલેન્ડ")</f>
        <v>અપલેન્ડ</v>
      </c>
      <c r="F9" s="11" t="s">
        <v>165</v>
      </c>
      <c r="G9" s="11" t="str">
        <f>IFERROR(__xludf.DUMMYFUNCTION("GOOGLETRANSLATE(C9,""en"",""or"")"),"ଉପଭୂମି")</f>
        <v>ଉପଭୂମି</v>
      </c>
    </row>
    <row r="10" ht="12.75" customHeight="1">
      <c r="A10" s="39" t="s">
        <v>161</v>
      </c>
      <c r="B10" s="39" t="s">
        <v>166</v>
      </c>
      <c r="C10" s="23" t="s">
        <v>166</v>
      </c>
      <c r="D10" s="16" t="s">
        <v>167</v>
      </c>
      <c r="E10" s="23" t="str">
        <f>IFERROR(__xludf.DUMMYFUNCTION("GOOGLETRANSLATE(C10, ""en"", ""gu"")"),"મિડલેન્ડ")</f>
        <v>મિડલેન્ડ</v>
      </c>
      <c r="F10" s="11" t="s">
        <v>168</v>
      </c>
      <c r="G10" s="11" t="str">
        <f>IFERROR(__xludf.DUMMYFUNCTION("GOOGLETRANSLATE(C10,""en"",""or"")"),"ମିଡଲ୍ୟାଣ୍ଡ")</f>
        <v>ମିଡଲ୍ୟାଣ୍ଡ</v>
      </c>
    </row>
    <row r="11" ht="12.75" customHeight="1">
      <c r="A11" s="39" t="s">
        <v>161</v>
      </c>
      <c r="B11" s="39" t="s">
        <v>169</v>
      </c>
      <c r="C11" s="23" t="s">
        <v>170</v>
      </c>
      <c r="D11" s="16" t="s">
        <v>171</v>
      </c>
      <c r="E11" s="23" t="str">
        <f>IFERROR(__xludf.DUMMYFUNCTION("GOOGLETRANSLATE(C11, ""en"", ""gu"")"),"નીચાણવાળી જમીન")</f>
        <v>નીચાણવાળી જમીન</v>
      </c>
      <c r="F11" s="11" t="s">
        <v>172</v>
      </c>
      <c r="G11" s="11" t="str">
        <f>IFERROR(__xludf.DUMMYFUNCTION("GOOGLETRANSLATE(C11,""en"",""or"")"),"ତଳଭୂମି")</f>
        <v>ତଳଭୂମି</v>
      </c>
    </row>
    <row r="12" ht="12.75" customHeight="1">
      <c r="A12" s="39"/>
      <c r="B12" s="39"/>
      <c r="D12" s="10"/>
      <c r="F12" s="11"/>
      <c r="G12" s="11"/>
    </row>
    <row r="13" ht="12.75" customHeight="1">
      <c r="A13" s="15" t="s">
        <v>173</v>
      </c>
      <c r="B13" s="39" t="s">
        <v>174</v>
      </c>
      <c r="C13" s="23" t="s">
        <v>175</v>
      </c>
      <c r="D13" s="16" t="s">
        <v>176</v>
      </c>
      <c r="E13" s="23" t="str">
        <f>IFERROR(__xludf.DUMMYFUNCTION("GOOGLETRANSLATE(C13, ""en"", ""gu"")"),"ડાંગર")</f>
        <v>ડાંગર</v>
      </c>
      <c r="F13" s="11" t="str">
        <f>IFERROR(__xludf.DUMMYFUNCTION("GOOGLETRANSLATE(C13, ""en"", ""kn"")"),"ಭತ್ತ")</f>
        <v>ಭತ್ತ</v>
      </c>
      <c r="G13" s="11" t="str">
        <f>IFERROR(__xludf.DUMMYFUNCTION("GOOGLETRANSLATE(C13,""en"",""or"")"),"ଧାନ")</f>
        <v>ଧାନ</v>
      </c>
    </row>
    <row r="14" ht="12.75" customHeight="1">
      <c r="A14" s="15" t="s">
        <v>173</v>
      </c>
      <c r="B14" s="39" t="s">
        <v>177</v>
      </c>
      <c r="C14" s="23" t="s">
        <v>178</v>
      </c>
      <c r="D14" s="16" t="s">
        <v>179</v>
      </c>
      <c r="E14" s="23" t="str">
        <f>IFERROR(__xludf.DUMMYFUNCTION("GOOGLETRANSLATE(C14, ""en"", ""gu"")"),"બાજરી")</f>
        <v>બાજરી</v>
      </c>
      <c r="F14" s="11" t="str">
        <f>IFERROR(__xludf.DUMMYFUNCTION("GOOGLETRANSLATE(C14, ""en"", ""kn"")"),"ಧಾನ್ಯಗಳು")</f>
        <v>ಧಾನ್ಯಗಳು</v>
      </c>
      <c r="G14" s="11" t="str">
        <f>IFERROR(__xludf.DUMMYFUNCTION("GOOGLETRANSLATE(C14,""en"",""or"")"),"ବାଜରା")</f>
        <v>ବାଜରା</v>
      </c>
    </row>
    <row r="15" ht="12.75" customHeight="1">
      <c r="A15" s="15" t="s">
        <v>173</v>
      </c>
      <c r="B15" s="39" t="s">
        <v>180</v>
      </c>
      <c r="C15" s="23" t="s">
        <v>180</v>
      </c>
      <c r="D15" s="16" t="s">
        <v>181</v>
      </c>
      <c r="E15" s="23" t="str">
        <f>IFERROR(__xludf.DUMMYFUNCTION("GOOGLETRANSLATE(C15, ""en"", ""gu"")"),"કઠોળ")</f>
        <v>કઠોળ</v>
      </c>
      <c r="F15" s="11" t="str">
        <f>IFERROR(__xludf.DUMMYFUNCTION("GOOGLETRANSLATE(C15, ""en"", ""kn"")"),"ದ್ವಿದಳ ಧಾನ್ಯಗಳು")</f>
        <v>ದ್ವಿದಳ ಧಾನ್ಯಗಳು</v>
      </c>
      <c r="G15" s="11" t="str">
        <f>IFERROR(__xludf.DUMMYFUNCTION("GOOGLETRANSLATE(C15,""en"",""or"")"),"ଡାଲି")</f>
        <v>ଡାଲି</v>
      </c>
    </row>
    <row r="16" ht="12.75" customHeight="1">
      <c r="A16" s="15" t="s">
        <v>173</v>
      </c>
      <c r="B16" s="39" t="s">
        <v>182</v>
      </c>
      <c r="C16" s="23" t="s">
        <v>182</v>
      </c>
      <c r="D16" s="16" t="s">
        <v>183</v>
      </c>
      <c r="E16" s="23" t="str">
        <f>IFERROR(__xludf.DUMMYFUNCTION("GOOGLETRANSLATE(C16, ""en"", ""gu"")"),"શાકભાજી")</f>
        <v>શાકભાજી</v>
      </c>
      <c r="F16" s="11" t="str">
        <f>IFERROR(__xludf.DUMMYFUNCTION("GOOGLETRANSLATE(C16, ""en"", ""kn"")"),"ತರಕಾರಿಗಳು")</f>
        <v>ತರಕಾರಿಗಳು</v>
      </c>
      <c r="G16" s="11" t="str">
        <f>IFERROR(__xludf.DUMMYFUNCTION("GOOGLETRANSLATE(C16,""en"",""or"")"),"ପନିପରିବା")</f>
        <v>ପନିପରିବା</v>
      </c>
    </row>
    <row r="17" ht="12.75" customHeight="1">
      <c r="A17" s="15" t="s">
        <v>173</v>
      </c>
      <c r="B17" s="39" t="s">
        <v>184</v>
      </c>
      <c r="C17" s="23" t="s">
        <v>184</v>
      </c>
      <c r="D17" s="16" t="s">
        <v>185</v>
      </c>
      <c r="E17" s="23" t="str">
        <f>IFERROR(__xludf.DUMMYFUNCTION("GOOGLETRANSLATE(C17, ""en"", ""gu"")"),"ફળો")</f>
        <v>ફળો</v>
      </c>
      <c r="F17" s="11" t="str">
        <f>IFERROR(__xludf.DUMMYFUNCTION("GOOGLETRANSLATE(C17, ""en"", ""kn"")"),"ಹಣ್ಣುಗಳು")</f>
        <v>ಹಣ್ಣುಗಳು</v>
      </c>
      <c r="G17" s="11" t="str">
        <f>IFERROR(__xludf.DUMMYFUNCTION("GOOGLETRANSLATE(C17,""en"",""or"")"),"ଫଳ")</f>
        <v>ଫଳ</v>
      </c>
    </row>
    <row r="18" ht="12.75" customHeight="1">
      <c r="A18" s="15" t="s">
        <v>173</v>
      </c>
      <c r="B18" s="39" t="s">
        <v>186</v>
      </c>
      <c r="C18" s="23" t="s">
        <v>187</v>
      </c>
      <c r="D18" s="16" t="s">
        <v>188</v>
      </c>
      <c r="E18" s="23" t="str">
        <f>IFERROR(__xludf.DUMMYFUNCTION("GOOGLETRANSLATE(C18, ""en"", ""gu"")"),"તેલીબિયાં")</f>
        <v>તેલીબિયાં</v>
      </c>
      <c r="F18" s="11" t="str">
        <f>IFERROR(__xludf.DUMMYFUNCTION("GOOGLETRANSLATE(C18, ""en"", ""kn"")"),"ಎಣ್ಣೆ ಬೀಜಗಳು")</f>
        <v>ಎಣ್ಣೆ ಬೀಜಗಳು</v>
      </c>
      <c r="G18" s="11" t="str">
        <f>IFERROR(__xludf.DUMMYFUNCTION("GOOGLETRANSLATE(C18,""en"",""or"")"),"ତୈଳ ବୀଜ")</f>
        <v>ତୈଳ ବୀଜ</v>
      </c>
    </row>
    <row r="19" ht="12.75" customHeight="1">
      <c r="A19" s="15" t="s">
        <v>173</v>
      </c>
      <c r="B19" s="39" t="s">
        <v>189</v>
      </c>
      <c r="C19" s="23" t="s">
        <v>190</v>
      </c>
      <c r="D19" s="16" t="s">
        <v>191</v>
      </c>
      <c r="E19" s="23" t="str">
        <f>IFERROR(__xludf.DUMMYFUNCTION("GOOGLETRANSLATE(C19, ""en"", ""gu"")"),"ઘાસચારો પાક")</f>
        <v>ઘાસચારો પાક</v>
      </c>
      <c r="F19" s="11" t="str">
        <f>IFERROR(__xludf.DUMMYFUNCTION("GOOGLETRANSLATE(C19, ""en"", ""kn"")"),"ಮೇವಿನ ಬೆಳೆ")</f>
        <v>ಮೇವಿನ ಬೆಳೆ</v>
      </c>
      <c r="G19" s="11" t="str">
        <f>IFERROR(__xludf.DUMMYFUNCTION("GOOGLETRANSLATE(C19,""en"",""or"")"),"ଚାରା ଫସଲ")</f>
        <v>ଚାରା ଫସଲ</v>
      </c>
    </row>
    <row r="20" ht="12.75" customHeight="1">
      <c r="A20" s="15"/>
      <c r="B20" s="39"/>
      <c r="D20" s="16"/>
      <c r="F20" s="11"/>
      <c r="G20" s="11"/>
    </row>
    <row r="21" ht="12.75" customHeight="1">
      <c r="A21" s="15"/>
      <c r="B21" s="39"/>
      <c r="D21" s="10"/>
      <c r="F21" s="11"/>
      <c r="G21" s="11"/>
    </row>
    <row r="22" ht="12.75" customHeight="1">
      <c r="A22" s="15" t="s">
        <v>192</v>
      </c>
      <c r="B22" s="39" t="s">
        <v>174</v>
      </c>
      <c r="C22" s="23" t="s">
        <v>175</v>
      </c>
      <c r="D22" s="16" t="s">
        <v>176</v>
      </c>
      <c r="E22" s="23" t="str">
        <f>IFERROR(__xludf.DUMMYFUNCTION("GOOGLETRANSLATE(C22, ""en"", ""gu"")"),"ડાંગર")</f>
        <v>ડાંગર</v>
      </c>
      <c r="F22" s="11" t="s">
        <v>193</v>
      </c>
      <c r="G22" s="11" t="str">
        <f>IFERROR(__xludf.DUMMYFUNCTION("GOOGLETRANSLATE(C22,""en"",""or"")"),"ଧାନ")</f>
        <v>ଧାନ</v>
      </c>
    </row>
    <row r="23" ht="12.75" customHeight="1">
      <c r="A23" s="15" t="s">
        <v>192</v>
      </c>
      <c r="B23" s="39" t="s">
        <v>177</v>
      </c>
      <c r="C23" s="23" t="s">
        <v>177</v>
      </c>
      <c r="D23" s="16" t="s">
        <v>179</v>
      </c>
      <c r="E23" s="23" t="str">
        <f>IFERROR(__xludf.DUMMYFUNCTION("GOOGLETRANSLATE(C23, ""en"", ""gu"")"),"બાજરી")</f>
        <v>બાજરી</v>
      </c>
      <c r="F23" s="11" t="s">
        <v>194</v>
      </c>
      <c r="G23" s="11" t="str">
        <f>IFERROR(__xludf.DUMMYFUNCTION("GOOGLETRANSLATE(C23,""en"",""or"")"),"ବାଜରା")</f>
        <v>ବାଜରା</v>
      </c>
    </row>
    <row r="24" ht="12.75" customHeight="1">
      <c r="A24" s="15" t="s">
        <v>192</v>
      </c>
      <c r="B24" s="39" t="s">
        <v>180</v>
      </c>
      <c r="C24" s="23" t="s">
        <v>180</v>
      </c>
      <c r="D24" s="16" t="s">
        <v>181</v>
      </c>
      <c r="E24" s="23" t="str">
        <f>IFERROR(__xludf.DUMMYFUNCTION("GOOGLETRANSLATE(C24, ""en"", ""gu"")"),"કઠોળ")</f>
        <v>કઠોળ</v>
      </c>
      <c r="F24" s="11" t="s">
        <v>195</v>
      </c>
      <c r="G24" s="11" t="str">
        <f>IFERROR(__xludf.DUMMYFUNCTION("GOOGLETRANSLATE(C24,""en"",""or"")"),"ଡାଲି")</f>
        <v>ଡାଲି</v>
      </c>
    </row>
    <row r="25" ht="12.75" customHeight="1">
      <c r="A25" s="15" t="s">
        <v>192</v>
      </c>
      <c r="B25" s="39" t="s">
        <v>182</v>
      </c>
      <c r="C25" s="23" t="s">
        <v>182</v>
      </c>
      <c r="D25" s="16" t="s">
        <v>183</v>
      </c>
      <c r="E25" s="23" t="str">
        <f>IFERROR(__xludf.DUMMYFUNCTION("GOOGLETRANSLATE(C25, ""en"", ""gu"")"),"શાકભાજી")</f>
        <v>શાકભાજી</v>
      </c>
      <c r="F25" s="11" t="s">
        <v>196</v>
      </c>
      <c r="G25" s="11" t="str">
        <f>IFERROR(__xludf.DUMMYFUNCTION("GOOGLETRANSLATE(C25,""en"",""or"")"),"ପନିପରିବା")</f>
        <v>ପନିପରିବା</v>
      </c>
    </row>
    <row r="26" ht="12.75" customHeight="1">
      <c r="A26" s="15" t="s">
        <v>192</v>
      </c>
      <c r="B26" s="39" t="s">
        <v>184</v>
      </c>
      <c r="C26" s="23" t="s">
        <v>184</v>
      </c>
      <c r="D26" s="16" t="s">
        <v>185</v>
      </c>
      <c r="E26" s="23" t="str">
        <f>IFERROR(__xludf.DUMMYFUNCTION("GOOGLETRANSLATE(C26, ""en"", ""gu"")"),"ફળો")</f>
        <v>ફળો</v>
      </c>
      <c r="F26" s="11" t="s">
        <v>197</v>
      </c>
      <c r="G26" s="11" t="str">
        <f>IFERROR(__xludf.DUMMYFUNCTION("GOOGLETRANSLATE(C26,""en"",""or"")"),"ଫଳ")</f>
        <v>ଫଳ</v>
      </c>
    </row>
    <row r="27" ht="12.75" customHeight="1">
      <c r="A27" s="15" t="s">
        <v>192</v>
      </c>
      <c r="B27" s="39" t="s">
        <v>186</v>
      </c>
      <c r="C27" s="23" t="s">
        <v>187</v>
      </c>
      <c r="D27" s="16" t="s">
        <v>188</v>
      </c>
      <c r="E27" s="23" t="str">
        <f>IFERROR(__xludf.DUMMYFUNCTION("GOOGLETRANSLATE(C27, ""en"", ""gu"")"),"તેલીબિયાં")</f>
        <v>તેલીબિયાં</v>
      </c>
      <c r="F27" s="11" t="s">
        <v>198</v>
      </c>
      <c r="G27" s="11" t="str">
        <f>IFERROR(__xludf.DUMMYFUNCTION("GOOGLETRANSLATE(C27,""en"",""or"")"),"ତୈଳ ବୀଜ")</f>
        <v>ତୈଳ ବୀଜ</v>
      </c>
    </row>
    <row r="28" ht="12.75" customHeight="1">
      <c r="A28" s="15" t="s">
        <v>192</v>
      </c>
      <c r="B28" s="39" t="s">
        <v>189</v>
      </c>
      <c r="C28" s="23" t="s">
        <v>190</v>
      </c>
      <c r="D28" s="16" t="s">
        <v>191</v>
      </c>
      <c r="E28" s="23" t="str">
        <f>IFERROR(__xludf.DUMMYFUNCTION("GOOGLETRANSLATE(C28, ""en"", ""gu"")"),"ઘાસચારો પાક")</f>
        <v>ઘાસચારો પાક</v>
      </c>
      <c r="F28" s="11" t="s">
        <v>199</v>
      </c>
      <c r="G28" s="11" t="str">
        <f>IFERROR(__xludf.DUMMYFUNCTION("GOOGLETRANSLATE(C28,""en"",""or"")"),"ଚାରା ଫସଲ")</f>
        <v>ଚାରା ଫସଲ</v>
      </c>
    </row>
    <row r="29" ht="12.75" customHeight="1">
      <c r="A29" s="15"/>
      <c r="B29" s="39"/>
      <c r="D29" s="16"/>
      <c r="F29" s="11"/>
      <c r="G29" s="11"/>
    </row>
    <row r="30" ht="12.75" customHeight="1">
      <c r="A30" s="39"/>
      <c r="B30" s="39"/>
      <c r="D30" s="10"/>
      <c r="F30" s="11"/>
      <c r="G30" s="11"/>
    </row>
    <row r="31" ht="12.75" customHeight="1">
      <c r="A31" s="15" t="s">
        <v>200</v>
      </c>
      <c r="B31" s="39" t="s">
        <v>174</v>
      </c>
      <c r="C31" s="23" t="s">
        <v>175</v>
      </c>
      <c r="D31" s="16" t="s">
        <v>176</v>
      </c>
      <c r="E31" s="23" t="str">
        <f>IFERROR(__xludf.DUMMYFUNCTION("GOOGLETRANSLATE(C31, ""en"", ""gu"")"),"ડાંગર")</f>
        <v>ડાંગર</v>
      </c>
      <c r="F31" s="11" t="s">
        <v>193</v>
      </c>
      <c r="G31" s="11" t="str">
        <f>IFERROR(__xludf.DUMMYFUNCTION("GOOGLETRANSLATE(C31,""en"",""or"")"),"ଧାନ")</f>
        <v>ଧାନ</v>
      </c>
    </row>
    <row r="32" ht="12.75" customHeight="1">
      <c r="A32" s="15" t="s">
        <v>200</v>
      </c>
      <c r="B32" s="39" t="s">
        <v>177</v>
      </c>
      <c r="C32" s="23" t="s">
        <v>177</v>
      </c>
      <c r="D32" s="16" t="s">
        <v>179</v>
      </c>
      <c r="E32" s="23" t="str">
        <f>IFERROR(__xludf.DUMMYFUNCTION("GOOGLETRANSLATE(C32, ""en"", ""gu"")"),"બાજરી")</f>
        <v>બાજરી</v>
      </c>
      <c r="F32" s="11" t="s">
        <v>194</v>
      </c>
      <c r="G32" s="11" t="str">
        <f>IFERROR(__xludf.DUMMYFUNCTION("GOOGLETRANSLATE(C32,""en"",""or"")"),"ବାଜରା")</f>
        <v>ବାଜରା</v>
      </c>
    </row>
    <row r="33" ht="12.75" customHeight="1">
      <c r="A33" s="15" t="s">
        <v>200</v>
      </c>
      <c r="B33" s="39" t="s">
        <v>180</v>
      </c>
      <c r="C33" s="23" t="s">
        <v>180</v>
      </c>
      <c r="D33" s="16" t="s">
        <v>181</v>
      </c>
      <c r="E33" s="23" t="str">
        <f>IFERROR(__xludf.DUMMYFUNCTION("GOOGLETRANSLATE(C33, ""en"", ""gu"")"),"કઠોળ")</f>
        <v>કઠોળ</v>
      </c>
      <c r="F33" s="11" t="s">
        <v>195</v>
      </c>
      <c r="G33" s="11" t="str">
        <f>IFERROR(__xludf.DUMMYFUNCTION("GOOGLETRANSLATE(C33,""en"",""or"")"),"ଡାଲି")</f>
        <v>ଡାଲି</v>
      </c>
    </row>
    <row r="34" ht="12.75" customHeight="1">
      <c r="A34" s="15" t="s">
        <v>200</v>
      </c>
      <c r="B34" s="39" t="s">
        <v>182</v>
      </c>
      <c r="C34" s="23" t="s">
        <v>182</v>
      </c>
      <c r="D34" s="16" t="s">
        <v>183</v>
      </c>
      <c r="E34" s="23" t="str">
        <f>IFERROR(__xludf.DUMMYFUNCTION("GOOGLETRANSLATE(C34, ""en"", ""gu"")"),"શાકભાજી")</f>
        <v>શાકભાજી</v>
      </c>
      <c r="F34" s="11" t="str">
        <f>IFERROR(__xludf.DUMMYFUNCTION("GOOGLETRANSLATE(E34, ""en"", ""kn"")"),"ಶಾಕ್ಭಾಜಿ")</f>
        <v>ಶಾಕ್ಭಾಜಿ</v>
      </c>
      <c r="G34" s="11" t="str">
        <f>IFERROR(__xludf.DUMMYFUNCTION("GOOGLETRANSLATE(C34,""en"",""or"")"),"ପନିପରିବା")</f>
        <v>ପନିପରିବା</v>
      </c>
    </row>
    <row r="35" ht="12.75" customHeight="1">
      <c r="A35" s="15" t="s">
        <v>200</v>
      </c>
      <c r="B35" s="39" t="s">
        <v>184</v>
      </c>
      <c r="C35" s="23" t="s">
        <v>201</v>
      </c>
      <c r="D35" s="16" t="s">
        <v>185</v>
      </c>
      <c r="E35" s="23" t="str">
        <f>IFERROR(__xludf.DUMMYFUNCTION("GOOGLETRANSLATE(C35, ""en"", ""gu"")"),"ફળો")</f>
        <v>ફળો</v>
      </c>
      <c r="F35" s="11" t="s">
        <v>197</v>
      </c>
      <c r="G35" s="11" t="str">
        <f>IFERROR(__xludf.DUMMYFUNCTION("GOOGLETRANSLATE(C35,""en"",""or"")"),"ଫଳ")</f>
        <v>ଫଳ</v>
      </c>
    </row>
    <row r="36" ht="12.75" customHeight="1">
      <c r="A36" s="15" t="s">
        <v>200</v>
      </c>
      <c r="B36" s="39" t="s">
        <v>186</v>
      </c>
      <c r="C36" s="23" t="s">
        <v>187</v>
      </c>
      <c r="D36" s="16" t="s">
        <v>188</v>
      </c>
      <c r="E36" s="23" t="str">
        <f>IFERROR(__xludf.DUMMYFUNCTION("GOOGLETRANSLATE(C36, ""en"", ""gu"")"),"તેલીબિયાં")</f>
        <v>તેલીબિયાં</v>
      </c>
      <c r="F36" s="11" t="s">
        <v>198</v>
      </c>
      <c r="G36" s="11" t="str">
        <f>IFERROR(__xludf.DUMMYFUNCTION("GOOGLETRANSLATE(C36,""en"",""or"")"),"ତୈଳ ବୀଜ")</f>
        <v>ତୈଳ ବୀଜ</v>
      </c>
    </row>
    <row r="37" ht="12.75" customHeight="1">
      <c r="A37" s="15" t="s">
        <v>200</v>
      </c>
      <c r="B37" s="39" t="s">
        <v>189</v>
      </c>
      <c r="C37" s="23" t="s">
        <v>190</v>
      </c>
      <c r="D37" s="16" t="s">
        <v>191</v>
      </c>
      <c r="E37" s="23" t="str">
        <f>IFERROR(__xludf.DUMMYFUNCTION("GOOGLETRANSLATE(C37, ""en"", ""gu"")"),"ઘાસચારો પાક")</f>
        <v>ઘાસચારો પાક</v>
      </c>
      <c r="F37" s="11" t="s">
        <v>199</v>
      </c>
      <c r="G37" s="11" t="str">
        <f>IFERROR(__xludf.DUMMYFUNCTION("GOOGLETRANSLATE(C37,""en"",""or"")"),"ଚାରା ଫସଲ")</f>
        <v>ଚାରା ଫସଲ</v>
      </c>
    </row>
    <row r="38" ht="12.75" customHeight="1">
      <c r="A38" s="15"/>
      <c r="B38" s="39"/>
      <c r="D38" s="16"/>
      <c r="F38" s="11"/>
      <c r="G38" s="11"/>
    </row>
    <row r="39" ht="12.75" customHeight="1">
      <c r="A39" s="39"/>
      <c r="B39" s="39"/>
      <c r="D39" s="10"/>
      <c r="F39" s="11"/>
      <c r="G39" s="11"/>
    </row>
    <row r="40" ht="12.75" customHeight="1">
      <c r="A40" s="39" t="s">
        <v>202</v>
      </c>
      <c r="B40" s="39" t="s">
        <v>203</v>
      </c>
      <c r="C40" s="23" t="s">
        <v>204</v>
      </c>
      <c r="D40" s="16" t="s">
        <v>205</v>
      </c>
      <c r="E40" s="23" t="str">
        <f>IFERROR(__xludf.DUMMYFUNCTION("GOOGLETRANSLATE(C40, ""en"", ""gu"")"),"વધારો થયો")</f>
        <v>વધારો થયો</v>
      </c>
      <c r="F40" s="11" t="s">
        <v>206</v>
      </c>
      <c r="G40" s="11" t="str">
        <f>IFERROR(__xludf.DUMMYFUNCTION("GOOGLETRANSLATE(C40,""en"",""or"")"),"ବୃଦ୍ଧି ପାଇଛି")</f>
        <v>ବୃଦ୍ଧି ପାଇଛି</v>
      </c>
    </row>
    <row r="41" ht="12.75" customHeight="1">
      <c r="A41" s="39" t="s">
        <v>202</v>
      </c>
      <c r="B41" s="39" t="s">
        <v>207</v>
      </c>
      <c r="C41" s="23" t="s">
        <v>207</v>
      </c>
      <c r="D41" s="16" t="s">
        <v>208</v>
      </c>
      <c r="E41" s="23" t="str">
        <f>IFERROR(__xludf.DUMMYFUNCTION("GOOGLETRANSLATE(C41, ""en"", ""gu"")"),"ઘટાડો થયો")</f>
        <v>ઘટાડો થયો</v>
      </c>
      <c r="F41" s="11" t="s">
        <v>209</v>
      </c>
      <c r="G41" s="11" t="str">
        <f>IFERROR(__xludf.DUMMYFUNCTION("GOOGLETRANSLATE(C41,""en"",""or"")"),"ହ୍ରାସ ପାଇଛି")</f>
        <v>ହ୍ରାସ ପାଇଛି</v>
      </c>
    </row>
    <row r="42" ht="12.75" customHeight="1">
      <c r="A42" s="39" t="s">
        <v>202</v>
      </c>
      <c r="B42" s="39" t="s">
        <v>210</v>
      </c>
      <c r="C42" s="23" t="s">
        <v>210</v>
      </c>
      <c r="D42" s="16" t="s">
        <v>211</v>
      </c>
      <c r="E42" s="23" t="str">
        <f>IFERROR(__xludf.DUMMYFUNCTION("GOOGLETRANSLATE(C42, ""en"", ""gu"")"),"એ જ રહો")</f>
        <v>એ જ રહો</v>
      </c>
      <c r="F42" s="11" t="s">
        <v>212</v>
      </c>
      <c r="G42" s="11" t="str">
        <f>IFERROR(__xludf.DUMMYFUNCTION("GOOGLETRANSLATE(C42,""en"",""or"")"),"ସମାନ ରୁହନ୍ତୁ")</f>
        <v>ସମାନ ରୁହନ୍ତୁ</v>
      </c>
    </row>
    <row r="43" ht="12.75" customHeight="1">
      <c r="A43" s="39"/>
      <c r="B43" s="39"/>
      <c r="D43" s="10"/>
      <c r="F43" s="11"/>
      <c r="G43" s="11"/>
    </row>
    <row r="44" ht="12.75" customHeight="1">
      <c r="A44" s="15" t="s">
        <v>213</v>
      </c>
      <c r="B44" s="39" t="s">
        <v>214</v>
      </c>
      <c r="C44" s="23" t="s">
        <v>214</v>
      </c>
      <c r="D44" s="16" t="s">
        <v>215</v>
      </c>
      <c r="E44" s="23" t="str">
        <f>IFERROR(__xludf.DUMMYFUNCTION("GOOGLETRANSLATE(C44, ""en"", ""gu"")"),"હા")</f>
        <v>હા</v>
      </c>
      <c r="F44" s="11" t="s">
        <v>216</v>
      </c>
      <c r="G44" s="11" t="str">
        <f>IFERROR(__xludf.DUMMYFUNCTION("GOOGLETRANSLATE(C44,""en"",""or"")"),"ହଁ")</f>
        <v>ହଁ</v>
      </c>
    </row>
    <row r="45" ht="12.75" customHeight="1">
      <c r="A45" s="15" t="s">
        <v>213</v>
      </c>
      <c r="B45" s="39" t="s">
        <v>217</v>
      </c>
      <c r="C45" s="23" t="s">
        <v>217</v>
      </c>
      <c r="D45" s="16" t="s">
        <v>218</v>
      </c>
      <c r="E45" s="23" t="str">
        <f>IFERROR(__xludf.DUMMYFUNCTION("GOOGLETRANSLATE(C45, ""en"", ""gu"")"),"ના")</f>
        <v>ના</v>
      </c>
      <c r="F45" s="11" t="s">
        <v>219</v>
      </c>
      <c r="G45" s="11" t="str">
        <f>IFERROR(__xludf.DUMMYFUNCTION("GOOGLETRANSLATE(C45,""en"",""or"")"),"ନା")</f>
        <v>ନା</v>
      </c>
    </row>
    <row r="46" ht="12.75" customHeight="1">
      <c r="A46" s="39"/>
      <c r="B46" s="39"/>
      <c r="D46" s="10"/>
      <c r="F46" s="11"/>
      <c r="G46" s="11"/>
    </row>
    <row r="47" ht="12.75" customHeight="1">
      <c r="A47" s="15" t="s">
        <v>220</v>
      </c>
      <c r="B47" s="21" t="s">
        <v>221</v>
      </c>
      <c r="C47" s="16" t="s">
        <v>222</v>
      </c>
      <c r="D47" s="16" t="s">
        <v>223</v>
      </c>
      <c r="E47" s="23" t="str">
        <f>IFERROR(__xludf.DUMMYFUNCTION("GOOGLETRANSLATE(C47, ""en"", ""gu"")"),"ખાતરોનો વધુ પડતો ઉપયોગ")</f>
        <v>ખાતરોનો વધુ પડતો ઉપયોગ</v>
      </c>
      <c r="F47" s="11" t="s">
        <v>224</v>
      </c>
      <c r="G47" s="11" t="str">
        <f>IFERROR(__xludf.DUMMYFUNCTION("GOOGLETRANSLATE(C47,""en"",""or"")"),"ସାରର ଅତ୍ୟଧିକ ବ୍ୟବହାର")</f>
        <v>ସାରର ଅତ୍ୟଧିକ ବ୍ୟବହାର</v>
      </c>
    </row>
    <row r="48" ht="12.75" customHeight="1">
      <c r="A48" s="15" t="s">
        <v>220</v>
      </c>
      <c r="B48" s="21" t="s">
        <v>225</v>
      </c>
      <c r="C48" s="16" t="s">
        <v>226</v>
      </c>
      <c r="D48" s="16" t="s">
        <v>227</v>
      </c>
      <c r="E48" s="23" t="str">
        <f>IFERROR(__xludf.DUMMYFUNCTION("GOOGLETRANSLATE(C48, ""en"", ""gu"")"),"ભારે વરસાદને કારણે ધોવાણ")</f>
        <v>ભારે વરસાદને કારણે ધોવાણ</v>
      </c>
      <c r="F48" s="11" t="s">
        <v>228</v>
      </c>
      <c r="G48" s="11" t="str">
        <f>IFERROR(__xludf.DUMMYFUNCTION("GOOGLETRANSLATE(C48,""en"",""or"")"),"ପ୍ରବଳ ବର୍ଷା ଯୋଗୁଁ କ୍ଷୟ ହେଉଛି")</f>
        <v>ପ୍ରବଳ ବର୍ଷା ଯୋଗୁଁ କ୍ଷୟ ହେଉଛି</v>
      </c>
    </row>
    <row r="49" ht="12.75" customHeight="1">
      <c r="A49" s="15" t="s">
        <v>220</v>
      </c>
      <c r="B49" s="21" t="s">
        <v>229</v>
      </c>
      <c r="C49" s="16" t="s">
        <v>229</v>
      </c>
      <c r="D49" s="16" t="s">
        <v>230</v>
      </c>
      <c r="E49" s="23" t="str">
        <f>IFERROR(__xludf.DUMMYFUNCTION("GOOGLETRANSLATE(C49, ""en"", ""gu"")"),"વનનાબૂદી")</f>
        <v>વનનાબૂદી</v>
      </c>
      <c r="F49" s="11" t="s">
        <v>231</v>
      </c>
      <c r="G49" s="11" t="str">
        <f>IFERROR(__xludf.DUMMYFUNCTION("GOOGLETRANSLATE(C49,""en"",""or"")"),"ଜଙ୍ଗଲ କଟା")</f>
        <v>ଜଙ୍ଗଲ କଟା</v>
      </c>
    </row>
    <row r="50" ht="12.75" customHeight="1">
      <c r="A50" s="15" t="s">
        <v>220</v>
      </c>
      <c r="B50" s="21" t="s">
        <v>232</v>
      </c>
      <c r="C50" s="16" t="s">
        <v>232</v>
      </c>
      <c r="D50" s="16" t="s">
        <v>233</v>
      </c>
      <c r="E50" s="23" t="str">
        <f>IFERROR(__xludf.DUMMYFUNCTION("GOOGLETRANSLATE(C50, ""en"", ""gu"")"),"અતિશય ચરાઈ")</f>
        <v>અતિશય ચરાઈ</v>
      </c>
      <c r="F50" s="11" t="s">
        <v>234</v>
      </c>
      <c r="G50" s="11" t="str">
        <f>IFERROR(__xludf.DUMMYFUNCTION("GOOGLETRANSLATE(C50,""en"",""or"")"),"ଅଧିକ ଚରାଇବା")</f>
        <v>ଅଧିକ ଚରାଇବା</v>
      </c>
    </row>
    <row r="51" ht="12.75" customHeight="1">
      <c r="A51" s="15" t="s">
        <v>220</v>
      </c>
      <c r="B51" s="21" t="s">
        <v>235</v>
      </c>
      <c r="C51" s="16" t="s">
        <v>235</v>
      </c>
      <c r="D51" s="16" t="s">
        <v>236</v>
      </c>
      <c r="E51" s="23" t="str">
        <f>IFERROR(__xludf.DUMMYFUNCTION("GOOGLETRANSLATE(C51, ""en"", ""gu"")"),"શહેરીકરણ")</f>
        <v>શહેરીકરણ</v>
      </c>
      <c r="F51" s="11" t="s">
        <v>237</v>
      </c>
      <c r="G51" s="11" t="str">
        <f>IFERROR(__xludf.DUMMYFUNCTION("GOOGLETRANSLATE(C51,""en"",""or"")"),"ସହରୀକରଣ")</f>
        <v>ସହରୀକରଣ</v>
      </c>
    </row>
    <row r="52" ht="12.75" customHeight="1">
      <c r="A52" s="39"/>
      <c r="B52" s="39"/>
      <c r="D52" s="10"/>
      <c r="F52" s="11"/>
      <c r="G52" s="11"/>
    </row>
    <row r="53" ht="12.75" customHeight="1">
      <c r="A53" s="15" t="s">
        <v>238</v>
      </c>
      <c r="B53" s="39" t="s">
        <v>239</v>
      </c>
      <c r="C53" s="23" t="s">
        <v>239</v>
      </c>
      <c r="D53" s="10" t="str">
        <f>IFERROR(__xludf.DUMMYFUNCTION("GOOGLETRANSLATE(C53, ""en"", ""hi"")"),"खरीफ")</f>
        <v>खरीफ</v>
      </c>
      <c r="E53" s="23" t="str">
        <f>IFERROR(__xludf.DUMMYFUNCTION("GOOGLETRANSLATE(C53, ""en"", ""gu"")"),"ખરીફ")</f>
        <v>ખરીફ</v>
      </c>
      <c r="F53" s="11" t="str">
        <f>IFERROR(__xludf.DUMMYFUNCTION("GOOGLETRANSLATE(E53, ""en"", ""kn"")"),"ಖರೀಫ್")</f>
        <v>ಖರೀಫ್</v>
      </c>
      <c r="G53" s="11" t="str">
        <f>IFERROR(__xludf.DUMMYFUNCTION("GOOGLETRANSLATE(C53,""en"",""or"")"),"ଖରିଫ")</f>
        <v>ଖରିଫ</v>
      </c>
    </row>
    <row r="54" ht="12.75" customHeight="1">
      <c r="A54" s="15" t="s">
        <v>238</v>
      </c>
      <c r="B54" s="39" t="s">
        <v>240</v>
      </c>
      <c r="C54" s="23" t="s">
        <v>240</v>
      </c>
      <c r="D54" s="10" t="str">
        <f>IFERROR(__xludf.DUMMYFUNCTION("GOOGLETRANSLATE(C54, ""en"", ""hi"")"),"रबी")</f>
        <v>रबी</v>
      </c>
      <c r="E54" s="23" t="str">
        <f>IFERROR(__xludf.DUMMYFUNCTION("GOOGLETRANSLATE(C54, ""en"", ""gu"")"),"રબી")</f>
        <v>રબી</v>
      </c>
      <c r="F54" s="11" t="str">
        <f>IFERROR(__xludf.DUMMYFUNCTION("GOOGLETRANSLATE(E54, ""en"", ""kn"")"),"ರಬೀ")</f>
        <v>ರಬೀ</v>
      </c>
      <c r="G54" s="11" t="str">
        <f>IFERROR(__xludf.DUMMYFUNCTION("GOOGLETRANSLATE(C54,""en"",""or"")"),"ରବି")</f>
        <v>ରବି</v>
      </c>
    </row>
    <row r="55" ht="12.75" customHeight="1">
      <c r="A55" s="15" t="s">
        <v>238</v>
      </c>
      <c r="B55" s="39" t="s">
        <v>241</v>
      </c>
      <c r="C55" s="23" t="s">
        <v>241</v>
      </c>
      <c r="D55" s="10" t="str">
        <f>IFERROR(__xludf.DUMMYFUNCTION("GOOGLETRANSLATE(C55, ""en"", ""hi"")"),"ज़ैद")</f>
        <v>ज़ैद</v>
      </c>
      <c r="E55" s="23" t="str">
        <f>IFERROR(__xludf.DUMMYFUNCTION("GOOGLETRANSLATE(C55, ""en"", ""gu"")"),"ઝૈદ")</f>
        <v>ઝૈદ</v>
      </c>
      <c r="F55" s="11" t="str">
        <f>IFERROR(__xludf.DUMMYFUNCTION("GOOGLETRANSLATE(E55, ""en"", ""kn"")"),"ಜೈದ್")</f>
        <v>ಜೈದ್</v>
      </c>
      <c r="G55" s="11" t="str">
        <f>IFERROR(__xludf.DUMMYFUNCTION("GOOGLETRANSLATE(C55,""en"",""or"")"),"ଜାଇଦ୍")</f>
        <v>ଜାଇଦ୍</v>
      </c>
    </row>
    <row r="56" ht="12.75" customHeight="1">
      <c r="A56" s="39"/>
      <c r="B56" s="39"/>
      <c r="D56" s="10"/>
      <c r="F56" s="11"/>
      <c r="G56" s="11"/>
    </row>
    <row r="57" ht="12.75" customHeight="1">
      <c r="A57" s="39"/>
      <c r="B57" s="39"/>
      <c r="D57" s="10"/>
      <c r="F57" s="11"/>
      <c r="G57" s="11"/>
    </row>
    <row r="58" ht="12.75" customHeight="1">
      <c r="A58" s="39"/>
      <c r="B58" s="39"/>
      <c r="D58" s="10"/>
      <c r="F58" s="11"/>
      <c r="G58" s="11"/>
    </row>
    <row r="59" ht="12.75" customHeight="1">
      <c r="A59" s="39"/>
      <c r="B59" s="39"/>
      <c r="D59" s="10"/>
      <c r="F59" s="11"/>
      <c r="G59" s="11"/>
    </row>
    <row r="60" ht="12.75" customHeight="1">
      <c r="A60" s="39"/>
      <c r="B60" s="39"/>
      <c r="D60" s="10"/>
      <c r="F60" s="11"/>
      <c r="G60" s="11"/>
    </row>
    <row r="61" ht="12.75" customHeight="1">
      <c r="A61" s="39"/>
      <c r="B61" s="39"/>
      <c r="D61" s="10"/>
      <c r="F61" s="11"/>
      <c r="G61" s="11"/>
    </row>
    <row r="62" ht="12.75" customHeight="1">
      <c r="A62" s="39"/>
      <c r="B62" s="39"/>
      <c r="D62" s="10"/>
      <c r="F62" s="11"/>
      <c r="G62" s="11"/>
    </row>
    <row r="63" ht="12.75" customHeight="1">
      <c r="A63" s="39"/>
      <c r="B63" s="39"/>
      <c r="D63" s="10"/>
      <c r="F63" s="11"/>
      <c r="G63" s="11"/>
    </row>
    <row r="64" ht="12.75" customHeight="1">
      <c r="A64" s="39"/>
      <c r="B64" s="39"/>
      <c r="D64" s="10"/>
      <c r="F64" s="11"/>
      <c r="G64" s="11"/>
    </row>
    <row r="65" ht="12.75" customHeight="1">
      <c r="A65" s="39"/>
      <c r="B65" s="39"/>
      <c r="D65" s="10"/>
      <c r="F65" s="11"/>
      <c r="G65" s="11"/>
    </row>
    <row r="66" ht="12.75" customHeight="1">
      <c r="A66" s="39"/>
      <c r="B66" s="39"/>
      <c r="D66" s="10"/>
      <c r="F66" s="11"/>
      <c r="G66" s="11"/>
    </row>
    <row r="67" ht="12.75" customHeight="1">
      <c r="A67" s="39"/>
      <c r="B67" s="39"/>
      <c r="D67" s="10"/>
      <c r="F67" s="11"/>
      <c r="G67" s="11"/>
    </row>
    <row r="68" ht="12.75" customHeight="1">
      <c r="A68" s="39"/>
      <c r="B68" s="39"/>
      <c r="D68" s="10"/>
      <c r="F68" s="11"/>
      <c r="G68" s="11"/>
    </row>
    <row r="69" ht="12.75" customHeight="1">
      <c r="A69" s="39"/>
      <c r="B69" s="39"/>
      <c r="D69" s="10"/>
      <c r="F69" s="11"/>
      <c r="G69" s="11"/>
    </row>
    <row r="70" ht="12.75" customHeight="1">
      <c r="A70" s="39"/>
      <c r="B70" s="39"/>
      <c r="D70" s="10"/>
      <c r="F70" s="11"/>
      <c r="G70" s="11"/>
    </row>
    <row r="71" ht="12.75" customHeight="1">
      <c r="A71" s="39"/>
      <c r="B71" s="39"/>
      <c r="D71" s="10"/>
      <c r="F71" s="11"/>
      <c r="G71" s="11"/>
    </row>
    <row r="72" ht="12.75" customHeight="1">
      <c r="A72" s="39"/>
      <c r="B72" s="39"/>
      <c r="D72" s="10"/>
      <c r="F72" s="11"/>
      <c r="G72" s="11"/>
    </row>
    <row r="73" ht="12.75" customHeight="1">
      <c r="A73" s="39"/>
      <c r="B73" s="39"/>
      <c r="D73" s="10"/>
      <c r="F73" s="11"/>
      <c r="G73" s="11"/>
    </row>
    <row r="74" ht="12.75" customHeight="1">
      <c r="A74" s="39"/>
      <c r="B74" s="39"/>
      <c r="D74" s="10"/>
      <c r="F74" s="11"/>
      <c r="G74" s="11"/>
    </row>
    <row r="75" ht="12.75" customHeight="1">
      <c r="A75" s="39"/>
      <c r="B75" s="39"/>
      <c r="D75" s="10"/>
      <c r="F75" s="11"/>
      <c r="G75" s="11"/>
    </row>
    <row r="76" ht="12.75" customHeight="1">
      <c r="A76" s="39"/>
      <c r="B76" s="39"/>
      <c r="D76" s="10"/>
      <c r="F76" s="11"/>
      <c r="G76" s="11"/>
    </row>
    <row r="77" ht="12.75" customHeight="1">
      <c r="A77" s="39"/>
      <c r="B77" s="39"/>
      <c r="D77" s="10"/>
      <c r="F77" s="11"/>
      <c r="G77" s="11"/>
    </row>
    <row r="78" ht="12.75" customHeight="1">
      <c r="A78" s="39"/>
      <c r="B78" s="39"/>
      <c r="D78" s="10"/>
      <c r="F78" s="11"/>
      <c r="G78" s="11"/>
    </row>
    <row r="79" ht="12.75" customHeight="1">
      <c r="A79" s="39"/>
      <c r="B79" s="39"/>
      <c r="D79" s="10"/>
      <c r="F79" s="11"/>
      <c r="G79" s="11"/>
    </row>
    <row r="80" ht="12.75" customHeight="1">
      <c r="A80" s="39"/>
      <c r="B80" s="39"/>
      <c r="D80" s="10"/>
      <c r="F80" s="11"/>
      <c r="G80" s="11"/>
    </row>
    <row r="81" ht="12.75" customHeight="1">
      <c r="A81" s="39"/>
      <c r="B81" s="39"/>
      <c r="D81" s="10"/>
      <c r="F81" s="11"/>
      <c r="G81" s="11"/>
    </row>
    <row r="82" ht="12.75" customHeight="1">
      <c r="A82" s="39"/>
      <c r="B82" s="39"/>
      <c r="D82" s="10"/>
      <c r="F82" s="11"/>
      <c r="G82" s="11"/>
    </row>
    <row r="83" ht="12.75" customHeight="1">
      <c r="A83" s="39"/>
      <c r="B83" s="39"/>
      <c r="D83" s="10"/>
      <c r="F83" s="11"/>
      <c r="G83" s="11"/>
    </row>
    <row r="84" ht="12.75" customHeight="1">
      <c r="A84" s="39"/>
      <c r="B84" s="39"/>
      <c r="D84" s="10"/>
      <c r="F84" s="11"/>
      <c r="G84" s="11"/>
    </row>
    <row r="85" ht="12.75" customHeight="1">
      <c r="A85" s="39"/>
      <c r="B85" s="39"/>
      <c r="D85" s="10"/>
      <c r="F85" s="11"/>
      <c r="G85" s="11"/>
    </row>
    <row r="86" ht="12.75" customHeight="1">
      <c r="A86" s="39"/>
      <c r="B86" s="39"/>
      <c r="D86" s="10"/>
      <c r="F86" s="11"/>
      <c r="G86" s="11"/>
    </row>
    <row r="87" ht="12.75" customHeight="1">
      <c r="A87" s="39"/>
      <c r="B87" s="39"/>
      <c r="D87" s="10"/>
      <c r="F87" s="11"/>
      <c r="G87" s="11"/>
    </row>
    <row r="88" ht="12.75" customHeight="1">
      <c r="A88" s="39"/>
      <c r="B88" s="39"/>
      <c r="D88" s="10"/>
      <c r="F88" s="11"/>
      <c r="G88" s="11"/>
    </row>
    <row r="89" ht="12.75" customHeight="1">
      <c r="A89" s="39"/>
      <c r="B89" s="39"/>
      <c r="D89" s="10"/>
      <c r="F89" s="11"/>
      <c r="G89" s="11"/>
    </row>
    <row r="90" ht="12.75" customHeight="1">
      <c r="A90" s="39"/>
      <c r="B90" s="39"/>
      <c r="D90" s="10"/>
      <c r="F90" s="11"/>
      <c r="G90" s="11"/>
    </row>
    <row r="91" ht="12.75" customHeight="1">
      <c r="A91" s="39"/>
      <c r="B91" s="39"/>
      <c r="D91" s="10"/>
      <c r="F91" s="11"/>
      <c r="G91" s="11"/>
    </row>
    <row r="92" ht="12.75" customHeight="1">
      <c r="A92" s="39"/>
      <c r="B92" s="39"/>
      <c r="D92" s="10"/>
      <c r="F92" s="11"/>
      <c r="G92" s="11"/>
    </row>
    <row r="93" ht="12.75" customHeight="1">
      <c r="A93" s="39"/>
      <c r="B93" s="39"/>
      <c r="D93" s="10"/>
      <c r="F93" s="11"/>
      <c r="G93" s="11"/>
    </row>
    <row r="94" ht="12.75" customHeight="1">
      <c r="A94" s="39"/>
      <c r="B94" s="39"/>
      <c r="D94" s="10"/>
      <c r="F94" s="11"/>
      <c r="G94" s="11"/>
    </row>
    <row r="95" ht="12.75" customHeight="1">
      <c r="A95" s="39"/>
      <c r="B95" s="39"/>
      <c r="D95" s="10"/>
      <c r="F95" s="11"/>
      <c r="G95" s="11"/>
    </row>
    <row r="96" ht="12.75" customHeight="1">
      <c r="A96" s="39"/>
      <c r="B96" s="39"/>
      <c r="D96" s="10"/>
      <c r="F96" s="11"/>
      <c r="G96" s="11"/>
    </row>
    <row r="97" ht="12.75" customHeight="1">
      <c r="A97" s="39"/>
      <c r="B97" s="39"/>
      <c r="D97" s="10"/>
      <c r="F97" s="11"/>
      <c r="G97" s="11"/>
    </row>
    <row r="98" ht="12.75" customHeight="1">
      <c r="A98" s="39"/>
      <c r="B98" s="39"/>
      <c r="D98" s="10"/>
      <c r="F98" s="11"/>
      <c r="G98" s="11"/>
    </row>
    <row r="99" ht="12.75" customHeight="1">
      <c r="A99" s="39"/>
      <c r="B99" s="39"/>
      <c r="D99" s="10"/>
      <c r="F99" s="11"/>
      <c r="G99" s="11"/>
    </row>
    <row r="100" ht="12.75" customHeight="1">
      <c r="A100" s="39"/>
      <c r="B100" s="39"/>
      <c r="D100" s="10"/>
      <c r="F100" s="11"/>
      <c r="G100" s="11"/>
    </row>
    <row r="101" ht="12.75" customHeight="1">
      <c r="A101" s="39"/>
      <c r="B101" s="39"/>
      <c r="D101" s="10"/>
      <c r="F101" s="11"/>
      <c r="G101" s="11"/>
    </row>
    <row r="102" ht="12.75" customHeight="1">
      <c r="A102" s="39"/>
      <c r="B102" s="39"/>
      <c r="D102" s="10"/>
      <c r="F102" s="11"/>
      <c r="G102" s="11"/>
    </row>
    <row r="103" ht="12.75" customHeight="1">
      <c r="A103" s="39"/>
      <c r="B103" s="39"/>
      <c r="D103" s="10"/>
      <c r="F103" s="11"/>
      <c r="G103" s="11"/>
    </row>
    <row r="104" ht="12.75" customHeight="1">
      <c r="A104" s="39"/>
      <c r="B104" s="39"/>
      <c r="D104" s="10"/>
      <c r="F104" s="11"/>
      <c r="G104" s="11"/>
    </row>
    <row r="105" ht="12.75" customHeight="1">
      <c r="A105" s="39"/>
      <c r="B105" s="39"/>
      <c r="D105" s="10"/>
      <c r="F105" s="11"/>
      <c r="G105" s="11"/>
    </row>
    <row r="106" ht="12.75" customHeight="1">
      <c r="A106" s="39"/>
      <c r="B106" s="39"/>
      <c r="D106" s="10"/>
      <c r="F106" s="11"/>
      <c r="G106" s="11"/>
    </row>
    <row r="107" ht="12.75" customHeight="1">
      <c r="A107" s="39"/>
      <c r="B107" s="39"/>
      <c r="D107" s="10"/>
      <c r="F107" s="11"/>
      <c r="G107" s="11"/>
    </row>
    <row r="108" ht="12.75" customHeight="1">
      <c r="A108" s="39"/>
      <c r="B108" s="39"/>
      <c r="D108" s="10"/>
      <c r="F108" s="11"/>
      <c r="G108" s="11"/>
    </row>
    <row r="109" ht="12.75" customHeight="1">
      <c r="A109" s="39"/>
      <c r="B109" s="39"/>
      <c r="D109" s="10"/>
      <c r="F109" s="11"/>
      <c r="G109" s="11"/>
    </row>
    <row r="110" ht="12.75" customHeight="1">
      <c r="A110" s="39"/>
      <c r="B110" s="39"/>
      <c r="D110" s="10"/>
      <c r="F110" s="11"/>
      <c r="G110" s="11"/>
    </row>
    <row r="111" ht="12.75" customHeight="1">
      <c r="A111" s="39"/>
      <c r="B111" s="39"/>
      <c r="D111" s="10"/>
      <c r="F111" s="11"/>
      <c r="G111" s="11"/>
    </row>
    <row r="112" ht="12.75" customHeight="1">
      <c r="A112" s="39"/>
      <c r="B112" s="39"/>
      <c r="D112" s="10"/>
      <c r="F112" s="11"/>
      <c r="G112" s="11"/>
    </row>
    <row r="113" ht="12.75" customHeight="1">
      <c r="A113" s="39"/>
      <c r="B113" s="39"/>
      <c r="D113" s="10"/>
      <c r="F113" s="11"/>
      <c r="G113" s="11"/>
    </row>
    <row r="114" ht="12.75" customHeight="1">
      <c r="A114" s="39"/>
      <c r="B114" s="39"/>
      <c r="D114" s="10"/>
      <c r="F114" s="11"/>
      <c r="G114" s="11"/>
    </row>
    <row r="115" ht="12.75" customHeight="1">
      <c r="A115" s="39"/>
      <c r="B115" s="39"/>
      <c r="D115" s="10"/>
      <c r="F115" s="11"/>
      <c r="G115" s="11"/>
    </row>
    <row r="116" ht="12.75" customHeight="1">
      <c r="A116" s="39"/>
      <c r="B116" s="39"/>
      <c r="D116" s="10"/>
      <c r="F116" s="11"/>
      <c r="G116" s="11"/>
    </row>
    <row r="117" ht="12.75" customHeight="1">
      <c r="A117" s="39"/>
      <c r="B117" s="39"/>
      <c r="D117" s="10"/>
      <c r="F117" s="11"/>
      <c r="G117" s="11"/>
    </row>
    <row r="118" ht="12.75" customHeight="1">
      <c r="A118" s="39"/>
      <c r="B118" s="39"/>
      <c r="D118" s="10"/>
      <c r="F118" s="11"/>
      <c r="G118" s="11"/>
    </row>
    <row r="119" ht="12.75" customHeight="1">
      <c r="A119" s="39"/>
      <c r="B119" s="39"/>
      <c r="D119" s="10"/>
      <c r="F119" s="11"/>
      <c r="G119" s="11"/>
    </row>
    <row r="120" ht="12.75" customHeight="1">
      <c r="A120" s="39"/>
      <c r="B120" s="39"/>
      <c r="D120" s="10"/>
      <c r="F120" s="11"/>
      <c r="G120" s="11"/>
    </row>
    <row r="121" ht="12.75" customHeight="1">
      <c r="A121" s="39"/>
      <c r="B121" s="39"/>
      <c r="D121" s="10"/>
      <c r="F121" s="11"/>
      <c r="G121" s="11"/>
    </row>
    <row r="122" ht="12.75" customHeight="1">
      <c r="A122" s="39"/>
      <c r="B122" s="39"/>
      <c r="D122" s="10"/>
      <c r="F122" s="11"/>
      <c r="G122" s="11"/>
    </row>
    <row r="123" ht="12.75" customHeight="1">
      <c r="A123" s="39"/>
      <c r="B123" s="39"/>
      <c r="D123" s="10"/>
      <c r="F123" s="11"/>
      <c r="G123" s="11"/>
    </row>
    <row r="124" ht="12.75" customHeight="1">
      <c r="A124" s="39"/>
      <c r="B124" s="39"/>
      <c r="D124" s="10"/>
      <c r="F124" s="11"/>
      <c r="G124" s="11"/>
    </row>
    <row r="125" ht="12.75" customHeight="1">
      <c r="A125" s="39"/>
      <c r="B125" s="39"/>
      <c r="D125" s="10"/>
      <c r="F125" s="11"/>
      <c r="G125" s="11"/>
    </row>
    <row r="126" ht="12.75" customHeight="1">
      <c r="A126" s="39"/>
      <c r="B126" s="39"/>
      <c r="D126" s="10"/>
      <c r="F126" s="11"/>
      <c r="G126" s="11"/>
    </row>
    <row r="127" ht="12.75" customHeight="1">
      <c r="A127" s="39"/>
      <c r="B127" s="39"/>
      <c r="D127" s="10"/>
      <c r="F127" s="11"/>
      <c r="G127" s="11"/>
    </row>
    <row r="128" ht="12.75" customHeight="1">
      <c r="A128" s="39"/>
      <c r="B128" s="39"/>
      <c r="D128" s="10"/>
      <c r="F128" s="11"/>
      <c r="G128" s="11"/>
    </row>
    <row r="129" ht="12.75" customHeight="1">
      <c r="A129" s="39"/>
      <c r="B129" s="39"/>
      <c r="D129" s="10"/>
      <c r="F129" s="11"/>
      <c r="G129" s="11"/>
    </row>
    <row r="130" ht="12.75" customHeight="1">
      <c r="A130" s="39"/>
      <c r="B130" s="39"/>
      <c r="D130" s="10"/>
      <c r="F130" s="11"/>
      <c r="G130" s="11"/>
    </row>
    <row r="131" ht="12.75" customHeight="1">
      <c r="A131" s="39"/>
      <c r="B131" s="39"/>
      <c r="D131" s="10"/>
      <c r="F131" s="11"/>
      <c r="G131" s="11"/>
    </row>
    <row r="132" ht="12.75" customHeight="1">
      <c r="A132" s="39"/>
      <c r="B132" s="39"/>
      <c r="D132" s="10"/>
      <c r="F132" s="11"/>
      <c r="G132" s="11"/>
    </row>
    <row r="133" ht="12.75" customHeight="1">
      <c r="A133" s="39"/>
      <c r="B133" s="39"/>
      <c r="D133" s="10"/>
      <c r="F133" s="11"/>
      <c r="G133" s="11"/>
    </row>
    <row r="134" ht="12.75" customHeight="1">
      <c r="A134" s="39"/>
      <c r="B134" s="39"/>
      <c r="D134" s="10"/>
      <c r="F134" s="11"/>
      <c r="G134" s="11"/>
    </row>
    <row r="135" ht="12.75" customHeight="1">
      <c r="A135" s="39"/>
      <c r="B135" s="39"/>
      <c r="D135" s="10"/>
      <c r="F135" s="11"/>
      <c r="G135" s="11"/>
    </row>
    <row r="136" ht="12.75" customHeight="1">
      <c r="A136" s="39"/>
      <c r="B136" s="39"/>
      <c r="D136" s="10"/>
      <c r="F136" s="11"/>
      <c r="G136" s="11"/>
    </row>
    <row r="137" ht="12.75" customHeight="1">
      <c r="A137" s="39"/>
      <c r="B137" s="39"/>
      <c r="D137" s="10"/>
      <c r="F137" s="11"/>
      <c r="G137" s="11"/>
    </row>
    <row r="138" ht="12.75" customHeight="1">
      <c r="A138" s="39"/>
      <c r="B138" s="39"/>
      <c r="D138" s="10"/>
      <c r="F138" s="11"/>
      <c r="G138" s="11"/>
    </row>
    <row r="139" ht="12.75" customHeight="1">
      <c r="A139" s="39"/>
      <c r="B139" s="39"/>
      <c r="D139" s="10"/>
      <c r="F139" s="11"/>
      <c r="G139" s="11"/>
    </row>
    <row r="140" ht="12.75" customHeight="1">
      <c r="A140" s="39"/>
      <c r="B140" s="39"/>
      <c r="D140" s="10"/>
      <c r="F140" s="11"/>
      <c r="G140" s="11"/>
    </row>
    <row r="141" ht="12.75" customHeight="1">
      <c r="A141" s="39"/>
      <c r="B141" s="39"/>
      <c r="D141" s="10"/>
      <c r="F141" s="11"/>
      <c r="G141" s="11"/>
    </row>
    <row r="142" ht="12.75" customHeight="1">
      <c r="A142" s="39"/>
      <c r="B142" s="39"/>
      <c r="D142" s="10"/>
      <c r="F142" s="11"/>
      <c r="G142" s="11"/>
    </row>
    <row r="143" ht="12.75" customHeight="1">
      <c r="A143" s="39"/>
      <c r="B143" s="39"/>
      <c r="D143" s="10"/>
      <c r="F143" s="11"/>
      <c r="G143" s="11"/>
    </row>
    <row r="144" ht="12.75" customHeight="1">
      <c r="A144" s="39"/>
      <c r="B144" s="39"/>
      <c r="D144" s="10"/>
      <c r="F144" s="11"/>
      <c r="G144" s="11"/>
    </row>
    <row r="145" ht="12.75" customHeight="1">
      <c r="A145" s="39"/>
      <c r="B145" s="39"/>
      <c r="D145" s="10"/>
      <c r="F145" s="11"/>
      <c r="G145" s="11"/>
    </row>
    <row r="146" ht="12.75" customHeight="1">
      <c r="A146" s="39"/>
      <c r="B146" s="39"/>
      <c r="D146" s="10"/>
      <c r="F146" s="11"/>
      <c r="G146" s="11"/>
    </row>
    <row r="147" ht="12.75" customHeight="1">
      <c r="A147" s="39"/>
      <c r="B147" s="39"/>
      <c r="D147" s="10"/>
      <c r="F147" s="11"/>
      <c r="G147" s="11"/>
    </row>
    <row r="148" ht="12.75" customHeight="1">
      <c r="A148" s="39"/>
      <c r="B148" s="39"/>
      <c r="D148" s="10"/>
      <c r="F148" s="11"/>
      <c r="G148" s="11"/>
    </row>
    <row r="149" ht="12.75" customHeight="1">
      <c r="A149" s="39"/>
      <c r="B149" s="39"/>
      <c r="D149" s="10"/>
      <c r="F149" s="11"/>
      <c r="G149" s="11"/>
    </row>
    <row r="150" ht="12.75" customHeight="1">
      <c r="A150" s="39"/>
      <c r="B150" s="39"/>
      <c r="D150" s="10"/>
      <c r="F150" s="11"/>
      <c r="G150" s="11"/>
    </row>
    <row r="151" ht="12.75" customHeight="1">
      <c r="A151" s="39"/>
      <c r="B151" s="39"/>
      <c r="D151" s="10"/>
      <c r="F151" s="11"/>
      <c r="G151" s="11"/>
    </row>
    <row r="152" ht="12.75" customHeight="1">
      <c r="A152" s="39"/>
      <c r="B152" s="39"/>
      <c r="D152" s="10"/>
      <c r="F152" s="11"/>
      <c r="G152" s="11"/>
    </row>
    <row r="153" ht="12.75" customHeight="1">
      <c r="A153" s="39"/>
      <c r="B153" s="39"/>
      <c r="D153" s="10"/>
      <c r="F153" s="11"/>
      <c r="G153" s="11"/>
    </row>
    <row r="154" ht="12.75" customHeight="1">
      <c r="A154" s="39"/>
      <c r="B154" s="39"/>
      <c r="D154" s="10"/>
      <c r="F154" s="11"/>
      <c r="G154" s="11"/>
    </row>
    <row r="155" ht="12.75" customHeight="1">
      <c r="A155" s="39"/>
      <c r="B155" s="39"/>
      <c r="D155" s="10"/>
      <c r="F155" s="11"/>
      <c r="G155" s="11"/>
    </row>
    <row r="156" ht="12.75" customHeight="1">
      <c r="A156" s="39"/>
      <c r="B156" s="39"/>
      <c r="D156" s="10"/>
      <c r="F156" s="11"/>
      <c r="G156" s="11"/>
    </row>
    <row r="157" ht="12.75" customHeight="1">
      <c r="A157" s="39"/>
      <c r="B157" s="39"/>
      <c r="D157" s="10"/>
      <c r="F157" s="11"/>
      <c r="G157" s="11"/>
    </row>
    <row r="158" ht="12.75" customHeight="1">
      <c r="A158" s="39"/>
      <c r="B158" s="39"/>
      <c r="D158" s="10"/>
      <c r="F158" s="11"/>
      <c r="G158" s="11"/>
    </row>
    <row r="159" ht="12.75" customHeight="1">
      <c r="A159" s="39"/>
      <c r="B159" s="39"/>
      <c r="D159" s="10"/>
      <c r="F159" s="11"/>
      <c r="G159" s="11"/>
    </row>
    <row r="160" ht="12.75" customHeight="1">
      <c r="A160" s="39"/>
      <c r="B160" s="39"/>
      <c r="D160" s="10"/>
      <c r="F160" s="11"/>
      <c r="G160" s="11"/>
    </row>
    <row r="161" ht="12.75" customHeight="1">
      <c r="A161" s="39"/>
      <c r="B161" s="39"/>
      <c r="D161" s="10"/>
      <c r="F161" s="11"/>
      <c r="G161" s="11"/>
    </row>
    <row r="162" ht="12.75" customHeight="1">
      <c r="A162" s="39"/>
      <c r="B162" s="39"/>
      <c r="D162" s="10"/>
      <c r="F162" s="11"/>
      <c r="G162" s="11"/>
    </row>
    <row r="163" ht="12.75" customHeight="1">
      <c r="A163" s="39"/>
      <c r="B163" s="39"/>
      <c r="D163" s="10"/>
      <c r="F163" s="11"/>
      <c r="G163" s="11"/>
    </row>
    <row r="164" ht="12.75" customHeight="1">
      <c r="A164" s="39"/>
      <c r="B164" s="39"/>
      <c r="D164" s="10"/>
      <c r="F164" s="11"/>
      <c r="G164" s="11"/>
    </row>
    <row r="165" ht="12.75" customHeight="1">
      <c r="A165" s="39"/>
      <c r="B165" s="39"/>
      <c r="D165" s="10"/>
      <c r="F165" s="11"/>
      <c r="G165" s="11"/>
    </row>
    <row r="166" ht="12.75" customHeight="1">
      <c r="A166" s="39"/>
      <c r="B166" s="39"/>
      <c r="D166" s="10"/>
      <c r="F166" s="11"/>
      <c r="G166" s="11"/>
    </row>
    <row r="167" ht="12.75" customHeight="1">
      <c r="A167" s="39"/>
      <c r="B167" s="39"/>
      <c r="D167" s="10"/>
      <c r="F167" s="11"/>
      <c r="G167" s="11"/>
    </row>
    <row r="168" ht="12.75" customHeight="1">
      <c r="A168" s="39"/>
      <c r="B168" s="39"/>
      <c r="D168" s="10"/>
      <c r="F168" s="11"/>
      <c r="G168" s="11"/>
    </row>
    <row r="169" ht="12.75" customHeight="1">
      <c r="A169" s="39"/>
      <c r="B169" s="39"/>
      <c r="D169" s="10"/>
      <c r="F169" s="11"/>
      <c r="G169" s="11"/>
    </row>
    <row r="170" ht="12.75" customHeight="1">
      <c r="A170" s="39"/>
      <c r="B170" s="39"/>
      <c r="D170" s="10"/>
      <c r="F170" s="11"/>
      <c r="G170" s="11"/>
    </row>
    <row r="171" ht="12.75" customHeight="1">
      <c r="A171" s="39"/>
      <c r="B171" s="39"/>
      <c r="D171" s="10"/>
      <c r="F171" s="11"/>
      <c r="G171" s="11"/>
    </row>
    <row r="172" ht="12.75" customHeight="1">
      <c r="A172" s="39"/>
      <c r="B172" s="39"/>
      <c r="D172" s="10"/>
      <c r="F172" s="11"/>
      <c r="G172" s="11"/>
    </row>
    <row r="173" ht="12.75" customHeight="1">
      <c r="A173" s="39"/>
      <c r="B173" s="39"/>
      <c r="D173" s="10"/>
      <c r="F173" s="11"/>
      <c r="G173" s="11"/>
    </row>
    <row r="174" ht="12.75" customHeight="1">
      <c r="A174" s="39"/>
      <c r="B174" s="39"/>
      <c r="D174" s="10"/>
      <c r="F174" s="11"/>
      <c r="G174" s="11"/>
    </row>
    <row r="175" ht="12.75" customHeight="1">
      <c r="A175" s="39"/>
      <c r="B175" s="39"/>
      <c r="D175" s="10"/>
      <c r="F175" s="11"/>
      <c r="G175" s="11"/>
    </row>
    <row r="176" ht="12.75" customHeight="1">
      <c r="A176" s="39"/>
      <c r="B176" s="39"/>
      <c r="D176" s="10"/>
      <c r="F176" s="11"/>
      <c r="G176" s="11"/>
    </row>
    <row r="177" ht="12.75" customHeight="1">
      <c r="A177" s="39"/>
      <c r="B177" s="39"/>
      <c r="D177" s="10"/>
      <c r="F177" s="11"/>
      <c r="G177" s="11"/>
    </row>
    <row r="178" ht="12.75" customHeight="1">
      <c r="A178" s="39"/>
      <c r="B178" s="39"/>
      <c r="D178" s="10"/>
      <c r="F178" s="11"/>
      <c r="G178" s="11"/>
    </row>
    <row r="179" ht="12.75" customHeight="1">
      <c r="A179" s="39"/>
      <c r="B179" s="39"/>
      <c r="D179" s="10"/>
      <c r="F179" s="11"/>
      <c r="G179" s="11"/>
    </row>
    <row r="180" ht="12.75" customHeight="1">
      <c r="A180" s="39"/>
      <c r="B180" s="39"/>
      <c r="D180" s="10"/>
      <c r="F180" s="11"/>
      <c r="G180" s="11"/>
    </row>
    <row r="181" ht="12.75" customHeight="1">
      <c r="A181" s="39"/>
      <c r="B181" s="39"/>
      <c r="D181" s="10"/>
      <c r="F181" s="11"/>
      <c r="G181" s="11"/>
    </row>
    <row r="182" ht="12.75" customHeight="1">
      <c r="A182" s="39"/>
      <c r="B182" s="39"/>
      <c r="D182" s="10"/>
      <c r="F182" s="11"/>
      <c r="G182" s="11"/>
    </row>
    <row r="183" ht="12.75" customHeight="1">
      <c r="A183" s="39"/>
      <c r="B183" s="39"/>
      <c r="D183" s="10"/>
      <c r="F183" s="11"/>
      <c r="G183" s="11"/>
    </row>
    <row r="184" ht="12.75" customHeight="1">
      <c r="A184" s="39"/>
      <c r="B184" s="39"/>
      <c r="D184" s="10"/>
      <c r="F184" s="11"/>
      <c r="G184" s="11"/>
    </row>
    <row r="185" ht="12.75" customHeight="1">
      <c r="A185" s="39"/>
      <c r="B185" s="39"/>
      <c r="D185" s="10"/>
      <c r="F185" s="11"/>
      <c r="G185" s="11"/>
    </row>
    <row r="186" ht="12.75" customHeight="1">
      <c r="A186" s="39"/>
      <c r="B186" s="39"/>
      <c r="D186" s="10"/>
      <c r="F186" s="11"/>
      <c r="G186" s="11"/>
    </row>
    <row r="187" ht="12.75" customHeight="1">
      <c r="A187" s="39"/>
      <c r="B187" s="39"/>
      <c r="D187" s="10"/>
      <c r="F187" s="11"/>
      <c r="G187" s="11"/>
    </row>
    <row r="188" ht="12.75" customHeight="1">
      <c r="A188" s="39"/>
      <c r="B188" s="39"/>
      <c r="D188" s="10"/>
      <c r="F188" s="11"/>
      <c r="G188" s="11"/>
    </row>
    <row r="189" ht="12.75" customHeight="1">
      <c r="A189" s="39"/>
      <c r="B189" s="39"/>
      <c r="D189" s="10"/>
      <c r="F189" s="11"/>
      <c r="G189" s="11"/>
    </row>
    <row r="190" ht="12.75" customHeight="1">
      <c r="A190" s="39"/>
      <c r="B190" s="39"/>
      <c r="D190" s="10"/>
      <c r="F190" s="11"/>
      <c r="G190" s="11"/>
    </row>
    <row r="191" ht="12.75" customHeight="1">
      <c r="A191" s="39"/>
      <c r="B191" s="39"/>
      <c r="D191" s="10"/>
      <c r="F191" s="11"/>
      <c r="G191" s="11"/>
    </row>
    <row r="192" ht="12.75" customHeight="1">
      <c r="A192" s="39"/>
      <c r="B192" s="39"/>
      <c r="D192" s="10"/>
      <c r="F192" s="11"/>
      <c r="G192" s="11"/>
    </row>
    <row r="193" ht="12.75" customHeight="1">
      <c r="A193" s="39"/>
      <c r="B193" s="39"/>
      <c r="D193" s="10"/>
      <c r="F193" s="11"/>
      <c r="G193" s="11"/>
    </row>
    <row r="194" ht="12.75" customHeight="1">
      <c r="A194" s="39"/>
      <c r="B194" s="39"/>
      <c r="D194" s="10"/>
      <c r="F194" s="11"/>
      <c r="G194" s="11"/>
    </row>
    <row r="195" ht="12.75" customHeight="1">
      <c r="A195" s="39"/>
      <c r="B195" s="39"/>
      <c r="D195" s="10"/>
      <c r="F195" s="11"/>
      <c r="G195" s="11"/>
    </row>
    <row r="196" ht="12.75" customHeight="1">
      <c r="A196" s="39"/>
      <c r="B196" s="39"/>
      <c r="D196" s="10"/>
      <c r="F196" s="11"/>
      <c r="G196" s="11"/>
    </row>
    <row r="197" ht="12.75" customHeight="1">
      <c r="A197" s="39"/>
      <c r="B197" s="39"/>
      <c r="D197" s="10"/>
      <c r="F197" s="11"/>
      <c r="G197" s="11"/>
    </row>
    <row r="198" ht="12.75" customHeight="1">
      <c r="A198" s="39"/>
      <c r="B198" s="39"/>
      <c r="D198" s="10"/>
      <c r="F198" s="11"/>
      <c r="G198" s="11"/>
    </row>
    <row r="199" ht="12.75" customHeight="1">
      <c r="A199" s="39"/>
      <c r="B199" s="39"/>
      <c r="D199" s="10"/>
      <c r="F199" s="11"/>
      <c r="G199" s="11"/>
    </row>
    <row r="200" ht="12.75" customHeight="1">
      <c r="A200" s="39"/>
      <c r="B200" s="39"/>
      <c r="D200" s="10"/>
      <c r="F200" s="11"/>
      <c r="G200" s="11"/>
    </row>
    <row r="201" ht="12.75" customHeight="1">
      <c r="A201" s="39"/>
      <c r="B201" s="39"/>
      <c r="D201" s="10"/>
      <c r="F201" s="11"/>
      <c r="G201" s="11"/>
    </row>
    <row r="202" ht="12.75" customHeight="1">
      <c r="A202" s="39"/>
      <c r="B202" s="39"/>
      <c r="D202" s="10"/>
      <c r="F202" s="11"/>
      <c r="G202" s="11"/>
    </row>
    <row r="203" ht="12.75" customHeight="1">
      <c r="A203" s="39"/>
      <c r="B203" s="39"/>
      <c r="D203" s="10"/>
      <c r="F203" s="11"/>
      <c r="G203" s="11"/>
    </row>
    <row r="204" ht="12.75" customHeight="1">
      <c r="A204" s="39"/>
      <c r="B204" s="39"/>
      <c r="D204" s="10"/>
      <c r="F204" s="11"/>
      <c r="G204" s="11"/>
    </row>
    <row r="205" ht="12.75" customHeight="1">
      <c r="A205" s="39"/>
      <c r="B205" s="39"/>
      <c r="D205" s="10"/>
      <c r="F205" s="11"/>
      <c r="G205" s="11"/>
    </row>
    <row r="206" ht="12.75" customHeight="1">
      <c r="A206" s="39"/>
      <c r="B206" s="39"/>
      <c r="D206" s="10"/>
      <c r="F206" s="11"/>
      <c r="G206" s="11"/>
    </row>
    <row r="207" ht="12.75" customHeight="1">
      <c r="A207" s="39"/>
      <c r="B207" s="39"/>
      <c r="D207" s="10"/>
      <c r="F207" s="11"/>
      <c r="G207" s="11"/>
    </row>
    <row r="208" ht="12.75" customHeight="1">
      <c r="A208" s="39"/>
      <c r="B208" s="39"/>
      <c r="D208" s="10"/>
      <c r="F208" s="11"/>
      <c r="G208" s="11"/>
    </row>
    <row r="209" ht="12.75" customHeight="1">
      <c r="A209" s="39"/>
      <c r="B209" s="39"/>
      <c r="D209" s="10"/>
      <c r="F209" s="11"/>
      <c r="G209" s="11"/>
    </row>
    <row r="210" ht="12.75" customHeight="1">
      <c r="A210" s="39"/>
      <c r="B210" s="39"/>
      <c r="D210" s="10"/>
      <c r="F210" s="11"/>
      <c r="G210" s="11"/>
    </row>
    <row r="211" ht="12.75" customHeight="1">
      <c r="A211" s="39"/>
      <c r="B211" s="39"/>
      <c r="D211" s="10"/>
      <c r="F211" s="11"/>
      <c r="G211" s="11"/>
    </row>
    <row r="212" ht="12.75" customHeight="1">
      <c r="A212" s="39"/>
      <c r="B212" s="39"/>
      <c r="D212" s="10"/>
      <c r="F212" s="11"/>
      <c r="G212" s="11"/>
    </row>
    <row r="213" ht="12.75" customHeight="1">
      <c r="A213" s="39"/>
      <c r="B213" s="39"/>
      <c r="D213" s="10"/>
      <c r="F213" s="11"/>
      <c r="G213" s="11"/>
    </row>
    <row r="214" ht="12.75" customHeight="1">
      <c r="A214" s="39"/>
      <c r="B214" s="39"/>
      <c r="D214" s="10"/>
      <c r="F214" s="11"/>
      <c r="G214" s="11"/>
    </row>
    <row r="215" ht="12.75" customHeight="1">
      <c r="A215" s="39"/>
      <c r="B215" s="39"/>
      <c r="D215" s="10"/>
      <c r="F215" s="11"/>
      <c r="G215" s="11"/>
    </row>
    <row r="216" ht="12.75" customHeight="1">
      <c r="A216" s="39"/>
      <c r="B216" s="39"/>
      <c r="D216" s="10"/>
      <c r="F216" s="11"/>
      <c r="G216" s="11"/>
    </row>
    <row r="217" ht="12.75" customHeight="1">
      <c r="A217" s="39"/>
      <c r="B217" s="39"/>
      <c r="D217" s="10"/>
      <c r="F217" s="11"/>
      <c r="G217" s="11"/>
    </row>
    <row r="218" ht="12.75" customHeight="1">
      <c r="A218" s="39"/>
      <c r="B218" s="39"/>
      <c r="D218" s="10"/>
      <c r="F218" s="11"/>
      <c r="G218" s="11"/>
    </row>
    <row r="219" ht="12.75" customHeight="1">
      <c r="A219" s="39"/>
      <c r="B219" s="39"/>
      <c r="D219" s="10"/>
      <c r="F219" s="11"/>
      <c r="G219" s="11"/>
    </row>
    <row r="220" ht="12.75" customHeight="1">
      <c r="A220" s="39"/>
      <c r="B220" s="39"/>
      <c r="D220" s="10"/>
      <c r="F220" s="11"/>
      <c r="G220" s="11"/>
    </row>
    <row r="221" ht="12.75" customHeight="1">
      <c r="A221" s="39"/>
      <c r="B221" s="39"/>
      <c r="D221" s="10"/>
      <c r="F221" s="11"/>
      <c r="G221" s="11"/>
    </row>
    <row r="222" ht="12.75" customHeight="1">
      <c r="A222" s="39"/>
      <c r="B222" s="39"/>
      <c r="D222" s="10"/>
      <c r="F222" s="11"/>
      <c r="G222" s="11"/>
    </row>
    <row r="223" ht="12.75" customHeight="1">
      <c r="A223" s="39"/>
      <c r="B223" s="39"/>
      <c r="D223" s="10"/>
      <c r="F223" s="11"/>
      <c r="G223" s="11"/>
    </row>
    <row r="224" ht="12.75" customHeight="1">
      <c r="A224" s="39"/>
      <c r="B224" s="39"/>
      <c r="D224" s="10"/>
      <c r="F224" s="11"/>
      <c r="G224" s="11"/>
    </row>
    <row r="225" ht="12.75" customHeight="1">
      <c r="A225" s="39"/>
      <c r="B225" s="39"/>
      <c r="D225" s="10"/>
      <c r="F225" s="11"/>
      <c r="G225" s="11"/>
    </row>
    <row r="226" ht="12.75" customHeight="1">
      <c r="A226" s="39"/>
      <c r="B226" s="39"/>
      <c r="D226" s="10"/>
      <c r="F226" s="11"/>
      <c r="G226" s="11"/>
    </row>
    <row r="227" ht="12.75" customHeight="1">
      <c r="A227" s="39"/>
      <c r="B227" s="39"/>
      <c r="D227" s="10"/>
      <c r="F227" s="11"/>
      <c r="G227" s="11"/>
    </row>
    <row r="228" ht="12.75" customHeight="1">
      <c r="A228" s="39"/>
      <c r="B228" s="39"/>
      <c r="D228" s="10"/>
      <c r="F228" s="11"/>
      <c r="G228" s="11"/>
    </row>
    <row r="229" ht="12.75" customHeight="1">
      <c r="A229" s="39"/>
      <c r="B229" s="39"/>
      <c r="D229" s="10"/>
      <c r="F229" s="11"/>
      <c r="G229" s="11"/>
    </row>
    <row r="230" ht="12.75" customHeight="1">
      <c r="A230" s="39"/>
      <c r="B230" s="39"/>
      <c r="D230" s="10"/>
      <c r="F230" s="11"/>
      <c r="G230" s="11"/>
    </row>
    <row r="231" ht="12.75" customHeight="1">
      <c r="A231" s="39"/>
      <c r="B231" s="39"/>
      <c r="D231" s="10"/>
      <c r="F231" s="11"/>
      <c r="G231" s="11"/>
    </row>
    <row r="232" ht="12.75" customHeight="1">
      <c r="A232" s="39"/>
      <c r="B232" s="39"/>
      <c r="D232" s="10"/>
      <c r="F232" s="11"/>
      <c r="G232" s="11"/>
    </row>
    <row r="233" ht="12.75" customHeight="1">
      <c r="A233" s="39"/>
      <c r="B233" s="39"/>
      <c r="D233" s="10"/>
      <c r="F233" s="11"/>
      <c r="G233" s="11"/>
    </row>
    <row r="234" ht="12.75" customHeight="1">
      <c r="A234" s="39"/>
      <c r="B234" s="39"/>
      <c r="D234" s="10"/>
      <c r="F234" s="11"/>
      <c r="G234" s="11"/>
    </row>
    <row r="235" ht="12.75" customHeight="1">
      <c r="A235" s="39"/>
      <c r="B235" s="39"/>
      <c r="D235" s="10"/>
      <c r="F235" s="11"/>
      <c r="G235" s="11"/>
    </row>
    <row r="236" ht="12.75" customHeight="1">
      <c r="A236" s="39"/>
      <c r="B236" s="39"/>
      <c r="D236" s="10"/>
      <c r="F236" s="11"/>
      <c r="G236" s="11"/>
    </row>
    <row r="237" ht="12.75" customHeight="1">
      <c r="A237" s="39"/>
      <c r="B237" s="39"/>
      <c r="D237" s="10"/>
      <c r="F237" s="11"/>
      <c r="G237" s="11"/>
    </row>
    <row r="238" ht="12.75" customHeight="1">
      <c r="A238" s="39"/>
      <c r="B238" s="39"/>
      <c r="D238" s="10"/>
      <c r="F238" s="11"/>
      <c r="G238" s="11"/>
    </row>
    <row r="239" ht="12.75" customHeight="1">
      <c r="A239" s="39"/>
      <c r="B239" s="39"/>
      <c r="D239" s="10"/>
      <c r="F239" s="11"/>
      <c r="G239" s="11"/>
    </row>
    <row r="240" ht="12.75" customHeight="1">
      <c r="A240" s="39"/>
      <c r="B240" s="39"/>
      <c r="D240" s="10"/>
      <c r="F240" s="11"/>
      <c r="G240" s="11"/>
    </row>
    <row r="241" ht="12.75" customHeight="1">
      <c r="A241" s="39"/>
      <c r="B241" s="39"/>
      <c r="D241" s="10"/>
      <c r="F241" s="11"/>
      <c r="G241" s="11"/>
    </row>
    <row r="242" ht="12.75" customHeight="1">
      <c r="A242" s="39"/>
      <c r="B242" s="39"/>
      <c r="D242" s="10"/>
      <c r="F242" s="11"/>
      <c r="G242" s="11"/>
    </row>
    <row r="243" ht="12.75" customHeight="1">
      <c r="A243" s="39"/>
      <c r="B243" s="39"/>
      <c r="D243" s="10"/>
      <c r="F243" s="11"/>
      <c r="G243" s="11"/>
    </row>
    <row r="244" ht="12.75" customHeight="1">
      <c r="A244" s="39"/>
      <c r="B244" s="39"/>
      <c r="D244" s="10"/>
      <c r="F244" s="11"/>
      <c r="G244" s="11"/>
    </row>
    <row r="245" ht="12.75" customHeight="1">
      <c r="A245" s="39"/>
      <c r="B245" s="39"/>
      <c r="D245" s="10"/>
      <c r="F245" s="11"/>
      <c r="G245" s="11"/>
    </row>
    <row r="246" ht="12.75" customHeight="1">
      <c r="A246" s="39"/>
      <c r="B246" s="39"/>
      <c r="D246" s="10"/>
      <c r="F246" s="11"/>
      <c r="G246" s="11"/>
    </row>
    <row r="247" ht="12.75" customHeight="1">
      <c r="A247" s="39"/>
      <c r="B247" s="39"/>
      <c r="D247" s="10"/>
      <c r="F247" s="11"/>
      <c r="G247" s="11"/>
    </row>
    <row r="248" ht="12.75" customHeight="1">
      <c r="A248" s="39"/>
      <c r="B248" s="39"/>
      <c r="D248" s="10"/>
      <c r="F248" s="11"/>
      <c r="G248" s="11"/>
    </row>
    <row r="249" ht="12.75" customHeight="1">
      <c r="A249" s="39"/>
      <c r="B249" s="39"/>
      <c r="D249" s="10"/>
      <c r="F249" s="11"/>
      <c r="G249" s="11"/>
    </row>
    <row r="250" ht="12.75" customHeight="1">
      <c r="A250" s="39"/>
      <c r="B250" s="39"/>
      <c r="D250" s="10"/>
      <c r="F250" s="11"/>
      <c r="G250" s="11"/>
    </row>
    <row r="251" ht="12.75" customHeight="1">
      <c r="A251" s="39"/>
      <c r="B251" s="39"/>
      <c r="D251" s="10"/>
      <c r="F251" s="11"/>
      <c r="G251" s="11"/>
    </row>
    <row r="252" ht="12.75" customHeight="1">
      <c r="A252" s="39"/>
      <c r="B252" s="39"/>
      <c r="F252" s="11"/>
      <c r="G252" s="11"/>
    </row>
    <row r="253" ht="12.75" customHeight="1">
      <c r="A253" s="39"/>
      <c r="B253" s="39"/>
      <c r="F253" s="11"/>
      <c r="G253" s="11"/>
    </row>
    <row r="254" ht="12.75" customHeight="1">
      <c r="A254" s="39"/>
      <c r="B254" s="39"/>
      <c r="F254" s="11"/>
      <c r="G254" s="11"/>
    </row>
    <row r="255" ht="12.75" customHeight="1">
      <c r="A255" s="39"/>
      <c r="B255" s="39"/>
      <c r="F255" s="11"/>
      <c r="G255" s="11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13"/>
    <col customWidth="1" min="2" max="2" width="23.13"/>
    <col customWidth="1" min="3" max="3" width="19.13"/>
    <col customWidth="1" min="4" max="4" width="21.38"/>
    <col customWidth="1" min="5" max="26" width="12.13"/>
  </cols>
  <sheetData>
    <row r="1" ht="12.75" customHeight="1">
      <c r="A1" s="43" t="s">
        <v>242</v>
      </c>
      <c r="B1" s="43" t="s">
        <v>243</v>
      </c>
      <c r="C1" s="43" t="s">
        <v>244</v>
      </c>
      <c r="D1" s="43" t="s">
        <v>245</v>
      </c>
      <c r="E1" s="46" t="s">
        <v>246</v>
      </c>
      <c r="F1" s="46" t="s">
        <v>247</v>
      </c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2.75" customHeight="1">
      <c r="A2" s="23" t="s">
        <v>248</v>
      </c>
      <c r="B2" s="23" t="s">
        <v>249</v>
      </c>
      <c r="D2" s="23" t="s">
        <v>250</v>
      </c>
      <c r="E2" s="23" t="s">
        <v>251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