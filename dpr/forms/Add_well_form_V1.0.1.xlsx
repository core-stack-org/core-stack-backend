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d6ylMQA7FZHY4kJUq9npQWbKHV/jYRtfeNpBKnZIcqM="/>
    </ext>
  </extLst>
</workbook>
</file>

<file path=xl/sharedStrings.xml><?xml version="1.0" encoding="utf-8"?>
<sst xmlns="http://schemas.openxmlformats.org/spreadsheetml/2006/main" count="648" uniqueCount="486">
  <si>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</si>
  <si>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</si>
  <si>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</si>
  <si>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</si>
  <si>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</si>
  <si>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</si>
  <si>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</si>
  <si>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hint::English(en)</t>
  </si>
  <si>
    <t>hint::Hindi(hi)</t>
  </si>
  <si>
    <t>hint::Gujarati(gu)</t>
  </si>
  <si>
    <t>hint::Kannada(kn)</t>
  </si>
  <si>
    <t>appearance</t>
  </si>
  <si>
    <t>required</t>
  </si>
  <si>
    <t>calculation</t>
  </si>
  <si>
    <t>read_only</t>
  </si>
  <si>
    <t>relevant</t>
  </si>
  <si>
    <t>constraint</t>
  </si>
  <si>
    <t>constraint_message::English(en)</t>
  </si>
  <si>
    <t>constraint_message::Hindi(hi)</t>
  </si>
  <si>
    <t>constraint_message::Gujarati(gu)</t>
  </si>
  <si>
    <t>constraint_message::Kannada(kn)</t>
  </si>
  <si>
    <t>constraint_message::Odia(or)</t>
  </si>
  <si>
    <t>parameters</t>
  </si>
  <si>
    <t>start</t>
  </si>
  <si>
    <t>end</t>
  </si>
  <si>
    <t>today</t>
  </si>
  <si>
    <t>deviceid</t>
  </si>
  <si>
    <t>note</t>
  </si>
  <si>
    <t>section_1</t>
  </si>
  <si>
    <t>&lt;span style="font-size: large; font-weight: bold; color:blue;"&gt;Well Information&lt;/span&gt;</t>
  </si>
  <si>
    <t>text</t>
  </si>
  <si>
    <t>well_id</t>
  </si>
  <si>
    <t>Well ID</t>
  </si>
  <si>
    <t xml:space="preserve">कुआँ का आईडी </t>
  </si>
  <si>
    <t>ಸರಿ ID</t>
  </si>
  <si>
    <t>once(uuid(10))</t>
  </si>
  <si>
    <t>yes</t>
  </si>
  <si>
    <t>beneficiary_settlement</t>
  </si>
  <si>
    <t>Name of Beneficiary's Settlement</t>
  </si>
  <si>
    <t>लाभार्थी के बस्ती का नाम</t>
  </si>
  <si>
    <t>ಫಲಾನುಭವಿಯ ಇತ್ಯರ್ಥದ ಹೆಸರು</t>
  </si>
  <si>
    <t>select_one well_type or_other</t>
  </si>
  <si>
    <t>select_one_well_type</t>
  </si>
  <si>
    <t>Well type</t>
  </si>
  <si>
    <t>कुआं का प्रकार</t>
  </si>
  <si>
    <t>ಕೊಳವೆ ಭಾವಿಯ ವಿಧ</t>
  </si>
  <si>
    <t>select_one Y_N</t>
  </si>
  <si>
    <t>select_one_y_n</t>
  </si>
  <si>
    <t>Is the bore well electrified?</t>
  </si>
  <si>
    <t>क्या बोरवेल बिजली से चलता है?</t>
  </si>
  <si>
    <t xml:space="preserve">ಕೊಳವೆ ಬಾವಿ ವಿದ್ಯುದೀಕರಣವಾಗಿದೆ </t>
  </si>
  <si>
    <t>${select_one_well_type}=’Borewell’</t>
  </si>
  <si>
    <t xml:space="preserve">select_one owns </t>
  </si>
  <si>
    <t>select_one_owns</t>
  </si>
  <si>
    <t>Who owns the well?</t>
  </si>
  <si>
    <t>कुआँ का मालिक कौन है ?</t>
  </si>
  <si>
    <t>ಬಾವಿ ಯಾರದ್ದು?</t>
  </si>
  <si>
    <t>Beneficiary_name</t>
  </si>
  <si>
    <t>Beneficiary's name</t>
  </si>
  <si>
    <t>लाभार्थी का नाम</t>
  </si>
  <si>
    <t>ಫಲಾನುಭವಿಯ ಹೆಸರು</t>
  </si>
  <si>
    <t>${select_one_owns}='Privately owned'</t>
  </si>
  <si>
    <t>ben_father</t>
  </si>
  <si>
    <t>Beneficiary's father's name</t>
  </si>
  <si>
    <t>लाभार्थी के पिता का नाम</t>
  </si>
  <si>
    <t>ಫಲಾನುಭವಿಯ ತಂದೆಯ ಹೆಸರು</t>
  </si>
  <si>
    <t xml:space="preserve">regex(., '[a-zA-Z]+') </t>
  </si>
  <si>
    <t>integer</t>
  </si>
  <si>
    <t>Beneficiary_contact_number</t>
  </si>
  <si>
    <t>Beneficiary's contact number</t>
  </si>
  <si>
    <t>लाभार्थी का फोन नंबर</t>
  </si>
  <si>
    <t>ಫಲಾನುಭವಿಯ ಸಂಪರ್ಕ ಸಂಖ್ಯೆ</t>
  </si>
  <si>
    <t>regex(., '^[6-9][0-9]{9}$')</t>
  </si>
  <si>
    <t>Enter a phone number (format: 9876543210)</t>
  </si>
  <si>
    <t>ಆ ಫೋನ್ ಸಂಖ್ಯೆಯನ್ನು ನಮೂದಿಸಿ (ಸ್ವರೂಪ: 9876543210)</t>
  </si>
  <si>
    <t>ଏକ ଫୋନ୍ ନମ୍ବର ଲେଖନ୍ତୁ (ଫର୍ମାଟ୍: 9876543210)</t>
  </si>
  <si>
    <t>select_multiple caste_use</t>
  </si>
  <si>
    <t>select_multiple_caste_use</t>
  </si>
  <si>
    <t>Which caste groups use the well in this settlement?</t>
  </si>
  <si>
    <t>इस बस्ती में कौन सी जाति समूह कुएं का उपयोग करते हैं?</t>
  </si>
  <si>
    <t>ಈ ಬಡಾವಣೆಯಲ್ಲಿ ಯಾವ ಜಾತಿ ಗುಂಪುಗಳು ಬಾವಿಯನ್ನು ಬಳಸುತ್ತವೆ?</t>
  </si>
  <si>
    <t>select_one scheme or_other</t>
  </si>
  <si>
    <t>select_one_scheme</t>
  </si>
  <si>
    <t xml:space="preserve">Under which scheme were funds made available for the construction of  this well in this settlement?
</t>
  </si>
  <si>
    <t>इस बस्ती में इस कुएँ के निर्माण के लिए किस योजना के तहत पैसे मिले थे ?</t>
  </si>
  <si>
    <t xml:space="preserve">ಈ ಬಡಾವಣೆಯಲ್ಲಿ ಈ ಬಾವಿಯ ನಿರ್ಮಾಣಕ್ಕೆ ಯಾವ ಯೋಜನೆಯಡಿ ಹಣ ಲಭ್ಯವಾಯಿತು?
</t>
  </si>
  <si>
    <t>select_one year</t>
  </si>
  <si>
    <t>select_one_year</t>
  </si>
  <si>
    <t xml:space="preserve">Until which month of the year is water available in the well, with July as the reference? 
</t>
  </si>
  <si>
    <t>वर्ष के किस महीने तक कुएं में पानी रहता है, जुलाई महीने को संदर्भ में ले?</t>
  </si>
  <si>
    <t xml:space="preserve">ಜುಲೈ ಅನ್ನು ಉಲ್ಲೇಖಿಸಿ, ವರ್ಷದ ಯಾವ ತಿಂಗಳವರೆಗೆ ಬಾವಿಯಲ್ಲಿ ನೀರು ಲಭ್ಯವಿದೆ? 
</t>
  </si>
  <si>
    <t>households_benefited</t>
  </si>
  <si>
    <t>Total number of households benefited from this well in this settlement?</t>
  </si>
  <si>
    <t>इस बस्ती में कुएं से लाभान्वित परिवारों की कुल संख्या कितनी है ?</t>
  </si>
  <si>
    <t>ಈ ವಸಾಹತಿನಲ್ಲಿ ಈ ಬಾವಿಯಿಂದ ಪ್ರಯೋಜನ ಪಡೆದ ಒಟ್ಟು ಕುಟುಂಬಗಳ ಸಂಖ್ಯೆ?</t>
  </si>
  <si>
    <t>.&gt;= 0 and .&lt;= 1000</t>
  </si>
  <si>
    <t>begin_group</t>
  </si>
  <si>
    <t xml:space="preserve">Well_usage
</t>
  </si>
  <si>
    <t xml:space="preserve">Well usage and condition
</t>
  </si>
  <si>
    <t>कुएं का उपयोग</t>
  </si>
  <si>
    <t xml:space="preserve">ಚೆನ್ನಾಗಿ ಬಳಕೆ ಮತ್ತು ಸ್ಥಿತಿ
</t>
  </si>
  <si>
    <t>select_one Functional_Non_functional</t>
  </si>
  <si>
    <t>select_one_Functional_Non_functional</t>
  </si>
  <si>
    <t>Is the well funtional or non-functional?</t>
  </si>
  <si>
    <t>कुआँ कैसा है ?</t>
  </si>
  <si>
    <t>ಬಾವಿ ಕ್ರಿಯಾತ್ಮಕವಾಗಿದೆಯೇ ಅಥವಾ ಕಾರ್ಯನಿರ್ವಹಿಸುತ್ತಿಲ್ಲವೇ?</t>
  </si>
  <si>
    <t>false()</t>
  </si>
  <si>
    <t>Is_water_from_well_used</t>
  </si>
  <si>
    <t>Is the water from the well used</t>
  </si>
  <si>
    <t>क्या कुएं का पानी इस्तेमाल किया जाता है?</t>
  </si>
  <si>
    <t>શું કૂવાના પાણીનો ઉપયોગ થાય છે?</t>
  </si>
  <si>
    <t>ಬಾವಿಯ ನೀರು ಬಳಸಲಾಗಿದೆಯೇ?</t>
  </si>
  <si>
    <t>select_one well_used or_other</t>
  </si>
  <si>
    <t>select_one_well_used</t>
  </si>
  <si>
    <t xml:space="preserve">Well used for 
</t>
  </si>
  <si>
    <t>कुएं का प्रयोग किस लिए किया जाता है ?</t>
  </si>
  <si>
    <t xml:space="preserve">ಚೆನ್ನಾಗಿ ಬಳಸಲಾಗಿದೆ 
</t>
  </si>
  <si>
    <t>likert</t>
  </si>
  <si>
    <r>
      <rPr>
        <rFont val="Arial"/>
        <color rgb="FF000000"/>
        <sz val="10.0"/>
      </rPr>
      <t>${</t>
    </r>
    <r>
      <rPr>
        <rFont val="Times New Roman"/>
        <color rgb="FF000000"/>
        <sz val="10.0"/>
      </rPr>
      <t>Is_water_from_well_used}=’Yes’</t>
    </r>
  </si>
  <si>
    <t>section_3</t>
  </si>
  <si>
    <t>&lt;span style="font-size: large; font-weight: bold; color:blue;"&gt;Propose Maintenance&lt;/span&gt;</t>
  </si>
  <si>
    <t>is_maintenance_required</t>
  </si>
  <si>
    <t>Does the well require maintenance?</t>
  </si>
  <si>
    <t>क्या कुएं के देखभाल की जरुरत है?</t>
  </si>
  <si>
    <t>ಭಾವಿಗೆ ನಿರ್ಹಣೆ ಬೇಕೆ?</t>
  </si>
  <si>
    <t>select_multiple repairs_well or_other</t>
  </si>
  <si>
    <t>repairs_type</t>
  </si>
  <si>
    <t>Type of repairs needed in the well</t>
  </si>
  <si>
    <t>कुंआ मरम्मत के प्रकार</t>
  </si>
  <si>
    <t>ಯಾವ ಪ್ರಕಾರದ ರೀಪೆರಿಯ ಅವಶ್ಯಕತೆ ಇದೆ?</t>
  </si>
  <si>
    <t>${is_maintenance_required}=’Yes’</t>
  </si>
  <si>
    <t>select_one Soil</t>
  </si>
  <si>
    <t>select_one_soil</t>
  </si>
  <si>
    <t>Type of Soil</t>
  </si>
  <si>
    <t>मिट्टी का प्रकार</t>
  </si>
  <si>
    <t>માટીનો પ્રકાર</t>
  </si>
  <si>
    <t>ಮಣ್ಣಿನ ವಿಧ</t>
  </si>
  <si>
    <t>selected(${repairs_type}, 'De_sitling')</t>
  </si>
  <si>
    <t>select_one silt</t>
  </si>
  <si>
    <t>Select_one_silt</t>
  </si>
  <si>
    <t>Amount of Silt</t>
  </si>
  <si>
    <t>गाद का ढेर</t>
  </si>
  <si>
    <t>કાંપનો પર્વત</t>
  </si>
  <si>
    <t>ಸಿಲ್ಟ್ ಪರ್ವತ</t>
  </si>
  <si>
    <t>select_one observed_change</t>
  </si>
  <si>
    <t>select_one_change_water_quality</t>
  </si>
  <si>
    <t xml:space="preserve">Have you observed any changes in the water quality (clarity, taste, color) in the past five years?
</t>
  </si>
  <si>
    <t>क्या आपने पिछले पांच वर्षों में पानी की गुणवत्ता (स्पष्टता, स्वाद, रंग) में कोई बदलाव देखा है?</t>
  </si>
  <si>
    <t xml:space="preserve">ಕಳೆದ ಐದು ವರ್ಷಗಳಲ್ಲಿ ನೀರಿನ ಗುಣಮಟ್ಟದಲ್ಲಿ (ಸ್ಪಷ್ಟತೆ, ರುಚಿ, ಬಣ್ಣ) ಯಾವುದೇ ಬದಲಾವಣೆಗಳನ್ನು ನೀವು ಗಮನಿಸಿದ್ದೀರಾ?
</t>
  </si>
  <si>
    <t>select_one pollutants_groundwater</t>
  </si>
  <si>
    <t>select_one_pollutants_groundwater</t>
  </si>
  <si>
    <t xml:space="preserve">Are there any noticeable pollutants or contamination in the groundwater?
</t>
  </si>
  <si>
    <t xml:space="preserve">क्या भूजल में गंदगी या मैलेपन पर आपका ध्यान गया है ? </t>
  </si>
  <si>
    <t xml:space="preserve">ಅಂತರ್ಜಲದಲ್ಲಿ ಯಾವುದೇ ಗಮನಾರ್ಹ ಮಾಲಿನ್ಯಕಾರಕಗಳು ಅಥವಾ ಮಾಲಿನ್ಯವಿದೆಯೇ?
</t>
  </si>
  <si>
    <t>select_one_water_structure_near_you</t>
  </si>
  <si>
    <t>Are there any rainwater harvesting or groundwater recharge structures (e.g., ponds, check dams) near your wells?</t>
  </si>
  <si>
    <t>क्या आपके कुएं के पास कोई वर्षा जल एकत्रित करने या भूजल रिचार्ज स्ट्रक्चर (जैसे, तालाब, चेक डैम) हैं?</t>
  </si>
  <si>
    <t>ನಿಮ್ಮ ಬಾವಿಗಳ ಬಳಿ ಮಳೆನೀರು ಕೊಯ್ಲು ಅಥವಾ ಅಂತರ್ಜಲ ಮರುಪೂರಣ ರಚನೆಗಳು (ಉದಾ. ಕೊಳಗಳು, ಚೆಕ್ ಡ್ಯಾಮ್‌ಗಳು) ಇವೆಯೇ?</t>
  </si>
  <si>
    <t>select_one changes_observed</t>
  </si>
  <si>
    <t>select_one_change_observed</t>
  </si>
  <si>
    <t>Changes observed in depth of this well over the past 5 years?</t>
  </si>
  <si>
    <t>पिछले 5 वर्षों में इस कुएं की गहराई में क्या परिवर्तन देखे गए?</t>
  </si>
  <si>
    <t>છેલ્લા ૫ વર્ષમાં આ કૂવાની ઊંડાઈમાં કયા ફેરફારો જોવા મળ્યા?</t>
  </si>
  <si>
    <t>ಕಳೆದ 5 ವರ್ಷಗಳಲ್ಲಿ ಈ ಬಾವಿಯ ಆಳದಲ್ಲಿ ಕಂಡುಬಂದ ಬದಲಾವಣೆಗಳು ಯಾವುವು?</t>
  </si>
  <si>
    <t>end_group</t>
  </si>
  <si>
    <t>image</t>
  </si>
  <si>
    <t>image_widget</t>
  </si>
  <si>
    <t>Photo of the area</t>
  </si>
  <si>
    <t xml:space="preserve">क्षेत्र का फोटो </t>
  </si>
  <si>
    <t>ಪ್ರದೇಶದ ಫೋಟೋ</t>
  </si>
  <si>
    <t>max-pixels=3000</t>
  </si>
  <si>
    <t>audio</t>
  </si>
  <si>
    <t>audio_record</t>
  </si>
  <si>
    <t>Record a message justifying the need for the maintenance of recharge structure at this location -</t>
  </si>
  <si>
    <t>इस स्थान पर रिचार्ज स्ट्रक्चर का रख रखाव की आवश्यकता क्यों है, यह बताते हुए एक संदेश रिकॉर्ड करें</t>
  </si>
  <si>
    <t>ಈ ಸ್ಥಳದಲ್ಲಿ ರೀಚಾರ್ಜ್ ರಚನೆಯ ನಿರ್ವಹಣೆಯ ಅಗತ್ಯವನ್ನು ಸಮರ್ಥಿಸುವ ಸಂದೇಶವನ್ನು ರೆಕಾರ್ಡ್ ಮಾಡಿ -</t>
  </si>
  <si>
    <t>text_record</t>
  </si>
  <si>
    <t>If you cannot record, write down the justification for the need of maintenance of recharge structure at this location</t>
  </si>
  <si>
    <t>यदि आप रिकॉर्ड नहीं कर सकते हैं, तो इस स्थान पर पुनर्भरण संरचना के रखरखाव की आवश्यकता के लिए औचित्य लिखें</t>
  </si>
  <si>
    <t>ನೀವು ರೆಕಾರ್ಡ್ ಮಾಡಲು ಸಾಧ್ಯವಾಗದಿದ್ದರೆ, ಈ ಸ್ಥಳದಲ್ಲಿ ರೀಚಾರ್ಜ್ ರಚನೆಯ ನಿರ್ವಹಣೆಯ ಅಗತ್ಯತೆಯ ಸಮರ್ಥನೆಯನ್ನು ಬರೆಯಿರಿ</t>
  </si>
  <si>
    <t>well_note_1</t>
  </si>
  <si>
    <t>&lt;span style="font-size: large; font-weight: bold; color:red;"&gt; DO NOT MODIFY ANYTHING BEYOND THIS POINT&lt;/span&gt;</t>
  </si>
  <si>
    <t>&lt;span style="font-size: large; font-weight: bold; color:red;"&gt;इससे परे कुछ भी संशोधित न करें&lt;/span&gt;</t>
  </si>
  <si>
    <t>&lt;span style="font-size: large; font-weight: bold; color:red;"&gt; ಈ ಅಂಶದ ಆಚೆಗೆ ಏನನ್ನೂ ಮಾರ್ಪಡಿಸಬೇಡಿ&lt;/span&gt;</t>
  </si>
  <si>
    <t>GPS_point</t>
  </si>
  <si>
    <t>Lat/Lon</t>
  </si>
  <si>
    <t>अक्षांश/देशांतर</t>
  </si>
  <si>
    <t>ಲ್ಯಾಟ್/ಲೋನ್</t>
  </si>
  <si>
    <t>compact</t>
  </si>
  <si>
    <t>well_note_2</t>
  </si>
  <si>
    <t>&lt;span style="color:red"&gt;PLEASE DO NOT SPAN AROUND IN THE MAP BELOW&lt;/span&gt;</t>
  </si>
  <si>
    <t>&lt;span style="color:red"&gt;कृपया नीचे दिए गए नक्शे में इधर-उधर न घूमें&lt;/span&gt;</t>
  </si>
  <si>
    <t>&lt;span style="color:red"&gt;ದಯವಿಟ್ಟು ಕೆಳಗಿನ ನಕ್ಷೆಯಲ್ಲಿ ಸುತ್ತಿಕೊಳ್ಳಬೇಡಿ&lt;/span&gt;</t>
  </si>
  <si>
    <t>geopoint</t>
  </si>
  <si>
    <t>point_mapappearance</t>
  </si>
  <si>
    <t>जियोपॉइंट</t>
  </si>
  <si>
    <t>maps</t>
  </si>
  <si>
    <t>block_name</t>
  </si>
  <si>
    <t>Block name</t>
  </si>
  <si>
    <t xml:space="preserve">ब्लॉक का नाम </t>
  </si>
  <si>
    <t>ಬ್ಲಾಕ್ ಹೆಸರು</t>
  </si>
  <si>
    <t>plan_id</t>
  </si>
  <si>
    <t>Plan ID</t>
  </si>
  <si>
    <t>योजना का आईडी</t>
  </si>
  <si>
    <t>ಯೋಜನೆ ID</t>
  </si>
  <si>
    <t>plan_name</t>
  </si>
  <si>
    <t>Plan name</t>
  </si>
  <si>
    <t xml:space="preserve">योजना का नाम </t>
  </si>
  <si>
    <t>ಯೋಜನೆಯ ಹೆಸರು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</si>
  <si>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</si>
  <si>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</si>
  <si>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</si>
  <si>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</si>
  <si>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Well_condition</t>
  </si>
  <si>
    <t>Well condition</t>
  </si>
  <si>
    <t>select_one_maintenance</t>
  </si>
  <si>
    <t>select_one_repairs_well</t>
  </si>
  <si>
    <t>Type of repairs in well</t>
  </si>
  <si>
    <t>list_name</t>
  </si>
  <si>
    <t>Y_N</t>
  </si>
  <si>
    <t>Yes</t>
  </si>
  <si>
    <t xml:space="preserve">हां </t>
  </si>
  <si>
    <t>ಹೌದು</t>
  </si>
  <si>
    <t>No</t>
  </si>
  <si>
    <t xml:space="preserve">नहीं </t>
  </si>
  <si>
    <t>ಸಂ</t>
  </si>
  <si>
    <t>owns</t>
  </si>
  <si>
    <t>Community well</t>
  </si>
  <si>
    <t xml:space="preserve">सार्वजनिक कुँआ </t>
  </si>
  <si>
    <t>ಸಮುದಾಯ ಚೆನ್ನಾಗಿದೆ</t>
  </si>
  <si>
    <t>Privately owned</t>
  </si>
  <si>
    <t xml:space="preserve">निजी कुँआ </t>
  </si>
  <si>
    <t>ಖಾಸಗಿ ಒಡೆತನದಲ್ಲಿದೆ</t>
  </si>
  <si>
    <t>Shared amongst families</t>
  </si>
  <si>
    <t>परिवारों के बीच साझा किया गया</t>
  </si>
  <si>
    <t>ಕುಟುಂಬಗಳ ನಡುವೆ ಹಂಚಿಕೊಳ್ಳಲಾಗಿದೆ</t>
  </si>
  <si>
    <t>caste_use</t>
  </si>
  <si>
    <t>GC</t>
  </si>
  <si>
    <t xml:space="preserve">सामान्य वर्ग </t>
  </si>
  <si>
    <t>ಜಿಸಿ</t>
  </si>
  <si>
    <t>ସାଧାରଣ ବର୍ଗ</t>
  </si>
  <si>
    <t>SC</t>
  </si>
  <si>
    <t xml:space="preserve">अनुसूचित जाति वर्ग </t>
  </si>
  <si>
    <t>ଅନୁସୂଚିତ ଜାତି ବର୍ଗ</t>
  </si>
  <si>
    <t>ST</t>
  </si>
  <si>
    <t xml:space="preserve">ST </t>
  </si>
  <si>
    <t xml:space="preserve">अनुसूचित जनजाति वर्ग </t>
  </si>
  <si>
    <t>ଅନୁସୂଚିତ ଜନଜାତି ବର୍ଗ</t>
  </si>
  <si>
    <t>OBC</t>
  </si>
  <si>
    <t xml:space="preserve">अन्य पिछड़ा वर्ग </t>
  </si>
  <si>
    <t>ಒಬಿಸಿ</t>
  </si>
  <si>
    <t>ଅନ୍ୟାନ୍ୟ ପଛୁଆ ବର୍ଗ</t>
  </si>
  <si>
    <t>Functional_Non_functional</t>
  </si>
  <si>
    <t>Functional</t>
  </si>
  <si>
    <t xml:space="preserve">कुँआ में पानी है </t>
  </si>
  <si>
    <t>ಕ್ರಿಯಾತ್ಮಕ</t>
  </si>
  <si>
    <t>Non_functional</t>
  </si>
  <si>
    <t>Non functional</t>
  </si>
  <si>
    <t xml:space="preserve">कुँआ में पानी नहीं है </t>
  </si>
  <si>
    <t>ಕ್ರಿಯಾತ್ಮಕವಲ್ಲದ</t>
  </si>
  <si>
    <t>repairs_well</t>
  </si>
  <si>
    <t>De_sitling</t>
  </si>
  <si>
    <t>De sitling</t>
  </si>
  <si>
    <t>डी सिटलिंग</t>
  </si>
  <si>
    <t>ડી સીટીંગ</t>
  </si>
  <si>
    <t>ಡಿ ಸಿಟ್ಲಿಂಗ್</t>
  </si>
  <si>
    <t>Repairing_cracks_or_damage_to_well_walls</t>
  </si>
  <si>
    <t>Repairing cracks or damage to well walls</t>
  </si>
  <si>
    <t>कुएं की दीवारों में दरारें या नुकसान की मरम्मत</t>
  </si>
  <si>
    <t>કુવાની દિવાલોમાં તિરાડો અથવા નુકસાનનું સમારકામ</t>
  </si>
  <si>
    <t>ಬಾವಿ ಗೋಡೆಗಳಿಗೆ ಬಿರುಕುಗಳು ಅಥವಾ ಹಾನಿಯನ್ನು ಸರಿಪಡಿಸುವುದು</t>
  </si>
  <si>
    <t>Deepening_the_well_to_enhance_water_availability</t>
  </si>
  <si>
    <t>Deepening the well to enhance water availability</t>
  </si>
  <si>
    <t>पानी की उपलब्धता बढ़ाने के लिए कुएं को गहरा करना</t>
  </si>
  <si>
    <t>પાણીની ઉપલબ્ધતા વધારવા માટે કૂવાને ઊંડો કરવો</t>
  </si>
  <si>
    <t>ನೀರಿನ ಲಭ್ಯತೆಯನ್ನು ಹೆಚ್ಚಿಸಲು ಬಾವಿಯನ್ನು ಆಳಗೊಳಿಸುವುದು</t>
  </si>
  <si>
    <t xml:space="preserve">Repair_or_replacement_of_well_cover_or_structure
</t>
  </si>
  <si>
    <t xml:space="preserve">Repair or replacement of well cover or structure
</t>
  </si>
  <si>
    <t xml:space="preserve">कुएं के कवर या स्ट्रक्चर की मरम्मत या बदलना
</t>
  </si>
  <si>
    <t xml:space="preserve">કુવાના આવરણ અથવા માળખાનું સમારકામ અથવા ફેરબદલ
</t>
  </si>
  <si>
    <t xml:space="preserve">ಬಾವಿಯ ಹೊದಿಕೆ ಅಥವಾ ರಚನೆಯ ದುರಸ್ತಿ ಅಥವಾ ಬದಲಿ
</t>
  </si>
  <si>
    <t xml:space="preserve">Installing_or_repairing_pumping_mechanisms
</t>
  </si>
  <si>
    <t xml:space="preserve">Installing or repairing pumping mechanisms
</t>
  </si>
  <si>
    <t>पंपिंग मैकेनिज्म लगाना या मरम्मत करना</t>
  </si>
  <si>
    <t xml:space="preserve">પમ્પિંગ મિકેનિઝમ્સ ઇન્સ્ટોલ અથવા રિપેર કરવા
</t>
  </si>
  <si>
    <t xml:space="preserve">ಪಂಪಿಂಗ್ ಕಾರ್ಯವಿಧಾನಗಳನ್ನು ಸ್ಥಾಪಿಸುವುದು ಅಥವಾ ದುರಸ್ತಿ ಮಾಡುವುದು
</t>
  </si>
  <si>
    <t>well_type</t>
  </si>
  <si>
    <t>Hand pump</t>
  </si>
  <si>
    <t>चापाकल</t>
  </si>
  <si>
    <t>ಕೈ ಪಂಪ್</t>
  </si>
  <si>
    <t>Borewell</t>
  </si>
  <si>
    <t>बोरवेल</t>
  </si>
  <si>
    <t>ಬೋರ್ವೆಲ್</t>
  </si>
  <si>
    <t xml:space="preserve">Open well
</t>
  </si>
  <si>
    <t>खुला कुआँ</t>
  </si>
  <si>
    <t>ತೆರೆದ ಬಾವಿ /ಕುಂಟೆ</t>
  </si>
  <si>
    <t xml:space="preserve"> </t>
  </si>
  <si>
    <t>water_availability</t>
  </si>
  <si>
    <t xml:space="preserve">Water_available_year_round
</t>
  </si>
  <si>
    <t xml:space="preserve">Water available year-round
</t>
  </si>
  <si>
    <t>साल भर पानी उपलब्ध रहेगा</t>
  </si>
  <si>
    <t xml:space="preserve">ವರ್ಷಪೂರ್ತಿ ನೀರು ಲಭ್ಯ
</t>
  </si>
  <si>
    <t xml:space="preserve">Water_available_only_during_the_monsoon_June_September
</t>
  </si>
  <si>
    <t xml:space="preserve">Water available only during the monsoon (June–September)
</t>
  </si>
  <si>
    <t>पानी केवल मानसून (जून-सितंबर) के दौरान उपलब्ध रहता है</t>
  </si>
  <si>
    <t xml:space="preserve">ಮಳೆಗಾಲದಲ್ಲಿ ಮಾತ್ರ ನೀರು ಲಭ್ಯವಿರುತ್ತದೆ (ಜೂನ್-ಸೆಪ್ಟೆಂಬರ್)
</t>
  </si>
  <si>
    <t>Water_available_during_monsoon_and_post_monsoon_June_December</t>
  </si>
  <si>
    <t>Water available during monsoon and post-monsoon (June–December)</t>
  </si>
  <si>
    <t>पानी मानसून के समय और मानसून के बाद (जून-दिसंबर) में भी उपलब्ध रहता है</t>
  </si>
  <si>
    <t>ಮಾನ್ಸೂನ್ ಮತ್ತು ನಂತರದ ಮಾನ್ಸೂನ್ ಸಮಯದಲ್ಲಿ (ಜೂನ್-ಡಿಸೆಂಬರ್) ನೀರು ಲಭ್ಯವಿದೆ</t>
  </si>
  <si>
    <t xml:space="preserve">Water_available_in_monsoon_post_monsoon_and_winter_June_February
</t>
  </si>
  <si>
    <t xml:space="preserve">Water available in monsoon, post-monsoon, and winter (June–February)
</t>
  </si>
  <si>
    <t xml:space="preserve">पानी मानसून के समय,मानसून के बाद और सर्दियों (जून-फरवरी) में भी उपलब्ध रहता है </t>
  </si>
  <si>
    <t xml:space="preserve">ಮಾನ್ಸೂನ್, ನಂತರದ ಮಾನ್ಸೂನ್ ಮತ್ತು ಚಳಿಗಾಲದಲ್ಲಿ (ಜೂನ್-ಫೆಬ್ರವರಿ) ನೀರು ಲಭ್ಯವಿದೆ
</t>
  </si>
  <si>
    <t xml:space="preserve">No_water_available_throughout_the_year
</t>
  </si>
  <si>
    <t xml:space="preserve">No water available throughout the year
</t>
  </si>
  <si>
    <t>साल भर पानी उपलब्ध नहीं रहता है</t>
  </si>
  <si>
    <t xml:space="preserve">ವರ್ಷವಿಡೀ ನೀರು ಸಿಗುವುದಿಲ್ಲ
</t>
  </si>
  <si>
    <t>well_used</t>
  </si>
  <si>
    <t xml:space="preserve">Irrigation
</t>
  </si>
  <si>
    <t>सिंचाई</t>
  </si>
  <si>
    <t xml:space="preserve">ನೀರಾವರಿ
</t>
  </si>
  <si>
    <t>Domestic Purpose</t>
  </si>
  <si>
    <t xml:space="preserve">Drinking
</t>
  </si>
  <si>
    <t xml:space="preserve">पीना </t>
  </si>
  <si>
    <t>ಕುಡಿಯುವ ನೀರು</t>
  </si>
  <si>
    <t xml:space="preserve">Both
</t>
  </si>
  <si>
    <t>दोनों</t>
  </si>
  <si>
    <t xml:space="preserve">ಎರಡೂ
</t>
  </si>
  <si>
    <t>observed_change</t>
  </si>
  <si>
    <t>Significant deterioration (e.g., murky, bad taste, discoloration)</t>
  </si>
  <si>
    <t xml:space="preserve">Significant deterioration (e.g., murky, bad taste, discoloration)
</t>
  </si>
  <si>
    <t>बहुत गंदा (जैसे, धुंधलापन, खराब स्वाद, रंग उड़ना)</t>
  </si>
  <si>
    <t xml:space="preserve">ಗಮನಾರ್ಹ ಕ್ಷೀಣತೆ (ಉದಾ., ಮರ್ಕಿ, ಕೆಟ್ಟ ರುಚಿ, ಬಣ್ಣಬಣ್ಣ)
</t>
  </si>
  <si>
    <t xml:space="preserve">Minor deterioration (e.g., slight change in clarity or taste)
</t>
  </si>
  <si>
    <t>मामूली गंदा (जैसे, स्पष्टता या स्वाद में मामूली परिवर्तन)</t>
  </si>
  <si>
    <t xml:space="preserve">ಸಣ್ಣ ಕ್ಷೀಣತೆ (ಉದಾಹರಣೆಗೆ, ಸ್ಪಷ್ಟತೆ ಅಥವಾ ರುಚಿಯಲ್ಲಿ ಸ್ವಲ್ಪ ಬದಲಾವಣೆ)
</t>
  </si>
  <si>
    <t xml:space="preserve">No noticeable change
</t>
  </si>
  <si>
    <t>कोई बदलाव नहीं</t>
  </si>
  <si>
    <t xml:space="preserve">ಗಮನಾರ್ಹ ಬದಲಾವಣೆ ಇಲ್ಲ
</t>
  </si>
  <si>
    <t xml:space="preserve">Minor improvement (e.g., clearer water, better taste)
</t>
  </si>
  <si>
    <t>मामूली सुधार (जैसे, साफ पानी, कड़वा स्वाद)</t>
  </si>
  <si>
    <t xml:space="preserve">ಸಣ್ಣ ಸುಧಾರಣೆ (ಉದಾಹರಣೆಗೆ, ಸ್ಪಷ್ಟವಾದ ನೀರು, ಉತ್ತಮ ರುಚಿ)
</t>
  </si>
  <si>
    <t>Significant improvement (e.g., clear water, restored natural color and taste)</t>
  </si>
  <si>
    <t xml:space="preserve">Significant improvement (e.g., clear water, restored natural color and taste)
</t>
  </si>
  <si>
    <t>बहुत सुधार (जैसे, साफ़ पानी, प्राकृतिक रंग और स्वाद )</t>
  </si>
  <si>
    <t xml:space="preserve">ಗಮನಾರ್ಹ ಸುಧಾರಣೆ (ಉದಾಹರಣೆಗೆ, ಸ್ಪಷ್ಟ ನೀರು, ಪುನಃಸ್ಥಾಪಿಸಿದ ನೈಸರ್ಗಿಕ ಬಣ್ಣ ಮತ್ತು ರುಚಿ)
</t>
  </si>
  <si>
    <t>pollutants_groundwater</t>
  </si>
  <si>
    <t xml:space="preserve">Yes, visible pollutants (e.g., oil slick)
</t>
  </si>
  <si>
    <t>हाँ, ध्यान देने लायक गंदगी (जैसे, तेल की परत)</t>
  </si>
  <si>
    <t xml:space="preserve">ಹೌದು, ಗೋಚರಿಸುವ ಮಾಲಿನ್ಯಕಾರಕಗಳು (ಉದಾ. ಎಣ್ಣೆ ನುಣುಪು)
</t>
  </si>
  <si>
    <t xml:space="preserve">Yes, chemical contamination (e.g., unpleasant odor, unusual color)
</t>
  </si>
  <si>
    <t>हां, रासायनिक गंदगी (जैसे, गंध, असामान्य रंग)</t>
  </si>
  <si>
    <t xml:space="preserve">ಹೌದು, ರಾಸಾಯನಿಕ ಮಾಲಿನ್ಯ (ಉದಾ., ಅಹಿತಕರ ವಾಸನೆ, ಅಸಾಮಾನ್ಯ ಬಣ್ಣ)
</t>
  </si>
  <si>
    <t xml:space="preserve">Yes, agricultural runoff (e.g., fertilizers, pesticides)
</t>
  </si>
  <si>
    <t>हाँ, कृषि अपवाह (जैसे, उर्वरक, कीटनाशक)</t>
  </si>
  <si>
    <t xml:space="preserve">ಹೌದು, ಕೃಷಿ ಹರಿವು (ಉದಾ. ರಸಗೊಬ್ಬರಗಳು, ಕೀಟನಾಶಕಗಳು)
</t>
  </si>
  <si>
    <t>No, no noticeable pollutants or contamination</t>
  </si>
  <si>
    <t xml:space="preserve">No, no noticeable pollutants or contamination
</t>
  </si>
  <si>
    <t>नहीं, कोई गंदगी या मैलापन नहीं है</t>
  </si>
  <si>
    <t xml:space="preserve">ಇಲ್ಲ, ಯಾವುದೇ ಗಮನಾರ್ಹ ಮಾಲಿನ್ಯಕಾರಕಗಳು ಅಥವಾ ಮಾಲಿನ್ಯವಿಲ್ಲ
</t>
  </si>
  <si>
    <t>Unsure/Not sure</t>
  </si>
  <si>
    <t>अनिश्चित/निश्चित नहीं</t>
  </si>
  <si>
    <t>ಖಚಿತವಾಗಿಲ್ಲ / ಖಚಿತವಾಗಿಲ್ಲ</t>
  </si>
  <si>
    <t>scheme</t>
  </si>
  <si>
    <t>MGNREGA</t>
  </si>
  <si>
    <t xml:space="preserve">मनरेगा </t>
  </si>
  <si>
    <t>PM-KUSUM</t>
  </si>
  <si>
    <t xml:space="preserve">पीएम कुसुम </t>
  </si>
  <si>
    <t>PM-ಕುಸುಮ್</t>
  </si>
  <si>
    <t>PMGSY</t>
  </si>
  <si>
    <t xml:space="preserve">पीएमजीएसवाई </t>
  </si>
  <si>
    <t>ಪಿಎಂಜಿಎಸ್‌ವೈ</t>
  </si>
  <si>
    <t>NRLM</t>
  </si>
  <si>
    <t xml:space="preserve">एनआरएलएम </t>
  </si>
  <si>
    <t>Self funded</t>
  </si>
  <si>
    <t xml:space="preserve">अपने खर्च पर चलाना </t>
  </si>
  <si>
    <t>ಸ್ವಯಂ ನಿಧಿ</t>
  </si>
  <si>
    <t>Don't know</t>
  </si>
  <si>
    <t>ಗೊತ್ತಿಲ್ಲ</t>
  </si>
  <si>
    <t>year</t>
  </si>
  <si>
    <t xml:space="preserve">July </t>
  </si>
  <si>
    <t xml:space="preserve">जुलाई </t>
  </si>
  <si>
    <t>ಜುಲೈ</t>
  </si>
  <si>
    <t>Aug</t>
  </si>
  <si>
    <t xml:space="preserve">अगस्त </t>
  </si>
  <si>
    <t>ಆಗಸ್ಟ್</t>
  </si>
  <si>
    <t>Sep</t>
  </si>
  <si>
    <t xml:space="preserve">सितंबर </t>
  </si>
  <si>
    <t>ಸೆಪ್ಟಂಬರ್</t>
  </si>
  <si>
    <t>Oct</t>
  </si>
  <si>
    <t xml:space="preserve">अक्टूबर </t>
  </si>
  <si>
    <t>ಅಕ್ಟೋಬರ್</t>
  </si>
  <si>
    <t>Nov</t>
  </si>
  <si>
    <t xml:space="preserve">नवंबर </t>
  </si>
  <si>
    <t>ನವೆಂಬರ್</t>
  </si>
  <si>
    <t>Dec</t>
  </si>
  <si>
    <t xml:space="preserve">दिसंबर </t>
  </si>
  <si>
    <t>ಡಿಸೆಂಬರ್</t>
  </si>
  <si>
    <t>Jan</t>
  </si>
  <si>
    <t xml:space="preserve">जनवरी </t>
  </si>
  <si>
    <t>ಜನವರಿ</t>
  </si>
  <si>
    <t>Feb</t>
  </si>
  <si>
    <t xml:space="preserve">फरवरी </t>
  </si>
  <si>
    <t>ಪೇಭ್ರವರಿ</t>
  </si>
  <si>
    <t>Mar</t>
  </si>
  <si>
    <t xml:space="preserve">मार्च </t>
  </si>
  <si>
    <t>ಮಾರ್</t>
  </si>
  <si>
    <t>Apr</t>
  </si>
  <si>
    <t xml:space="preserve">अप्रैल </t>
  </si>
  <si>
    <t>ಎಪ್ರಿಲ್</t>
  </si>
  <si>
    <t>May</t>
  </si>
  <si>
    <t xml:space="preserve">मई </t>
  </si>
  <si>
    <t>ಮೇ</t>
  </si>
  <si>
    <t>June</t>
  </si>
  <si>
    <t xml:space="preserve">जून </t>
  </si>
  <si>
    <t>ಜೂನ್</t>
  </si>
  <si>
    <t>changes_observed</t>
  </si>
  <si>
    <t>Decreasing_levels</t>
  </si>
  <si>
    <t>Decreasing levels</t>
  </si>
  <si>
    <t>स्तर घट रहे हैं</t>
  </si>
  <si>
    <t>ઘટતા સ્તર</t>
  </si>
  <si>
    <t>ಕಡಿಮೆಯಾಗುತ್ತಿರುವ ಮಟ್ಟಗಳು</t>
  </si>
  <si>
    <t>Increasing_levels</t>
  </si>
  <si>
    <t>Increasing levels</t>
  </si>
  <si>
    <t>स्तर बढ़ रहे हैं</t>
  </si>
  <si>
    <t>વધતા સ્તર</t>
  </si>
  <si>
    <t>ಹೆಚ್ಚುತ್ತಿರುವ ಮಟ್ಟಗಳು</t>
  </si>
  <si>
    <t>Not_observed_changes</t>
  </si>
  <si>
    <t>Not observed any changes</t>
  </si>
  <si>
    <t>कोई परिवर्तन नहीं देखा गया</t>
  </si>
  <si>
    <t>કોઈ ફેરફાર જોવા મળ્યા નથી</t>
  </si>
  <si>
    <t>ಯಾವುದೇ ಬದಲಾವಣೆಗಳು ಕಂಡುಬಂದಿಲ್ಲ</t>
  </si>
  <si>
    <t>Soil</t>
  </si>
  <si>
    <t>Black</t>
  </si>
  <si>
    <t>काला</t>
  </si>
  <si>
    <t>કાળો</t>
  </si>
  <si>
    <t>ಕಪ್ಪು</t>
  </si>
  <si>
    <t>Red</t>
  </si>
  <si>
    <t>लाल</t>
  </si>
  <si>
    <t>લાલ</t>
  </si>
  <si>
    <t>ಕೆಂಪು</t>
  </si>
  <si>
    <t>Laterite</t>
  </si>
  <si>
    <t>लैटेराइट</t>
  </si>
  <si>
    <t>લેટરાઇટ</t>
  </si>
  <si>
    <t>ಲ್ಯಾಟರೈಟ್</t>
  </si>
  <si>
    <t>Alluvial</t>
  </si>
  <si>
    <t>जलोढ़</t>
  </si>
  <si>
    <t>એલુવિયલ</t>
  </si>
  <si>
    <t>ಮೆಕ್ಕಲು</t>
  </si>
  <si>
    <t>Sandy</t>
  </si>
  <si>
    <t>रेतीला</t>
  </si>
  <si>
    <t>રેતાળ</t>
  </si>
  <si>
    <t>ಮರಳು</t>
  </si>
  <si>
    <t>Clay</t>
  </si>
  <si>
    <t>मिट्टी</t>
  </si>
  <si>
    <t>માટી</t>
  </si>
  <si>
    <t>ಜೇಡಿಮಣ್ಣು</t>
  </si>
  <si>
    <t>Rocky</t>
  </si>
  <si>
    <t>चट्टानी</t>
  </si>
  <si>
    <t>રોકી</t>
  </si>
  <si>
    <t>ರಾಕಿ</t>
  </si>
  <si>
    <t>silt</t>
  </si>
  <si>
    <t>Low</t>
  </si>
  <si>
    <t>कम</t>
  </si>
  <si>
    <t>નીચું</t>
  </si>
  <si>
    <t>ಕಡಿಮೆ</t>
  </si>
  <si>
    <t>Moderate</t>
  </si>
  <si>
    <t>मध्यम</t>
  </si>
  <si>
    <t>મધ્યમ</t>
  </si>
  <si>
    <t>ಮಧ್ಯಮ</t>
  </si>
  <si>
    <t>High</t>
  </si>
  <si>
    <t>ज़्यादा</t>
  </si>
  <si>
    <t>ઉચ્ચ</t>
  </si>
  <si>
    <t>ಹೆಚ್ಚು</t>
  </si>
  <si>
    <t>form_title</t>
  </si>
  <si>
    <t>form_id</t>
  </si>
  <si>
    <t>default_language</t>
  </si>
  <si>
    <t>instance_name</t>
  </si>
  <si>
    <t>version</t>
  </si>
  <si>
    <t>style</t>
  </si>
  <si>
    <t>Add Well Form</t>
  </si>
  <si>
    <t>Add_well_form_V1.0.1</t>
  </si>
  <si>
    <t>Hindi(hi)</t>
  </si>
  <si>
    <t>concat(${well_id})</t>
  </si>
  <si>
    <t>2.1.2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</si>
</sst>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rgb="FF000000"/>
      <name val="Courier New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rgb="FF000000"/>
      <name val="Arial"/>
    </font>
    <font>
      <b/>
      <sz val="11.0"/>
      <color rgb="FF000000"/>
      <name val="Calibri"/>
    </font>
    <font>
      <i/>
      <sz val="11.0"/>
      <color rgb="FF000000"/>
      <name val="Courier New"/>
    </font>
    <font>
      <sz val="11.0"/>
      <color rgb="FF000000"/>
      <name val="Arial"/>
    </font>
    <font>
      <sz val="10.0"/>
      <color rgb="FF000000"/>
      <name val="Courier New"/>
    </font>
    <font>
      <sz val="11.0"/>
      <color rgb="FF000000"/>
      <name val="Courier New"/>
    </font>
    <font>
      <sz val="11.0"/>
      <color rgb="FF000000"/>
      <name val="Calibri"/>
    </font>
    <font>
      <sz val="10.0"/>
      <color rgb="FF000000"/>
      <name val="Roboto"/>
    </font>
    <font>
      <sz val="11.0"/>
      <color rgb="FF000000"/>
      <name val="Roboto"/>
    </font>
    <font>
      <color theme="1"/>
      <name val="Arial"/>
      <scheme val="minor"/>
    </font>
    <font>
      <sz val="10.0"/>
      <color rgb="FF1F1F1F"/>
      <name val="Inherit"/>
    </font>
    <font>
      <sz val="9.0"/>
      <color rgb="FF000000"/>
      <name val="Courier New"/>
    </font>
    <font>
      <sz val="9.0"/>
      <color rgb="FF000000"/>
      <name val="Arial"/>
    </font>
    <font>
      <sz val="9.0"/>
      <color rgb="FF1F1F1F"/>
      <name val="Arial"/>
    </font>
    <font>
      <sz val="9.0"/>
      <color rgb="FF1F1F1F"/>
      <name val="Inherit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DDDDD"/>
        <bgColor rgb="FFDDDDD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readingOrder="0" shrinkToFit="0" vertical="bottom" wrapText="1"/>
    </xf>
    <xf borderId="1" fillId="3" fontId="4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1" fillId="4" fontId="6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4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1"/>
    </xf>
    <xf borderId="1" fillId="5" fontId="8" numFmtId="0" xfId="0" applyAlignment="1" applyBorder="1" applyFill="1" applyFont="1">
      <alignment shrinkToFit="0" vertical="bottom" wrapText="0"/>
    </xf>
    <xf borderId="1" fillId="5" fontId="4" numFmtId="0" xfId="0" applyAlignment="1" applyBorder="1" applyFont="1">
      <alignment shrinkToFit="0" vertical="bottom" wrapText="1"/>
    </xf>
    <xf borderId="1" fillId="5" fontId="4" numFmtId="0" xfId="0" applyAlignment="1" applyBorder="1" applyFont="1">
      <alignment shrinkToFit="0" vertical="bottom" wrapText="0"/>
    </xf>
    <xf borderId="1" fillId="5" fontId="11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shrinkToFit="0" vertical="bottom" wrapText="1"/>
    </xf>
    <xf borderId="1" fillId="5" fontId="10" numFmtId="0" xfId="0" applyAlignment="1" applyBorder="1" applyFont="1">
      <alignment shrinkToFit="0" vertical="bottom" wrapText="1"/>
    </xf>
    <xf borderId="1" fillId="5" fontId="10" numFmtId="0" xfId="0" applyAlignment="1" applyBorder="1" applyFont="1">
      <alignment readingOrder="0" shrinkToFit="0" vertical="bottom" wrapText="1"/>
    </xf>
    <xf borderId="1" fillId="6" fontId="8" numFmtId="0" xfId="0" applyAlignment="1" applyBorder="1" applyFill="1" applyFont="1">
      <alignment shrinkToFit="0" vertical="bottom" wrapText="0"/>
    </xf>
    <xf borderId="1" fillId="6" fontId="4" numFmtId="0" xfId="0" applyAlignment="1" applyBorder="1" applyFont="1">
      <alignment shrinkToFit="0" vertical="bottom" wrapText="1"/>
    </xf>
    <xf borderId="1" fillId="6" fontId="7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shrinkToFit="0" vertical="bottom" wrapText="0"/>
    </xf>
    <xf borderId="1" fillId="5" fontId="9" numFmtId="0" xfId="0" applyAlignment="1" applyBorder="1" applyFont="1">
      <alignment shrinkToFit="0" vertical="bottom" wrapText="0"/>
    </xf>
    <xf borderId="1" fillId="5" fontId="12" numFmtId="0" xfId="0" applyAlignment="1" applyBorder="1" applyFont="1">
      <alignment shrinkToFit="0" vertical="bottom" wrapText="0"/>
    </xf>
    <xf borderId="1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shrinkToFit="0" vertical="bottom" wrapText="0"/>
    </xf>
    <xf borderId="1" fillId="5" fontId="7" numFmtId="0" xfId="0" applyAlignment="1" applyBorder="1" applyFont="1">
      <alignment readingOrder="0" shrinkToFit="0" vertical="bottom" wrapText="0"/>
    </xf>
    <xf borderId="1" fillId="6" fontId="8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shrinkToFit="0" vertical="center" wrapText="1"/>
    </xf>
    <xf borderId="1" fillId="7" fontId="8" numFmtId="0" xfId="0" applyAlignment="1" applyBorder="1" applyFill="1" applyFont="1">
      <alignment shrinkToFit="0" vertical="bottom" wrapText="1"/>
    </xf>
    <xf borderId="1" fillId="7" fontId="4" numFmtId="0" xfId="0" applyAlignment="1" applyBorder="1" applyFont="1">
      <alignment shrinkToFit="0" vertical="bottom" wrapText="1"/>
    </xf>
    <xf borderId="1" fillId="7" fontId="4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1" fillId="8" fontId="8" numFmtId="0" xfId="0" applyAlignment="1" applyBorder="1" applyFill="1" applyFont="1">
      <alignment shrinkToFit="0" vertical="bottom" wrapText="0"/>
    </xf>
    <xf borderId="1" fillId="8" fontId="4" numFmtId="0" xfId="0" applyAlignment="1" applyBorder="1" applyFont="1">
      <alignment shrinkToFit="0" vertical="bottom" wrapText="1"/>
    </xf>
    <xf borderId="1" fillId="8" fontId="4" numFmtId="0" xfId="0" applyAlignment="1" applyBorder="1" applyFont="1">
      <alignment shrinkToFit="0" vertical="bottom" wrapText="0"/>
    </xf>
    <xf borderId="0" fillId="0" fontId="13" numFmtId="0" xfId="0" applyFont="1"/>
    <xf borderId="1" fillId="2" fontId="1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9" fontId="14" numFmtId="0" xfId="0" applyAlignment="1" applyFill="1" applyFont="1">
      <alignment horizontal="left" readingOrder="0" shrinkToFit="0" wrapText="1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0"/>
    </xf>
    <xf borderId="1" fillId="9" fontId="17" numFmtId="0" xfId="0" applyAlignment="1" applyBorder="1" applyFont="1">
      <alignment horizontal="left" readingOrder="0" shrinkToFit="0" vertical="bottom" wrapText="1"/>
    </xf>
    <xf borderId="1" fillId="9" fontId="18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2.88"/>
    <col customWidth="1" min="2" max="2" width="37.0"/>
    <col customWidth="1" min="3" max="3" width="72.0"/>
    <col customWidth="1" min="4" max="4" width="54.75"/>
    <col customWidth="1" min="5" max="5" width="54.0"/>
    <col customWidth="1" min="6" max="6" width="54.38"/>
    <col customWidth="1" min="7" max="7" width="84.63"/>
    <col customWidth="1" min="8" max="8" width="14.25"/>
    <col customWidth="1" min="9" max="9" width="11.88"/>
    <col customWidth="1" min="10" max="10" width="14.63"/>
    <col customWidth="1" min="11" max="11" width="15.25"/>
    <col customWidth="1" min="12" max="12" width="10.25"/>
    <col customWidth="1" min="13" max="13" width="7.63"/>
    <col customWidth="1" min="14" max="14" width="11.88"/>
    <col customWidth="1" min="15" max="15" width="8.88"/>
    <col customWidth="1" min="16" max="16" width="29.25"/>
    <col customWidth="1" min="17" max="17" width="18.75"/>
    <col customWidth="1" min="18" max="18" width="34.5"/>
    <col customWidth="1" min="19" max="19" width="23.75"/>
    <col customWidth="1" min="20" max="20" width="29.0"/>
    <col customWidth="1" min="21" max="22" width="42.75"/>
    <col customWidth="1" min="23" max="23" width="13.63"/>
    <col customWidth="1" min="24" max="43" width="12.5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5" t="s">
        <v>22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ht="12.75" customHeight="1">
      <c r="A2" s="9" t="s">
        <v>23</v>
      </c>
      <c r="B2" s="10" t="s">
        <v>23</v>
      </c>
      <c r="C2" s="11"/>
      <c r="D2" s="11"/>
      <c r="E2" s="11"/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 ht="12.75" customHeight="1">
      <c r="A3" s="9" t="s">
        <v>24</v>
      </c>
      <c r="B3" s="10" t="s">
        <v>24</v>
      </c>
      <c r="C3" s="11"/>
      <c r="D3" s="11"/>
      <c r="E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 ht="12.75" customHeight="1">
      <c r="A4" s="9" t="s">
        <v>25</v>
      </c>
      <c r="B4" s="10" t="s">
        <v>25</v>
      </c>
      <c r="C4" s="11"/>
      <c r="D4" s="11"/>
      <c r="E4" s="11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</row>
    <row r="5" ht="12.75" customHeight="1">
      <c r="A5" s="9" t="s">
        <v>26</v>
      </c>
      <c r="B5" s="10" t="s">
        <v>26</v>
      </c>
      <c r="C5" s="11"/>
      <c r="D5" s="11"/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 ht="12.75" customHeight="1">
      <c r="A6" s="14"/>
      <c r="B6" s="14"/>
      <c r="C6" s="11"/>
      <c r="D6" s="11"/>
      <c r="E6" s="11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</row>
    <row r="7" ht="12.75" customHeight="1">
      <c r="A7" s="15" t="s">
        <v>27</v>
      </c>
      <c r="B7" s="15" t="s">
        <v>28</v>
      </c>
      <c r="C7" s="16" t="s">
        <v>29</v>
      </c>
      <c r="D7" s="17" t="str">
        <f>IFERROR(__xludf.DUMMYFUNCTION("GOOGLETRANSLATE(C7, ""en"", ""hi"")"),"&lt;span style=""font-size: large; font-weight: bold; color:blue;""&gt;कुएं की जानकारी&lt;/span&gt;")</f>
        <v>&lt;span style="font-size: large; font-weight: bold; color:blue;"&gt;कुएं की जानकारी&lt;/span&gt;</v>
      </c>
      <c r="E7" s="17" t="str">
        <f>IFERROR(__xludf.DUMMYFUNCTION("GOOGLETRANSLATE(D7, ""en"", ""gu"")"),"&lt;span style=""font-size: large; font-weight: bold; color:blue;""&gt;કુએની માહિતી&lt;/span&gt;")</f>
        <v>&lt;span style="font-size: large; font-weight: bold; color:blue;"&gt;કુએની માહિતી&lt;/span&gt;</v>
      </c>
      <c r="F7" s="17" t="str">
        <f>IFERROR(__xludf.DUMMYFUNCTION("GOOGLETRANSLATE(E7, ""en"", ""kn"")"),"&lt;span style=""font-size: large; font-weight: bold; color:blue;""&gt;ಕುನೇನಿ ಮಾಹಿತಿ&lt;/span&gt;")</f>
        <v>&lt;span style="font-size: large; font-weight: bold; color:blue;"&gt;ಕುನೇನಿ ಮಾಹಿತಿ&lt;/span&gt;</v>
      </c>
      <c r="G7" s="11" t="str">
        <f>IFERROR(__xludf.DUMMYFUNCTION("GOOGLETRANSLATE(F7, ""en"", ""or"")"),"&lt;span style=""font-size: large; font-weight: bold; color:blue;""&gt;ଫଣ୍ଟ ସାଇଜ୍‌&lt;/span&gt;")</f>
        <v>&lt;span style="font-size: large; font-weight: bold; color:blue;"&gt;ଫଣ୍ଟ ସାଇଜ୍‌&lt;/span&gt;</v>
      </c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</row>
    <row r="8" ht="12.75" customHeight="1">
      <c r="A8" s="14" t="s">
        <v>30</v>
      </c>
      <c r="B8" s="14" t="s">
        <v>31</v>
      </c>
      <c r="C8" s="11" t="s">
        <v>32</v>
      </c>
      <c r="D8" s="11" t="s">
        <v>33</v>
      </c>
      <c r="E8" s="11" t="str">
        <f>IFERROR(__xludf.DUMMYFUNCTION("GOOGLETRANSLATE(D8, ""hi"", ""gu"")"),"કૂવાનું ઓળખપત્ર")</f>
        <v>કૂવાનું ઓળખપત્ર</v>
      </c>
      <c r="F8" s="17" t="s">
        <v>34</v>
      </c>
      <c r="G8" s="18" t="str">
        <f>IFERROR(__xludf.DUMMYFUNCTION("GOOGLETRANSLATE(C8, ""en"", ""or"")"),"ୱେଲ୍ ଆଇଡି")</f>
        <v>ୱେଲ୍ ଆଇଡି</v>
      </c>
      <c r="H8" s="13"/>
      <c r="I8" s="13"/>
      <c r="J8" s="13"/>
      <c r="K8" s="13"/>
      <c r="L8" s="13"/>
      <c r="M8" s="13"/>
      <c r="N8" s="13" t="s">
        <v>35</v>
      </c>
      <c r="O8" s="13" t="s">
        <v>36</v>
      </c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ht="12.75" customHeight="1">
      <c r="A9" s="19" t="s">
        <v>30</v>
      </c>
      <c r="B9" s="19" t="s">
        <v>37</v>
      </c>
      <c r="C9" s="11" t="s">
        <v>38</v>
      </c>
      <c r="D9" s="11" t="s">
        <v>39</v>
      </c>
      <c r="E9" s="11" t="str">
        <f>IFERROR(__xludf.DUMMYFUNCTION("GOOGLETRANSLATE(D9, ""hi"", ""gu"")"),"લાભાર્થીના સમાધાનનું નામ")</f>
        <v>લાભાર્થીના સમાધાનનું નામ</v>
      </c>
      <c r="F9" s="17" t="s">
        <v>40</v>
      </c>
      <c r="G9" s="18" t="str">
        <f>IFERROR(__xludf.DUMMYFUNCTION("GOOGLETRANSLATE(C9, ""en"", ""or"")"),"ହିତାଧିକାରୀଙ୍କ ବନ୍ଦୋବସ୍ତ ନାମ")</f>
        <v>ହିତାଧିକାରୀଙ୍କ ବନ୍ଦୋବସ୍ତ ନାମ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>
      <c r="A10" s="12"/>
      <c r="F10" s="12"/>
      <c r="G10" s="18"/>
    </row>
    <row r="11" ht="12.75" customHeight="1">
      <c r="A11" s="14" t="s">
        <v>41</v>
      </c>
      <c r="B11" s="14" t="s">
        <v>42</v>
      </c>
      <c r="C11" s="11" t="s">
        <v>43</v>
      </c>
      <c r="D11" s="11" t="s">
        <v>44</v>
      </c>
      <c r="E11" s="11" t="str">
        <f>IFERROR(__xludf.DUMMYFUNCTION("GOOGLETRANSLATE(D11, ""hi"", ""gu"")"),"કૂવાનો પ્રકાર")</f>
        <v>કૂવાનો પ્રકાર</v>
      </c>
      <c r="F11" s="17" t="s">
        <v>45</v>
      </c>
      <c r="G11" s="18" t="str">
        <f>IFERROR(__xludf.DUMMYFUNCTION("GOOGLETRANSLATE(C11, ""en"", ""or"")"),"ଭଲ ପ୍ରକାର")</f>
        <v>ଭଲ ପ୍ରକାର</v>
      </c>
      <c r="H11" s="13"/>
      <c r="I11" s="13"/>
      <c r="J11" s="13"/>
      <c r="K11" s="13"/>
      <c r="L11" s="13"/>
      <c r="M11" s="13" t="s">
        <v>36</v>
      </c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 ht="12.75" customHeight="1">
      <c r="A12" s="14"/>
      <c r="B12" s="14"/>
      <c r="C12" s="11"/>
      <c r="D12" s="11"/>
      <c r="E12" s="11"/>
      <c r="F12" s="12"/>
      <c r="G12" s="18"/>
      <c r="H12" s="13"/>
      <c r="I12" s="13"/>
      <c r="J12" s="13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</row>
    <row r="13" ht="12.75" customHeight="1">
      <c r="A13" s="14" t="s">
        <v>46</v>
      </c>
      <c r="B13" s="14" t="s">
        <v>47</v>
      </c>
      <c r="C13" s="11" t="s">
        <v>48</v>
      </c>
      <c r="D13" s="11" t="s">
        <v>49</v>
      </c>
      <c r="E13" s="11" t="str">
        <f>IFERROR(__xludf.DUMMYFUNCTION("GOOGLETRANSLATE(D13, ""hi"", ""gu"")"),"શું બોરવેલ વીજળીથી ચાલે છે?")</f>
        <v>શું બોરવેલ વીજળીથી ચાલે છે?</v>
      </c>
      <c r="F13" s="17" t="s">
        <v>50</v>
      </c>
      <c r="G13" s="18" t="str">
        <f>IFERROR(__xludf.DUMMYFUNCTION("GOOGLETRANSLATE(C13, ""en"", ""or"")"),"ବୋରୱେଲଟି ବିଦ୍ୟୁତୀକରଣ ହୋଇଛି କି?")</f>
        <v>ବୋରୱେଲଟି ବିଦ୍ୟୁତୀକରଣ ହୋଇଛି କି?</v>
      </c>
      <c r="H13" s="13"/>
      <c r="I13" s="13"/>
      <c r="J13" s="13"/>
      <c r="K13" s="13"/>
      <c r="L13" s="13"/>
      <c r="M13" s="13"/>
      <c r="N13" s="13"/>
      <c r="O13" s="13"/>
      <c r="P13" s="13" t="s">
        <v>51</v>
      </c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</row>
    <row r="14" ht="12.75" customHeight="1">
      <c r="A14" s="14" t="s">
        <v>52</v>
      </c>
      <c r="B14" s="14" t="s">
        <v>53</v>
      </c>
      <c r="C14" s="11" t="s">
        <v>54</v>
      </c>
      <c r="D14" s="11" t="s">
        <v>55</v>
      </c>
      <c r="E14" s="11" t="str">
        <f>IFERROR(__xludf.DUMMYFUNCTION("GOOGLETRANSLATE(D14, ""hi"", ""gu"")"),"કૂવાનો માલિક કોણ છે?")</f>
        <v>કૂવાનો માલિક કોણ છે?</v>
      </c>
      <c r="F14" s="17" t="s">
        <v>56</v>
      </c>
      <c r="G14" s="18" t="str">
        <f>IFERROR(__xludf.DUMMYFUNCTION("GOOGLETRANSLATE(C14, ""en"", ""or"")"),"କୂଅଟି କାହାର?")</f>
        <v>କୂଅଟି କାହାର?</v>
      </c>
      <c r="H14" s="13"/>
      <c r="I14" s="13"/>
      <c r="J14" s="13"/>
      <c r="K14" s="13"/>
      <c r="L14" s="13"/>
      <c r="M14" s="13" t="s">
        <v>36</v>
      </c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</row>
    <row r="15" ht="12.75" customHeight="1">
      <c r="A15" s="20" t="s">
        <v>30</v>
      </c>
      <c r="B15" s="20" t="s">
        <v>57</v>
      </c>
      <c r="C15" s="21" t="s">
        <v>58</v>
      </c>
      <c r="D15" s="21" t="s">
        <v>59</v>
      </c>
      <c r="E15" s="21" t="str">
        <f>IFERROR(__xludf.DUMMYFUNCTION("GOOGLETRANSLATE(D15, ""hi"", ""gu"")"),"લાભાર્થીનું નામ")</f>
        <v>લાભાર્થીનું નામ</v>
      </c>
      <c r="F15" s="17" t="s">
        <v>60</v>
      </c>
      <c r="G15" s="18" t="str">
        <f>IFERROR(__xludf.DUMMYFUNCTION("GOOGLETRANSLATE(C15, ""en"", ""or"")"),"ହିତାଧିକାରୀଙ୍କ ନାମ")</f>
        <v>ହିତାଧିକାରୀଙ୍କ ନାମ</v>
      </c>
      <c r="H15" s="22"/>
      <c r="I15" s="22"/>
      <c r="J15" s="22"/>
      <c r="K15" s="22"/>
      <c r="L15" s="22"/>
      <c r="M15" s="22" t="s">
        <v>36</v>
      </c>
      <c r="N15" s="22"/>
      <c r="O15" s="22"/>
      <c r="P15" s="22" t="s">
        <v>61</v>
      </c>
      <c r="Q15" s="21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</row>
    <row r="16" ht="12.75" customHeight="1">
      <c r="A16" s="20" t="s">
        <v>30</v>
      </c>
      <c r="B16" s="20" t="s">
        <v>62</v>
      </c>
      <c r="C16" s="21" t="s">
        <v>63</v>
      </c>
      <c r="D16" s="21" t="s">
        <v>64</v>
      </c>
      <c r="E16" s="21" t="str">
        <f>IFERROR(__xludf.DUMMYFUNCTION("GOOGLETRANSLATE(D16, ""hi"", ""gu"")"),"લાભાર્થીના પિતાનું નામ")</f>
        <v>લાભાર્થીના પિતાનું નામ</v>
      </c>
      <c r="F16" s="17" t="s">
        <v>65</v>
      </c>
      <c r="G16" s="18" t="str">
        <f>IFERROR(__xludf.DUMMYFUNCTION("GOOGLETRANSLATE(C16, ""en"", ""or"")"),"ହିତାଧିକାରୀଙ୍କ ପିତାଙ୍କ ନାମ")</f>
        <v>ହିତାଧିକାରୀଙ୍କ ପିତାଙ୍କ ନାମ</v>
      </c>
      <c r="H16" s="22"/>
      <c r="I16" s="22"/>
      <c r="J16" s="22"/>
      <c r="K16" s="22"/>
      <c r="L16" s="22"/>
      <c r="M16" s="22" t="s">
        <v>36</v>
      </c>
      <c r="N16" s="22"/>
      <c r="O16" s="22"/>
      <c r="P16" s="22" t="s">
        <v>61</v>
      </c>
      <c r="Q16" s="21" t="s">
        <v>66</v>
      </c>
      <c r="R16" s="23"/>
      <c r="S16" s="23"/>
      <c r="T16" s="23"/>
      <c r="U16" s="23"/>
      <c r="V16" s="23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</row>
    <row r="17" ht="12.75" customHeight="1">
      <c r="A17" s="20" t="s">
        <v>67</v>
      </c>
      <c r="B17" s="20" t="s">
        <v>68</v>
      </c>
      <c r="C17" s="21" t="s">
        <v>69</v>
      </c>
      <c r="D17" s="21" t="s">
        <v>70</v>
      </c>
      <c r="E17" s="21" t="str">
        <f>IFERROR(__xludf.DUMMYFUNCTION("GOOGLETRANSLATE(D17, ""hi"", ""gu"")"),"લાભાર્થીનો ફોન નંબર")</f>
        <v>લાભાર્થીનો ફોન નંબર</v>
      </c>
      <c r="F17" s="17" t="s">
        <v>71</v>
      </c>
      <c r="G17" s="18" t="str">
        <f>IFERROR(__xludf.DUMMYFUNCTION("GOOGLETRANSLATE(C17, ""en"", ""or"")"),"ହିତାଧିକାରୀଙ୍କ ଯୋଗାଯୋଗ ନମ୍ବର")</f>
        <v>ହିତାଧିକାରୀଙ୍କ ଯୋଗାଯୋଗ ନମ୍ବର</v>
      </c>
      <c r="H17" s="22"/>
      <c r="I17" s="22"/>
      <c r="J17" s="22"/>
      <c r="K17" s="22"/>
      <c r="L17" s="22"/>
      <c r="M17" s="22"/>
      <c r="N17" s="22"/>
      <c r="O17" s="22"/>
      <c r="P17" s="22" t="s">
        <v>61</v>
      </c>
      <c r="Q17" s="24" t="s">
        <v>72</v>
      </c>
      <c r="R17" s="25" t="s">
        <v>73</v>
      </c>
      <c r="S17" s="25" t="str">
        <f>IFERROR(__xludf.DUMMYFUNCTION("GOOGLETRANSLATE(R17, ""en"", ""hi"")"),"फ़ोन नंबर दर्ज करें (फ़ॉर्मेट: 9876543210)")</f>
        <v>फ़ोन नंबर दर्ज करें (फ़ॉर्मेट: 9876543210)</v>
      </c>
      <c r="T17" s="25" t="str">
        <f>IFERROR(__xludf.DUMMYFUNCTION("GOOGLETRANSLATE(R17, ""en"", ""gu"")"),"ફોન નંબર દાખલ કરો (ફોર્મેટ: 9876543210)")</f>
        <v>ફોન નંબર દાખલ કરો (ફોર્મેટ: 9876543210)</v>
      </c>
      <c r="U17" s="25" t="s">
        <v>74</v>
      </c>
      <c r="V17" s="26" t="s">
        <v>75</v>
      </c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</row>
    <row r="18" ht="12.75" customHeight="1">
      <c r="A18" s="20" t="s">
        <v>76</v>
      </c>
      <c r="B18" s="20" t="s">
        <v>77</v>
      </c>
      <c r="C18" s="21" t="s">
        <v>78</v>
      </c>
      <c r="D18" s="21" t="s">
        <v>79</v>
      </c>
      <c r="E18" s="21" t="str">
        <f>IFERROR(__xludf.DUMMYFUNCTION("GOOGLETRANSLATE(D18, ""hi"", ""gu"")"),"આ વસાહતમાં કયા જાતિ જૂથો કૂવાનો ઉપયોગ કરે છે?")</f>
        <v>આ વસાહતમાં કયા જાતિ જૂથો કૂવાનો ઉપયોગ કરે છે?</v>
      </c>
      <c r="F18" s="17" t="s">
        <v>80</v>
      </c>
      <c r="G18" s="18" t="str">
        <f>IFERROR(__xludf.DUMMYFUNCTION("GOOGLETRANSLATE(C18, ""en"", ""or"")"),"ଏହି ବସ୍ତିରେ କେଉଁ ଜାତି ଗୋଷ୍ଠୀ କୂଅ ବ୍ୟବହାର କରନ୍ତି?")</f>
        <v>ଏହି ବସ୍ତିରେ କେଉଁ ଜାତି ଗୋଷ୍ଠୀ କୂଅ ବ୍ୟବହାର କରନ୍ତି?</v>
      </c>
      <c r="H18" s="22"/>
      <c r="I18" s="22"/>
      <c r="J18" s="22"/>
      <c r="K18" s="22"/>
      <c r="L18" s="22"/>
      <c r="M18" s="22" t="s">
        <v>36</v>
      </c>
      <c r="N18" s="22"/>
      <c r="O18" s="22"/>
      <c r="P18" s="22"/>
      <c r="Q18" s="21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ht="12.75" customHeight="1">
      <c r="A19" s="14" t="s">
        <v>81</v>
      </c>
      <c r="B19" s="14" t="s">
        <v>82</v>
      </c>
      <c r="C19" s="11" t="s">
        <v>83</v>
      </c>
      <c r="D19" s="11" t="s">
        <v>84</v>
      </c>
      <c r="E19" s="11" t="str">
        <f>IFERROR(__xludf.DUMMYFUNCTION("GOOGLETRANSLATE(D19, ""hi"", ""gu"")"),"આ વસાહતમાં આ કૂવાના બાંધકામ માટે કઈ યોજના હેઠળ પૈસા મળ્યા હતા?")</f>
        <v>આ વસાહતમાં આ કૂવાના બાંધકામ માટે કઈ યોજના હેઠળ પૈસા મળ્યા હતા?</v>
      </c>
      <c r="F19" s="17" t="s">
        <v>85</v>
      </c>
      <c r="G19" s="18" t="str">
        <f>IFERROR(__xludf.DUMMYFUNCTION("GOOGLETRANSLATE(C19, ""en"", ""or"")"),"ଏହି ବସ୍ତିରେ ଏହି କୂଅ ନିର୍ମାଣ ପାଇଁ କେଉଁ ଯୋଜନାରେ ପାଣ୍ଠି ଉପଲବ୍ଧ କରାଯାଇଥିଲା?
")</f>
        <v>ଏହି ବସ୍ତିରେ ଏହି କୂଅ ନିର୍ମାଣ ପାଇଁ କେଉଁ ଯୋଜନାରେ ପାଣ୍ଠି ଉପଲବ୍ଧ କରାଯାଇଥିଲା?
</v>
      </c>
      <c r="H19" s="13"/>
      <c r="I19" s="13"/>
      <c r="J19" s="13"/>
      <c r="K19" s="13"/>
      <c r="L19" s="13"/>
      <c r="M19" s="13" t="s">
        <v>36</v>
      </c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 ht="12.75" customHeight="1">
      <c r="A20" s="14" t="s">
        <v>86</v>
      </c>
      <c r="B20" s="14" t="s">
        <v>87</v>
      </c>
      <c r="C20" s="11" t="s">
        <v>88</v>
      </c>
      <c r="D20" s="11" t="s">
        <v>89</v>
      </c>
      <c r="E20" s="11" t="str">
        <f>IFERROR(__xludf.DUMMYFUNCTION("GOOGLETRANSLATE(D20, ""hi"", ""gu"")"),"જુલાઈ મહિનાને ધ્યાનમાં લેતા, વર્ષના કયા મહિના સુધી કૂવામાં પાણી રહે છે?")</f>
        <v>જુલાઈ મહિનાને ધ્યાનમાં લેતા, વર્ષના કયા મહિના સુધી કૂવામાં પાણી રહે છે?</v>
      </c>
      <c r="F20" s="17" t="s">
        <v>90</v>
      </c>
      <c r="G20" s="18" t="str">
        <f>IFERROR(__xludf.DUMMYFUNCTION("GOOGLETRANSLATE(C20, ""en"", ""or"")"),"ବର୍ଷର କେଉଁ ମାସ ପର୍ଯ୍ୟନ୍ତ କୂଅରେ ପାଣି ଉପଲବ୍ଧ ଥାଏ, ଜୁଲାଇ ମାସକୁ ସୂଚିତ କରି? 
")</f>
        <v>ବର୍ଷର କେଉଁ ମାସ ପର୍ଯ୍ୟନ୍ତ କୂଅରେ ପାଣି ଉପଲବ୍ଧ ଥାଏ, ଜୁଲାଇ ମାସକୁ ସୂଚିତ କରି? 
</v>
      </c>
      <c r="H20" s="13"/>
      <c r="I20" s="13"/>
      <c r="J20" s="13"/>
      <c r="K20" s="13"/>
      <c r="L20" s="13"/>
      <c r="M20" s="13" t="s">
        <v>36</v>
      </c>
      <c r="N20" s="13"/>
      <c r="O20" s="13"/>
      <c r="P20" s="13"/>
      <c r="Q20" s="11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 ht="12.75" customHeight="1">
      <c r="A21" s="14" t="s">
        <v>67</v>
      </c>
      <c r="B21" s="14" t="s">
        <v>91</v>
      </c>
      <c r="C21" s="11" t="s">
        <v>92</v>
      </c>
      <c r="D21" s="11" t="s">
        <v>93</v>
      </c>
      <c r="E21" s="11" t="str">
        <f>IFERROR(__xludf.DUMMYFUNCTION("GOOGLETRANSLATE(D21, ""hi"", ""gu"")"),"આ વસાહતમાં કૂવાનો લાભ મેળવતા કુલ પરિવારોની સંખ્યા કેટલા છે?")</f>
        <v>આ વસાહતમાં કૂવાનો લાભ મેળવતા કુલ પરિવારોની સંખ્યા કેટલા છે?</v>
      </c>
      <c r="F21" s="17" t="s">
        <v>94</v>
      </c>
      <c r="G21" s="18" t="str">
        <f>IFERROR(__xludf.DUMMYFUNCTION("GOOGLETRANSLATE(C21, ""en"", ""or"")"),"ଏହି ବସ୍ତିରେ ଏହି କୂପରୁ ଉପକୃତ ପରିବାରର ମୋଟ ସଂଖ୍ୟା?")</f>
        <v>ଏହି ବସ୍ତିରେ ଏହି କୂପରୁ ଉପକୃତ ପରିବାରର ମୋଟ ସଂଖ୍ୟା?</v>
      </c>
      <c r="H21" s="13"/>
      <c r="I21" s="13"/>
      <c r="J21" s="13"/>
      <c r="K21" s="13"/>
      <c r="L21" s="13"/>
      <c r="M21" s="13" t="s">
        <v>36</v>
      </c>
      <c r="N21" s="13"/>
      <c r="O21" s="13"/>
      <c r="P21" s="13"/>
      <c r="Q21" s="11" t="s">
        <v>95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</row>
    <row r="22" ht="12.75" customHeight="1">
      <c r="A22" s="20"/>
      <c r="B22" s="20"/>
      <c r="C22" s="21"/>
      <c r="D22" s="21"/>
      <c r="E22" s="21"/>
      <c r="F22" s="12"/>
      <c r="G22" s="18"/>
      <c r="H22" s="22"/>
      <c r="I22" s="22"/>
      <c r="J22" s="22"/>
      <c r="K22" s="22"/>
      <c r="L22" s="22"/>
      <c r="M22" s="22"/>
      <c r="N22" s="22"/>
      <c r="O22" s="22"/>
      <c r="P22" s="22"/>
      <c r="Q22" s="21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ht="12.75" customHeight="1">
      <c r="A23" s="14"/>
      <c r="B23" s="14"/>
      <c r="C23" s="11"/>
      <c r="D23" s="11"/>
      <c r="E23" s="11"/>
      <c r="F23" s="12"/>
      <c r="G23" s="18"/>
      <c r="H23" s="13"/>
      <c r="I23" s="13"/>
      <c r="J23" s="13"/>
      <c r="K23" s="13"/>
      <c r="L23" s="13"/>
      <c r="M23" s="13"/>
      <c r="N23" s="13"/>
      <c r="O23" s="13"/>
      <c r="P23" s="13"/>
      <c r="Q23" s="11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</row>
    <row r="24" ht="12.75" customHeight="1">
      <c r="A24" s="14" t="s">
        <v>96</v>
      </c>
      <c r="B24" s="19" t="s">
        <v>97</v>
      </c>
      <c r="C24" s="11" t="s">
        <v>98</v>
      </c>
      <c r="D24" s="11" t="s">
        <v>99</v>
      </c>
      <c r="E24" s="11" t="str">
        <f>IFERROR(__xludf.DUMMYFUNCTION("GOOGLETRANSLATE(D24, ""hi"", ""gu"")"),"કૂવાનો ઉપયોગ")</f>
        <v>કૂવાનો ઉપયોગ</v>
      </c>
      <c r="F24" s="17" t="s">
        <v>100</v>
      </c>
      <c r="G24" s="18" t="str">
        <f>IFERROR(__xludf.DUMMYFUNCTION("GOOGLETRANSLATE(C24, ""en"", ""or"")"),"କୂପର ବ୍ୟବହାର ଏବଂ ଅବସ୍ଥା
")</f>
        <v>କୂପର ବ୍ୟବହାର ଏବଂ ଅବସ୍ଥା
</v>
      </c>
      <c r="H24" s="13"/>
      <c r="I24" s="13"/>
      <c r="J24" s="13"/>
      <c r="K24" s="13"/>
      <c r="L24" s="13"/>
      <c r="M24" s="13"/>
      <c r="N24" s="13"/>
      <c r="O24" s="13"/>
      <c r="P24" s="13"/>
      <c r="Q24" s="11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</row>
    <row r="25" ht="12.75" customHeight="1">
      <c r="A25" s="27" t="s">
        <v>101</v>
      </c>
      <c r="B25" s="27" t="s">
        <v>102</v>
      </c>
      <c r="C25" s="28" t="s">
        <v>103</v>
      </c>
      <c r="D25" s="28" t="s">
        <v>104</v>
      </c>
      <c r="E25" s="28" t="str">
        <f>IFERROR(__xludf.DUMMYFUNCTION("GOOGLETRANSLATE(D25, ""hi"", ""gu"")"),"કૂવો કેવો છે?")</f>
        <v>કૂવો કેવો છે?</v>
      </c>
      <c r="F25" s="29" t="s">
        <v>105</v>
      </c>
      <c r="G25" s="18" t="str">
        <f>IFERROR(__xludf.DUMMYFUNCTION("GOOGLETRANSLATE(C25, ""en"", ""or"")"),"କୂଅଟି କାର୍ଯ୍ୟକ୍ଷମ ନା ଅକାର୍ଯ୍ୟକ୍ଷମ?")</f>
        <v>କୂଅଟି କାର୍ଯ୍ୟକ୍ଷମ ନା ଅକାର୍ଯ୍ୟକ୍ଷମ?</v>
      </c>
      <c r="H25" s="30"/>
      <c r="I25" s="30"/>
      <c r="J25" s="30"/>
      <c r="K25" s="30"/>
      <c r="L25" s="30"/>
      <c r="M25" s="30"/>
      <c r="N25" s="30"/>
      <c r="O25" s="30"/>
      <c r="P25" s="30" t="s">
        <v>106</v>
      </c>
      <c r="Q25" s="28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</row>
    <row r="26" ht="12.75" customHeight="1">
      <c r="A26" s="14" t="s">
        <v>46</v>
      </c>
      <c r="B26" s="14" t="s">
        <v>107</v>
      </c>
      <c r="C26" s="11" t="s">
        <v>108</v>
      </c>
      <c r="D26" s="11" t="s">
        <v>109</v>
      </c>
      <c r="E26" s="11" t="s">
        <v>110</v>
      </c>
      <c r="F26" s="17" t="s">
        <v>111</v>
      </c>
      <c r="G26" s="18" t="str">
        <f>IFERROR(__xludf.DUMMYFUNCTION("GOOGLETRANSLATE(C26, ""en"", ""or"")"),"କୂଅର ପାଣି ବ୍ୟବହୃତ ହେଉଛି କି?")</f>
        <v>କୂଅର ପାଣି ବ୍ୟବହୃତ ହେଉଛି କି?</v>
      </c>
      <c r="H26" s="13"/>
      <c r="I26" s="13"/>
      <c r="J26" s="13"/>
      <c r="K26" s="13"/>
      <c r="L26" s="13"/>
      <c r="M26" s="13" t="s">
        <v>36</v>
      </c>
      <c r="N26" s="13"/>
      <c r="O26" s="13"/>
      <c r="P26" s="13"/>
      <c r="Q26" s="11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</row>
    <row r="27" ht="12.75" customHeight="1">
      <c r="A27" s="14" t="s">
        <v>112</v>
      </c>
      <c r="B27" s="14" t="s">
        <v>113</v>
      </c>
      <c r="C27" s="11" t="s">
        <v>114</v>
      </c>
      <c r="D27" s="11" t="s">
        <v>115</v>
      </c>
      <c r="E27" s="11" t="str">
        <f>IFERROR(__xludf.DUMMYFUNCTION("GOOGLETRANSLATE(D27, ""hi"", ""gu"")"),"કૂવાનો ઉપયોગ શેના માટે થાય છે?")</f>
        <v>કૂવાનો ઉપયોગ શેના માટે થાય છે?</v>
      </c>
      <c r="F27" s="17" t="s">
        <v>116</v>
      </c>
      <c r="G27" s="18" t="str">
        <f>IFERROR(__xludf.DUMMYFUNCTION("GOOGLETRANSLATE(C27, ""en"", ""or"")"),"
ପାଇଁ ଭଲ ଭାବରେ ବ୍ୟବହୃତ")</f>
        <v>
ପାଇଁ ଭଲ ଭାବରେ ବ୍ୟବହୃତ</v>
      </c>
      <c r="H27" s="13"/>
      <c r="I27" s="13"/>
      <c r="J27" s="13"/>
      <c r="K27" s="13"/>
      <c r="L27" s="13" t="s">
        <v>117</v>
      </c>
      <c r="M27" s="13" t="s">
        <v>36</v>
      </c>
      <c r="N27" s="13"/>
      <c r="O27" s="13"/>
      <c r="P27" s="13" t="s">
        <v>118</v>
      </c>
      <c r="Q27" s="11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</row>
    <row r="28" ht="12.75" customHeight="1">
      <c r="A28" s="14"/>
      <c r="B28" s="14"/>
      <c r="C28" s="11"/>
      <c r="D28" s="11"/>
      <c r="E28" s="11"/>
      <c r="F28" s="17"/>
      <c r="G28" s="18"/>
      <c r="H28" s="13"/>
      <c r="I28" s="13"/>
      <c r="J28" s="13"/>
      <c r="K28" s="13"/>
      <c r="L28" s="13"/>
      <c r="M28" s="13"/>
      <c r="N28" s="13"/>
      <c r="O28" s="13"/>
      <c r="P28" s="13"/>
      <c r="Q28" s="11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</row>
    <row r="29" ht="12.75" customHeight="1">
      <c r="A29" s="15" t="s">
        <v>27</v>
      </c>
      <c r="B29" s="15" t="s">
        <v>119</v>
      </c>
      <c r="C29" s="16" t="s">
        <v>120</v>
      </c>
      <c r="D29" s="17" t="str">
        <f>IFERROR(__xludf.DUMMYFUNCTION("GOOGLETRANSLATE(C29, ""en"", ""hi"")"),"&lt;span style=""font-size: large; font-weight: bold; color:blue;""&gt;रखरखाव का प्रस्ताव करें&lt;/span&gt;")</f>
        <v>&lt;span style="font-size: large; font-weight: bold; color:blue;"&gt;रखरखाव का प्रस्ताव करें&lt;/span&gt;</v>
      </c>
      <c r="E29" s="17" t="str">
        <f>IFERROR(__xludf.DUMMYFUNCTION("GOOGLETRANSLATE(C29, ""en"", ""gu"")"),"&lt;span style=""font-size: large; font-weight: bold; color:blue;""&gt;જાળવણીનો પ્રસ્તાવ મૂકો&lt;/span&gt;")</f>
        <v>&lt;span style="font-size: large; font-weight: bold; color:blue;"&gt;જાળવણીનો પ્રસ્તાવ મૂકો&lt;/span&gt;</v>
      </c>
      <c r="F29" s="17" t="str">
        <f>IFERROR(__xludf.DUMMYFUNCTION("GOOGLETRANSLATE(E29, ""en"", ""kn"")"),"&lt;span style=""font-size: large; font-weight: bold; color:blue;""&gt;ಜಾಳವಣಿನೋ ಪ್ರಾಸ್ತಾವ ಮೂಕೋ&lt;/span&gt;")</f>
        <v>&lt;span style="font-size: large; font-weight: bold; color:blue;"&gt;ಜಾಳವಣಿನೋ ಪ್ರಾಸ್ತಾವ ಮೂಕೋ&lt;/span&gt;</v>
      </c>
      <c r="G29" s="18" t="str">
        <f>IFERROR(__xludf.DUMMYFUNCTION("GOOGLETRANSLATE(C29, ""en"", ""or"")"),"&lt;span style=""font-size: large; font-weight: bold; color:blue;""&gt;ରକ୍ଷଣାବେକ୍ଷଣ ପ୍ରସ୍ତାବ ଦିଅନ୍ତୁ&lt;/span&gt;")</f>
        <v>&lt;span style="font-size: large; font-weight: bold; color:blue;"&gt;ରକ୍ଷଣାବେକ୍ଷଣ ପ୍ରସ୍ତାବ ଦିଅନ୍ତୁ&lt;/span&gt;</v>
      </c>
      <c r="H29" s="13"/>
      <c r="I29" s="13"/>
      <c r="J29" s="13"/>
      <c r="K29" s="13"/>
      <c r="L29" s="13"/>
      <c r="M29" s="13"/>
      <c r="N29" s="13"/>
      <c r="O29" s="13"/>
      <c r="P29" s="13"/>
      <c r="Q29" s="11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</row>
    <row r="30" ht="12.75" customHeight="1">
      <c r="A30" s="14" t="s">
        <v>46</v>
      </c>
      <c r="B30" s="14" t="s">
        <v>121</v>
      </c>
      <c r="C30" s="11" t="s">
        <v>122</v>
      </c>
      <c r="D30" s="11" t="s">
        <v>123</v>
      </c>
      <c r="E30" s="11" t="str">
        <f>IFERROR(__xludf.DUMMYFUNCTION("GOOGLETRANSLATE(D30, ""hi"", ""gu"")"),"શું કૂવાને જાળવણીની જરૂર છે?")</f>
        <v>શું કૂવાને જાળવણીની જરૂર છે?</v>
      </c>
      <c r="F30" s="17" t="s">
        <v>124</v>
      </c>
      <c r="G30" s="18" t="str">
        <f>IFERROR(__xludf.DUMMYFUNCTION("GOOGLETRANSLATE(C30, ""en"", ""or"")"),"କୂପର ରକ୍ଷଣାବେକ୍ଷଣ ଆବଶ୍ୟକ କି?")</f>
        <v>କୂପର ରକ୍ଷଣାବେକ୍ଷଣ ଆବଶ୍ୟକ କି?</v>
      </c>
      <c r="H30" s="13"/>
      <c r="I30" s="13"/>
      <c r="J30" s="13"/>
      <c r="K30" s="13"/>
      <c r="L30" s="13"/>
      <c r="M30" s="13" t="s">
        <v>36</v>
      </c>
      <c r="N30" s="13"/>
      <c r="O30" s="13"/>
      <c r="P30" s="13"/>
      <c r="Q30" s="11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</row>
    <row r="31" ht="12.75" customHeight="1">
      <c r="A31" s="14" t="s">
        <v>125</v>
      </c>
      <c r="B31" s="14" t="s">
        <v>126</v>
      </c>
      <c r="C31" s="11" t="s">
        <v>127</v>
      </c>
      <c r="D31" s="11" t="s">
        <v>128</v>
      </c>
      <c r="E31" s="11" t="str">
        <f>IFERROR(__xludf.DUMMYFUNCTION("GOOGLETRANSLATE(D31, ""hi"", ""gu"")"),"કૂવાના સમારકામના પ્રકારો")</f>
        <v>કૂવાના સમારકામના પ્રકારો</v>
      </c>
      <c r="F31" s="17" t="s">
        <v>129</v>
      </c>
      <c r="G31" s="18" t="str">
        <f>IFERROR(__xludf.DUMMYFUNCTION("GOOGLETRANSLATE(C31, ""en"", ""or"")"),"କୂପରେ କେଉଁ ପ୍ରକାରର ମରାମତି ଆବଶ୍ୟକ")</f>
        <v>କୂପରେ କେଉଁ ପ୍ରକାରର ମରାମତି ଆବଶ୍ୟକ</v>
      </c>
      <c r="H31" s="13"/>
      <c r="I31" s="13"/>
      <c r="J31" s="13"/>
      <c r="K31" s="13"/>
      <c r="L31" s="13"/>
      <c r="M31" s="13" t="s">
        <v>36</v>
      </c>
      <c r="N31" s="13"/>
      <c r="O31" s="13"/>
      <c r="P31" s="13" t="s">
        <v>130</v>
      </c>
      <c r="Q31" s="11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</row>
    <row r="32" ht="15.75" customHeight="1">
      <c r="A32" s="31" t="s">
        <v>131</v>
      </c>
      <c r="B32" s="31" t="s">
        <v>132</v>
      </c>
      <c r="C32" s="32" t="s">
        <v>133</v>
      </c>
      <c r="D32" s="33" t="s">
        <v>134</v>
      </c>
      <c r="E32" s="33" t="s">
        <v>135</v>
      </c>
      <c r="F32" s="33" t="s">
        <v>136</v>
      </c>
      <c r="G32" s="18" t="str">
        <f>IFERROR(__xludf.DUMMYFUNCTION("GOOGLETRANSLATE(C32, ""en"", ""or"")"),"ମାଟିର ପ୍ରକାର")</f>
        <v>ମାଟିର ପ୍ରକାର</v>
      </c>
      <c r="H32" s="34"/>
      <c r="I32" s="34"/>
      <c r="J32" s="34"/>
      <c r="K32" s="34"/>
      <c r="L32" s="34"/>
      <c r="M32" s="35" t="s">
        <v>36</v>
      </c>
      <c r="N32" s="34"/>
      <c r="O32" s="34"/>
      <c r="P32" s="34" t="s">
        <v>137</v>
      </c>
      <c r="Q32" s="32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</row>
    <row r="33" ht="12.75" customHeight="1">
      <c r="A33" s="31" t="s">
        <v>138</v>
      </c>
      <c r="B33" s="31" t="s">
        <v>139</v>
      </c>
      <c r="C33" s="32" t="s">
        <v>140</v>
      </c>
      <c r="D33" s="33" t="s">
        <v>141</v>
      </c>
      <c r="E33" s="33" t="s">
        <v>142</v>
      </c>
      <c r="F33" s="33" t="s">
        <v>143</v>
      </c>
      <c r="G33" s="18" t="str">
        <f>IFERROR(__xludf.DUMMYFUNCTION("GOOGLETRANSLATE(C33, ""en"", ""or"")"),"ସିଲ୍ଟର ପରିମାଣ")</f>
        <v>ସିଲ୍ଟର ପରିମାଣ</v>
      </c>
      <c r="H33" s="34"/>
      <c r="I33" s="34"/>
      <c r="J33" s="34"/>
      <c r="K33" s="34"/>
      <c r="L33" s="34"/>
      <c r="M33" s="35" t="s">
        <v>36</v>
      </c>
      <c r="N33" s="34"/>
      <c r="O33" s="34"/>
      <c r="P33" s="34" t="s">
        <v>137</v>
      </c>
      <c r="Q33" s="32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</row>
    <row r="34" ht="12.75" customHeight="1">
      <c r="A34" s="14" t="s">
        <v>144</v>
      </c>
      <c r="B34" s="14" t="s">
        <v>145</v>
      </c>
      <c r="C34" s="11" t="s">
        <v>146</v>
      </c>
      <c r="D34" s="11" t="s">
        <v>147</v>
      </c>
      <c r="E34" s="11" t="str">
        <f>IFERROR(__xludf.DUMMYFUNCTION("GOOGLETRANSLATE(D34, ""hi"", ""gu"")"),"શું તમે છેલ્લા પાંચ વર્ષમાં પાણીની ગુણવત્તા (સ્પષ્ટતા, સ્વાદ, રંગ) માં કોઈ ફેરફાર જોયો છે?")</f>
        <v>શું તમે છેલ્લા પાંચ વર્ષમાં પાણીની ગુણવત્તા (સ્પષ્ટતા, સ્વાદ, રંગ) માં કોઈ ફેરફાર જોયો છે?</v>
      </c>
      <c r="F34" s="17" t="s">
        <v>148</v>
      </c>
      <c r="G34" s="18" t="str">
        <f>IFERROR(__xludf.DUMMYFUNCTION("GOOGLETRANSLATE(C34, ""en"", ""or"")"),"ଗତ ପାଞ୍ଚ ବର୍ଷ ମଧ୍ୟରେ ଆପଣ ପାଣିର ଗୁଣବତ୍ତା (ସ୍ୱଚ୍ଛତା, ସ୍ୱାଦ, ରଙ୍ଗ)ରେ କୌଣସି ପରିବର୍ତ୍ତନ ଦେଖିଛନ୍ତି କି?
")</f>
        <v>ଗତ ପାଞ୍ଚ ବର୍ଷ ମଧ୍ୟରେ ଆପଣ ପାଣିର ଗୁଣବତ୍ତା (ସ୍ୱଚ୍ଛତା, ସ୍ୱାଦ, ରଙ୍ଗ)ରେ କୌଣସି ପରିବର୍ତ୍ତନ ଦେଖିଛନ୍ତି କି?
</v>
      </c>
      <c r="H34" s="13"/>
      <c r="I34" s="13"/>
      <c r="J34" s="13"/>
      <c r="K34" s="13"/>
      <c r="L34" s="13"/>
      <c r="M34" s="13"/>
      <c r="N34" s="13"/>
      <c r="O34" s="13"/>
      <c r="P34" s="13"/>
      <c r="Q34" s="11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</row>
    <row r="35" ht="12.75" customHeight="1">
      <c r="A35" s="14" t="s">
        <v>149</v>
      </c>
      <c r="B35" s="14" t="s">
        <v>150</v>
      </c>
      <c r="C35" s="11" t="s">
        <v>151</v>
      </c>
      <c r="D35" s="11" t="s">
        <v>152</v>
      </c>
      <c r="E35" s="11" t="str">
        <f>IFERROR(__xludf.DUMMYFUNCTION("GOOGLETRANSLATE(D35, ""hi"", ""gu"")"),"શું તમે ભૂગર્ભજળમાં કોઈ ગંદકી કે ગંદકી જોઈ છે?")</f>
        <v>શું તમે ભૂગર્ભજળમાં કોઈ ગંદકી કે ગંદકી જોઈ છે?</v>
      </c>
      <c r="F35" s="17" t="s">
        <v>153</v>
      </c>
      <c r="G35" s="18" t="str">
        <f>IFERROR(__xludf.DUMMYFUNCTION("GOOGLETRANSLATE(C35, ""en"", ""or"")"),"ଭୂତଳ ଜଳରେ କୌଣସି ଆଖିଦୃଶିଆ ପ୍ରଦୂଷକ କିମ୍ବା ପ୍ରଦୂଷଣ ଅଛି କି?
")</f>
        <v>ଭୂତଳ ଜଳରେ କୌଣସି ଆଖିଦୃଶିଆ ପ୍ରଦୂଷକ କିମ୍ବା ପ୍ରଦୂଷଣ ଅଛି କି?
</v>
      </c>
      <c r="H35" s="13"/>
      <c r="I35" s="13"/>
      <c r="J35" s="13"/>
      <c r="K35" s="13"/>
      <c r="L35" s="13"/>
      <c r="M35" s="13"/>
      <c r="N35" s="13"/>
      <c r="O35" s="13"/>
      <c r="P35" s="13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</row>
    <row r="36" ht="12.75" customHeight="1">
      <c r="A36" s="20" t="s">
        <v>46</v>
      </c>
      <c r="B36" s="20" t="s">
        <v>154</v>
      </c>
      <c r="C36" s="21" t="s">
        <v>155</v>
      </c>
      <c r="D36" s="21" t="s">
        <v>156</v>
      </c>
      <c r="E36" s="21" t="str">
        <f>IFERROR(__xludf.DUMMYFUNCTION("GOOGLETRANSLATE(D36, ""hi"", ""gu"")"),"શું તમારા કૂવાની નજીક કોઈ વરસાદી પાણીનો સંગ્રહ અથવા ભૂગર્ભજળ રિચાર્જ માળખાં (દા.ત., તળાવ, ચેકડેમ) છે?")</f>
        <v>શું તમારા કૂવાની નજીક કોઈ વરસાદી પાણીનો સંગ્રહ અથવા ભૂગર્ભજળ રિચાર્જ માળખાં (દા.ત., તળાવ, ચેકડેમ) છે?</v>
      </c>
      <c r="F36" s="24" t="s">
        <v>157</v>
      </c>
      <c r="G36" s="18" t="str">
        <f>IFERROR(__xludf.DUMMYFUNCTION("GOOGLETRANSLATE(C36, ""en"", ""or"")"),"ଆପଣଙ୍କ କୂଅ ପାଖରେ ବର୍ଷାଜଳ ଅମଳ କିମ୍ବା ଭୂତଳଜଳ ପୁନଃଚାର୍ଜ ପାଇଁ କୌଣସି ଢାଞ୍ଚା (ଯଥା, ପୋଖରୀ, ଚେକ୍ ଡ୍ୟାମ୍) ଅଛି କି?")</f>
        <v>ଆପଣଙ୍କ କୂଅ ପାଖରେ ବର୍ଷାଜଳ ଅମଳ କିମ୍ବା ଭୂତଳଜଳ ପୁନଃଚାର୍ଜ ପାଇଁ କୌଣସି ଢାଞ୍ଚା (ଯଥା, ପୋଖରୀ, ଚେକ୍ ଡ୍ୟାମ୍) ଅଛି କି?</v>
      </c>
      <c r="H36" s="22"/>
      <c r="I36" s="22"/>
      <c r="J36" s="22"/>
      <c r="K36" s="22"/>
      <c r="L36" s="22"/>
      <c r="M36" s="22"/>
      <c r="N36" s="22"/>
      <c r="O36" s="22"/>
      <c r="P36" s="22"/>
      <c r="Q36" s="21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ht="12.75" customHeight="1">
      <c r="A37" s="14" t="s">
        <v>158</v>
      </c>
      <c r="B37" s="14" t="s">
        <v>159</v>
      </c>
      <c r="C37" s="11" t="s">
        <v>160</v>
      </c>
      <c r="D37" s="11" t="s">
        <v>161</v>
      </c>
      <c r="E37" s="11" t="s">
        <v>162</v>
      </c>
      <c r="F37" s="12" t="s">
        <v>163</v>
      </c>
      <c r="G37" s="18" t="str">
        <f>IFERROR(__xludf.DUMMYFUNCTION("GOOGLETRANSLATE(C37, ""en"", ""or"")"),"ଗତ 5 ବର୍ଷ ମଧ୍ୟରେ ଏହି କୂପର ଗଭୀରତାରେ କିଛି ପରିବର୍ତ୍ତନ ପରିଲକ୍ଷିତ ହୋଇଛି କି?")</f>
        <v>ଗତ 5 ବର୍ଷ ମଧ୍ୟରେ ଏହି କୂପର ଗଭୀରତାରେ କିଛି ପରିବର୍ତ୍ତନ ପରିଲକ୍ଷିତ ହୋଇଛି କି?</v>
      </c>
      <c r="H37" s="13"/>
      <c r="I37" s="13"/>
      <c r="J37" s="13"/>
      <c r="K37" s="13"/>
      <c r="L37" s="13"/>
      <c r="M37" s="13"/>
      <c r="N37" s="13"/>
      <c r="O37" s="13"/>
      <c r="P37" s="13"/>
      <c r="Q37" s="11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</row>
    <row r="38" ht="12.75" customHeight="1">
      <c r="A38" s="14" t="s">
        <v>164</v>
      </c>
      <c r="B38" s="14"/>
      <c r="C38" s="11"/>
      <c r="D38" s="11"/>
      <c r="E38" s="11"/>
      <c r="F38" s="12"/>
      <c r="G38" s="18"/>
      <c r="H38" s="13"/>
      <c r="I38" s="13"/>
      <c r="J38" s="13"/>
      <c r="K38" s="13"/>
      <c r="L38" s="13"/>
      <c r="M38" s="13"/>
      <c r="N38" s="13"/>
      <c r="O38" s="13"/>
      <c r="P38" s="13"/>
      <c r="Q38" s="11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</row>
    <row r="39" ht="12.75" customHeight="1">
      <c r="A39" s="14"/>
      <c r="B39" s="14"/>
      <c r="C39" s="11"/>
      <c r="D39" s="11"/>
      <c r="E39" s="11"/>
      <c r="F39" s="12"/>
      <c r="G39" s="18"/>
      <c r="H39" s="13"/>
      <c r="I39" s="13"/>
      <c r="J39" s="13"/>
      <c r="K39" s="13"/>
      <c r="L39" s="13"/>
      <c r="M39" s="13"/>
      <c r="N39" s="13"/>
      <c r="O39" s="13"/>
      <c r="P39" s="13"/>
      <c r="Q39" s="11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</row>
    <row r="40" ht="12.75" customHeight="1">
      <c r="A40" s="14"/>
      <c r="B40" s="14"/>
      <c r="C40" s="11"/>
      <c r="D40" s="11"/>
      <c r="E40" s="11"/>
      <c r="F40" s="12"/>
      <c r="G40" s="18"/>
      <c r="H40" s="13"/>
      <c r="I40" s="13"/>
      <c r="J40" s="13"/>
      <c r="K40" s="13"/>
      <c r="L40" s="13"/>
      <c r="M40" s="13"/>
      <c r="N40" s="13"/>
      <c r="O40" s="13"/>
      <c r="P40" s="13"/>
      <c r="Q40" s="11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</row>
    <row r="41" ht="13.5" customHeight="1">
      <c r="A41" s="19" t="s">
        <v>165</v>
      </c>
      <c r="B41" s="19" t="s">
        <v>166</v>
      </c>
      <c r="C41" s="11" t="s">
        <v>167</v>
      </c>
      <c r="D41" s="11" t="s">
        <v>168</v>
      </c>
      <c r="E41" s="11" t="str">
        <f>IFERROR(__xludf.DUMMYFUNCTION("GOOGLETRANSLATE(D41, ""hi"", ""gu"")"),"વિસ્તારનો ફોટો")</f>
        <v>વિસ્તારનો ફોટો</v>
      </c>
      <c r="F41" s="17" t="s">
        <v>169</v>
      </c>
      <c r="G41" s="18" t="str">
        <f>IFERROR(__xludf.DUMMYFUNCTION("GOOGLETRANSLATE(C41, ""en"", ""or"")"),"ଅଞ୍ଚଳର ଫଟୋ")</f>
        <v>ଅଞ୍ଚଳର ଫଟୋ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 t="s">
        <v>170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3.5" customHeight="1">
      <c r="A42" s="36" t="s">
        <v>171</v>
      </c>
      <c r="B42" s="36" t="s">
        <v>172</v>
      </c>
      <c r="C42" s="28" t="s">
        <v>173</v>
      </c>
      <c r="D42" s="28" t="s">
        <v>174</v>
      </c>
      <c r="E42" s="28" t="str">
        <f>IFERROR(__xludf.DUMMYFUNCTION("GOOGLETRANSLATE(D42, ""hi"", ""gu"")"),"આ સ્થાન પર રિચાર્જ સ્ટ્રક્ચરને જાળવણીની જરૂર કેમ છે તે સમજાવતો સંદેશ રેકોર્ડ કરો.")</f>
        <v>આ સ્થાન પર રિચાર્જ સ્ટ્રક્ચરને જાળવણીની જરૂર કેમ છે તે સમજાવતો સંદેશ રેકોર્ડ કરો.</v>
      </c>
      <c r="F42" s="29" t="s">
        <v>175</v>
      </c>
      <c r="G42" s="18" t="str">
        <f>IFERROR(__xludf.DUMMYFUNCTION("GOOGLETRANSLATE(C42, ""en"", ""or"")"),"ଏହି ସ୍ଥାନରେ ରିଚାର୍ଜ ଷ୍ଟ୍ରକ୍ଚରର ରକ୍ଷଣାବେକ୍ଷଣର ଆବଶ୍ୟକତାକୁ ଯଥାର୍ଥ କରି ଏକ ବାର୍ତ୍ତା ରେକର୍ଡ କରନ୍ତୁ -")</f>
        <v>ଏହି ସ୍ଥାନରେ ରିଚାର୍ଜ ଷ୍ଟ୍ରକ୍ଚରର ରକ୍ଷଣାବେକ୍ଷଣର ଆବଶ୍ୟକତାକୁ ଯଥାର୍ଥ କରି ଏକ ବାର୍ତ୍ତା ରେକର୍ଡ କରନ୍ତୁ -</v>
      </c>
      <c r="H42" s="28"/>
      <c r="I42" s="28"/>
      <c r="J42" s="28"/>
      <c r="K42" s="28"/>
      <c r="L42" s="28"/>
      <c r="M42" s="37"/>
      <c r="N42" s="28"/>
      <c r="O42" s="28"/>
      <c r="P42" s="28" t="s">
        <v>106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ht="13.5" customHeight="1">
      <c r="A43" s="36" t="s">
        <v>30</v>
      </c>
      <c r="B43" s="36" t="s">
        <v>176</v>
      </c>
      <c r="C43" s="28" t="s">
        <v>177</v>
      </c>
      <c r="D43" s="28" t="s">
        <v>178</v>
      </c>
      <c r="E43" s="28" t="str">
        <f>IFERROR(__xludf.DUMMYFUNCTION("GOOGLETRANSLATE(D43, ""hi"", ""gu"")"),"જો તમે રેકોર્ડ કરી શકતા નથી, તો આ સ્થાન પર રિચાર્જ સ્ટ્રક્ચર જાળવવાની જરૂરિયાતનું કારણ લખો.")</f>
        <v>જો તમે રેકોર્ડ કરી શકતા નથી, તો આ સ્થાન પર રિચાર્જ સ્ટ્રક્ચર જાળવવાની જરૂરિયાતનું કારણ લખો.</v>
      </c>
      <c r="F43" s="29" t="s">
        <v>179</v>
      </c>
      <c r="G43" s="18" t="str">
        <f>IFERROR(__xludf.DUMMYFUNCTION("GOOGLETRANSLATE(C43, ""en"", ""or"")"),"ଯଦି ଆପଣ ରେକର୍ଡ କରିପାରିବେ ନାହିଁ, ତେବେ ଏହି ସ୍ଥାନରେ ରିଚାର୍ଜ ଷ୍ଟ୍ରକଚରର ରକ୍ଷଣାବେକ୍ଷଣର ଆବଶ୍ୟକତାର ଯଥାର୍ଥତା ଲେଖନ୍ତୁ।")</f>
        <v>ଯଦି ଆପଣ ରେକର୍ଡ କରିପାରିବେ ନାହିଁ, ତେବେ ଏହି ସ୍ଥାନରେ ରିଚାର୍ଜ ଷ୍ଟ୍ରକଚରର ରକ୍ଷଣାବେକ୍ଷଣର ଆବଶ୍ୟକତାର ଯଥାର୍ଥତା ଲେଖନ୍ତୁ।</v>
      </c>
      <c r="H43" s="28"/>
      <c r="I43" s="28"/>
      <c r="J43" s="28"/>
      <c r="K43" s="28"/>
      <c r="L43" s="28"/>
      <c r="M43" s="37"/>
      <c r="N43" s="28"/>
      <c r="O43" s="28"/>
      <c r="P43" s="28" t="s">
        <v>106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ht="12.75" customHeight="1">
      <c r="A44" s="14"/>
      <c r="B44" s="14"/>
      <c r="C44" s="11"/>
      <c r="D44" s="11"/>
      <c r="E44" s="11"/>
      <c r="F44" s="12"/>
      <c r="G44" s="18"/>
      <c r="H44" s="13"/>
      <c r="I44" s="13"/>
      <c r="J44" s="13"/>
      <c r="K44" s="13"/>
      <c r="L44" s="13"/>
      <c r="M44" s="13"/>
      <c r="N44" s="13"/>
      <c r="O44" s="13"/>
      <c r="P44" s="13"/>
      <c r="Q44" s="11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</row>
    <row r="45" ht="13.5" customHeight="1">
      <c r="A45" s="38"/>
      <c r="B45" s="38"/>
      <c r="C45" s="39"/>
      <c r="D45" s="39"/>
      <c r="E45" s="11"/>
      <c r="F45" s="12"/>
      <c r="G45" s="18"/>
      <c r="H45" s="39"/>
      <c r="I45" s="39"/>
      <c r="J45" s="39"/>
      <c r="K45" s="39"/>
      <c r="L45" s="39"/>
      <c r="M45" s="40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</row>
    <row r="46" ht="12.75" customHeight="1">
      <c r="A46" s="15" t="s">
        <v>27</v>
      </c>
      <c r="B46" s="15" t="s">
        <v>180</v>
      </c>
      <c r="C46" s="16" t="s">
        <v>181</v>
      </c>
      <c r="D46" s="17" t="s">
        <v>182</v>
      </c>
      <c r="E46" s="11" t="str">
        <f>IFERROR(__xludf.DUMMYFUNCTION("GOOGLETRANSLATE(D46, ""hi"", ""gu"")"),"&lt;span style=""font-size: large; font-weight: bold; color:red;""&gt;આનાથી આગળ કંઈપણ બદલશો નહીં&lt;/span&gt;")</f>
        <v>&lt;span style="font-size: large; font-weight: bold; color:red;"&gt;આનાથી આગળ કંઈપણ બદલશો નહીં&lt;/span&gt;</v>
      </c>
      <c r="F46" s="17" t="s">
        <v>183</v>
      </c>
      <c r="G46" s="18" t="str">
        <f>IFERROR(__xludf.DUMMYFUNCTION("GOOGLETRANSLATE(C46, ""en"", ""or"")"),"&lt;span style=""font-size: large; font-weight: bold; color:red;""&gt; ଏହି ବିନ୍ଦୁ ବ୍ୟତୀତ ଅନ୍ୟ କିଛି ପରିବର୍ତ୍ତନ କରନ୍ତୁ ନାହିଁ&lt;/span&gt;")</f>
        <v>&lt;span style="font-size: large; font-weight: bold; color:red;"&gt; ଏହି ବିନ୍ଦୁ ବ୍ୟତୀତ ଅନ୍ୟ କିଛି ପରିବର୍ତ୍ତନ କରନ୍ତୁ ନାହିଁ&lt;/span&gt;</v>
      </c>
      <c r="H46" s="41"/>
      <c r="I46" s="41"/>
      <c r="J46" s="41"/>
      <c r="K46" s="41"/>
      <c r="L46" s="41"/>
      <c r="M46" s="41"/>
      <c r="N46" s="41"/>
      <c r="O46" s="41"/>
      <c r="P46" s="41"/>
      <c r="Q46" s="16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</row>
    <row r="47" ht="12.75" customHeight="1">
      <c r="A47" s="14" t="s">
        <v>96</v>
      </c>
      <c r="B47" s="14" t="s">
        <v>184</v>
      </c>
      <c r="C47" s="17" t="s">
        <v>185</v>
      </c>
      <c r="D47" s="41" t="s">
        <v>186</v>
      </c>
      <c r="E47" s="17" t="str">
        <f>IFERROR(__xludf.DUMMYFUNCTION("GOOGLETRANSLATE(D47, ""hi"", ""gu"")"),"અક્ષાંશ રેખાંશ")</f>
        <v>અક્ષાંશ રેખાંશ</v>
      </c>
      <c r="F47" s="17" t="s">
        <v>187</v>
      </c>
      <c r="G47" s="18" t="str">
        <f>IFERROR(__xludf.DUMMYFUNCTION("GOOGLETRANSLATE(C47, ""en"", ""or"")"),"ଅକ୍ଷାଂଶ/ଲୋନ")</f>
        <v>ଅକ୍ଷାଂଶ/ଲୋନ</v>
      </c>
      <c r="H47" s="13"/>
      <c r="I47" s="13"/>
      <c r="J47" s="13"/>
      <c r="K47" s="13"/>
      <c r="L47" s="13" t="s">
        <v>188</v>
      </c>
      <c r="M47" s="13"/>
      <c r="N47" s="13"/>
      <c r="O47" s="13"/>
      <c r="P47" s="13"/>
      <c r="Q47" s="11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</row>
    <row r="48" ht="12.75" customHeight="1">
      <c r="A48" s="42" t="s">
        <v>27</v>
      </c>
      <c r="B48" s="15" t="s">
        <v>189</v>
      </c>
      <c r="C48" s="17" t="s">
        <v>190</v>
      </c>
      <c r="D48" s="16" t="s">
        <v>191</v>
      </c>
      <c r="E48" s="11" t="str">
        <f>IFERROR(__xludf.DUMMYFUNCTION("GOOGLETRANSLATE(D48, ""hi"", ""gu"")"),"&lt;span style=""color:red""&gt;કૃપા કરીને નીચેના નકશામાં ભટકશો નહીં&lt;/span&gt;")</f>
        <v>&lt;span style="color:red"&gt;કૃપા કરીને નીચેના નકશામાં ભટકશો નહીં&lt;/span&gt;</v>
      </c>
      <c r="F48" s="17" t="s">
        <v>192</v>
      </c>
      <c r="G48" s="18" t="str">
        <f>IFERROR(__xludf.DUMMYFUNCTION("GOOGLETRANSLATE(C48, ""en"", ""or"")"),"&lt;span style=""color:red""&gt;ଦୟାକରି ତଳେ ଥିବା ମାନଚିତ୍ରରେ ଏଣେତେଣେ ବୁଲି ଦେଖନ୍ତୁ ନାହିଁ&lt;/span&gt;")</f>
        <v>&lt;span style="color:red"&gt;ଦୟାକରି ତଳେ ଥିବା ମାନଚିତ୍ରରେ ଏଣେତେଣେ ବୁଲି ଦେଖନ୍ତୁ ନାହିଁ&lt;/span&gt;</v>
      </c>
      <c r="H48" s="41"/>
      <c r="I48" s="41"/>
      <c r="J48" s="41"/>
      <c r="K48" s="41"/>
      <c r="L48" s="41"/>
      <c r="M48" s="41"/>
      <c r="N48" s="41"/>
      <c r="O48" s="41"/>
      <c r="P48" s="41"/>
      <c r="Q48" s="16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</row>
    <row r="49" ht="12.75" customHeight="1">
      <c r="A49" s="14" t="s">
        <v>193</v>
      </c>
      <c r="B49" s="14" t="s">
        <v>194</v>
      </c>
      <c r="C49" s="17"/>
      <c r="D49" s="41"/>
      <c r="E49" s="11"/>
      <c r="F49" s="12"/>
      <c r="G49" s="18"/>
      <c r="H49" s="17" t="s">
        <v>193</v>
      </c>
      <c r="I49" s="17" t="s">
        <v>195</v>
      </c>
      <c r="J49" s="17" t="str">
        <f>IFERROR(__xludf.DUMMYFUNCTION("GOOGLETRANSLATE(H49, ""en"", ""gu"")"),"જીઓપોઇન્ટ")</f>
        <v>જીઓપોઇન્ટ</v>
      </c>
      <c r="K49" s="17" t="str">
        <f>IFERROR(__xludf.DUMMYFUNCTION("GOOGLETRANSLATE(H49, ""en"", ""kn"")"),"ಜಿಯೋಪಾಯಿಂಟ್")</f>
        <v>ಜಿಯೋಪಾಯಿಂಟ್</v>
      </c>
      <c r="L49" s="13" t="s">
        <v>196</v>
      </c>
      <c r="M49" s="13" t="s">
        <v>36</v>
      </c>
      <c r="N49" s="13"/>
      <c r="O49" s="13"/>
      <c r="P49" s="13"/>
      <c r="Q49" s="11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</row>
    <row r="50" ht="12.75" customHeight="1">
      <c r="A50" s="14" t="s">
        <v>164</v>
      </c>
      <c r="B50" s="14"/>
      <c r="C50" s="11"/>
      <c r="D50" s="11"/>
      <c r="E50" s="11"/>
      <c r="F50" s="12"/>
      <c r="G50" s="18"/>
      <c r="H50" s="13"/>
      <c r="I50" s="13"/>
      <c r="J50" s="13"/>
      <c r="K50" s="13"/>
      <c r="L50" s="13"/>
      <c r="M50" s="13"/>
      <c r="N50" s="13"/>
      <c r="O50" s="13"/>
      <c r="P50" s="13"/>
      <c r="Q50" s="11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</row>
    <row r="51" ht="12.75" customHeight="1">
      <c r="A51" s="42"/>
      <c r="B51" s="42"/>
      <c r="C51" s="17"/>
      <c r="D51" s="16"/>
      <c r="E51" s="11"/>
      <c r="F51" s="12"/>
      <c r="G51" s="18"/>
      <c r="H51" s="41"/>
      <c r="I51" s="41"/>
      <c r="J51" s="41"/>
      <c r="K51" s="41"/>
      <c r="L51" s="41"/>
      <c r="M51" s="41"/>
      <c r="N51" s="41"/>
      <c r="O51" s="41"/>
      <c r="P51" s="41"/>
      <c r="Q51" s="16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</row>
    <row r="52" ht="12.75" customHeight="1">
      <c r="A52" s="14" t="s">
        <v>30</v>
      </c>
      <c r="B52" s="19" t="s">
        <v>197</v>
      </c>
      <c r="C52" s="11" t="s">
        <v>198</v>
      </c>
      <c r="D52" s="11" t="s">
        <v>199</v>
      </c>
      <c r="E52" s="11" t="str">
        <f>IFERROR(__xludf.DUMMYFUNCTION("GOOGLETRANSLATE(D52, ""hi"", ""gu"")"),"બ્લોકનું નામ")</f>
        <v>બ્લોકનું નામ</v>
      </c>
      <c r="F52" s="17" t="s">
        <v>200</v>
      </c>
      <c r="G52" s="18" t="str">
        <f>IFERROR(__xludf.DUMMYFUNCTION("GOOGLETRANSLATE(C52, ""en"", ""or"")"),"ବ୍ଲକ୍ ନାମ")</f>
        <v>ବ୍ଲକ୍ ନାମ</v>
      </c>
      <c r="H52" s="13"/>
      <c r="I52" s="13"/>
      <c r="J52" s="13"/>
      <c r="K52" s="13"/>
      <c r="L52" s="13"/>
      <c r="M52" s="13"/>
      <c r="N52" s="13"/>
      <c r="O52" s="13"/>
      <c r="P52" s="13"/>
      <c r="Q52" s="11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</row>
    <row r="53" ht="12.75" customHeight="1">
      <c r="A53" s="19" t="s">
        <v>30</v>
      </c>
      <c r="B53" s="19" t="s">
        <v>201</v>
      </c>
      <c r="C53" s="11" t="s">
        <v>202</v>
      </c>
      <c r="D53" s="11" t="s">
        <v>203</v>
      </c>
      <c r="E53" s="11" t="str">
        <f>IFERROR(__xludf.DUMMYFUNCTION("GOOGLETRANSLATE(D53, ""hi"", ""gu"")"),"સ્કીમ આઈડી")</f>
        <v>સ્કીમ આઈડી</v>
      </c>
      <c r="F53" s="17" t="s">
        <v>204</v>
      </c>
      <c r="G53" s="18" t="str">
        <f>IFERROR(__xludf.DUMMYFUNCTION("GOOGLETRANSLATE(C53, ""en"", ""or"")"),"ପ୍ଲାନ୍ ID")</f>
        <v>ପ୍ଲାନ୍ ID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2.75" customHeight="1">
      <c r="A54" s="19" t="s">
        <v>30</v>
      </c>
      <c r="B54" s="19" t="s">
        <v>205</v>
      </c>
      <c r="C54" s="11" t="s">
        <v>206</v>
      </c>
      <c r="D54" s="11" t="s">
        <v>207</v>
      </c>
      <c r="E54" s="11" t="str">
        <f>IFERROR(__xludf.DUMMYFUNCTION("GOOGLETRANSLATE(D54, ""hi"", ""gu"")"),"યોજનાનું નામ")</f>
        <v>યોજનાનું નામ</v>
      </c>
      <c r="F54" s="17" t="s">
        <v>208</v>
      </c>
      <c r="G54" s="18" t="str">
        <f>IFERROR(__xludf.DUMMYFUNCTION("GOOGLETRANSLATE(C54, ""en"", ""or"")"),"ଯୋଜନାର ନାମ")</f>
        <v>ଯୋଜନାର ନାମ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2.75" customHeight="1">
      <c r="A55" s="42" t="s">
        <v>30</v>
      </c>
      <c r="B55" s="42" t="s">
        <v>209</v>
      </c>
      <c r="C55" s="17" t="s">
        <v>210</v>
      </c>
      <c r="D55" s="16" t="s">
        <v>211</v>
      </c>
      <c r="E55" s="11" t="str">
        <f>IFERROR(__xludf.DUMMYFUNCTION("GOOGLETRANSLATE(D55, ""hi"", ""gu"")"),"વપરાશકર્તાનું વર્તમાન સ્થાન")</f>
        <v>વપરાશકર્તાનું વર્તમાન સ્થાન</v>
      </c>
      <c r="F55" s="17" t="s">
        <v>212</v>
      </c>
      <c r="G55" s="18" t="str">
        <f>IFERROR(__xludf.DUMMYFUNCTION("GOOGLETRANSLATE(C55, ""en"", ""or"")"),"ଉପଯୋଗକର୍ତ୍ତାଙ୍କ ବର୍ତ୍ତମାନର ସ୍ଥାନ")</f>
        <v>ଉପଯୋଗକର୍ତ୍ତାଙ୍କ ବର୍ତ୍ତମାନର ସ୍ଥାନ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</row>
    <row r="56" ht="12.75" customHeight="1">
      <c r="A56" s="14"/>
      <c r="B56" s="14"/>
      <c r="C56" s="11"/>
      <c r="D56" s="11"/>
      <c r="E56" s="11"/>
      <c r="F56" s="12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1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</row>
    <row r="57" ht="12.75" customHeight="1">
      <c r="A57" s="14"/>
      <c r="B57" s="14"/>
      <c r="C57" s="11"/>
      <c r="D57" s="11"/>
      <c r="E57" s="11"/>
      <c r="F57" s="12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1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</row>
    <row r="58" ht="12.75" customHeight="1">
      <c r="A58" s="14"/>
      <c r="B58" s="14"/>
      <c r="C58" s="11"/>
      <c r="D58" s="11"/>
      <c r="E58" s="11"/>
      <c r="F58" s="1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1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</row>
    <row r="59" ht="12.75" customHeight="1">
      <c r="A59" s="43" t="s">
        <v>96</v>
      </c>
      <c r="B59" s="43" t="s">
        <v>213</v>
      </c>
      <c r="C59" s="44" t="s">
        <v>214</v>
      </c>
      <c r="D59" s="44"/>
      <c r="E59" s="44"/>
      <c r="F59" s="12"/>
      <c r="G59" s="45"/>
      <c r="H59" s="45"/>
      <c r="I59" s="45"/>
      <c r="J59" s="45"/>
      <c r="K59" s="45"/>
      <c r="L59" s="45"/>
      <c r="M59" s="45"/>
      <c r="N59" s="45"/>
      <c r="O59" s="45"/>
      <c r="P59" s="45" t="s">
        <v>106</v>
      </c>
      <c r="Q59" s="44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</row>
    <row r="60" ht="12.75" customHeight="1">
      <c r="A60" s="43" t="s">
        <v>46</v>
      </c>
      <c r="B60" s="43" t="s">
        <v>215</v>
      </c>
      <c r="C60" s="44" t="s">
        <v>122</v>
      </c>
      <c r="D60" s="44"/>
      <c r="E60" s="44"/>
      <c r="F60" s="12"/>
      <c r="G60" s="45"/>
      <c r="H60" s="45"/>
      <c r="I60" s="45"/>
      <c r="J60" s="45"/>
      <c r="K60" s="45"/>
      <c r="L60" s="45"/>
      <c r="M60" s="45"/>
      <c r="N60" s="45"/>
      <c r="O60" s="45"/>
      <c r="P60" s="45" t="s">
        <v>106</v>
      </c>
      <c r="Q60" s="44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</row>
    <row r="61" ht="12.75" customHeight="1">
      <c r="A61" s="43" t="s">
        <v>125</v>
      </c>
      <c r="B61" s="43" t="s">
        <v>216</v>
      </c>
      <c r="C61" s="44" t="s">
        <v>217</v>
      </c>
      <c r="D61" s="44"/>
      <c r="E61" s="44"/>
      <c r="F61" s="12"/>
      <c r="G61" s="45"/>
      <c r="H61" s="45"/>
      <c r="I61" s="45"/>
      <c r="J61" s="45"/>
      <c r="K61" s="45"/>
      <c r="L61" s="45"/>
      <c r="M61" s="45"/>
      <c r="N61" s="45"/>
      <c r="O61" s="45"/>
      <c r="P61" s="45" t="s">
        <v>106</v>
      </c>
      <c r="Q61" s="44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</row>
    <row r="62" ht="12.75" customHeight="1">
      <c r="A62" s="43" t="s">
        <v>164</v>
      </c>
      <c r="B62" s="43"/>
      <c r="C62" s="44"/>
      <c r="D62" s="44"/>
      <c r="E62" s="44"/>
      <c r="F62" s="12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4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</row>
    <row r="63" ht="12.75" customHeight="1">
      <c r="A63" s="14"/>
      <c r="B63" s="14"/>
      <c r="C63" s="11"/>
      <c r="D63" s="11"/>
      <c r="E63" s="11"/>
      <c r="F63" s="12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1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</row>
    <row r="64" ht="12.75" customHeight="1">
      <c r="A64" s="14"/>
      <c r="B64" s="14"/>
      <c r="C64" s="11"/>
      <c r="D64" s="11"/>
      <c r="E64" s="11"/>
      <c r="F64" s="12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1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</row>
    <row r="65" ht="12.75" customHeight="1">
      <c r="A65" s="14"/>
      <c r="B65" s="14"/>
      <c r="C65" s="11"/>
      <c r="D65" s="11"/>
      <c r="E65" s="11"/>
      <c r="F65" s="12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1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</row>
    <row r="66" ht="12.75" customHeight="1">
      <c r="A66" s="14"/>
      <c r="B66" s="14"/>
      <c r="C66" s="11"/>
      <c r="D66" s="11"/>
      <c r="E66" s="11"/>
      <c r="F66" s="12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1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</row>
    <row r="67" ht="12.75" customHeight="1">
      <c r="A67" s="14"/>
      <c r="B67" s="14"/>
      <c r="C67" s="11"/>
      <c r="D67" s="11"/>
      <c r="E67" s="11"/>
      <c r="F67" s="12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1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</row>
    <row r="68" ht="12.75" customHeight="1">
      <c r="A68" s="14"/>
      <c r="B68" s="14"/>
      <c r="C68" s="11"/>
      <c r="D68" s="11"/>
      <c r="E68" s="11"/>
      <c r="F68" s="12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1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</row>
    <row r="69" ht="12.75" customHeight="1">
      <c r="A69" s="14"/>
      <c r="B69" s="14"/>
      <c r="C69" s="11"/>
      <c r="D69" s="11"/>
      <c r="E69" s="11"/>
      <c r="F69" s="12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1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</row>
    <row r="70" ht="12.75" customHeight="1">
      <c r="A70" s="14"/>
      <c r="B70" s="14"/>
      <c r="C70" s="11"/>
      <c r="D70" s="11"/>
      <c r="E70" s="11"/>
      <c r="F70" s="12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1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</row>
    <row r="71" ht="12.75" customHeight="1">
      <c r="A71" s="14"/>
      <c r="B71" s="14"/>
      <c r="C71" s="11"/>
      <c r="D71" s="11"/>
      <c r="E71" s="11"/>
      <c r="F71" s="1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1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</row>
    <row r="72" ht="12.75" customHeight="1">
      <c r="A72" s="14"/>
      <c r="B72" s="14"/>
      <c r="C72" s="11"/>
      <c r="D72" s="11"/>
      <c r="E72" s="11"/>
      <c r="F72" s="1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1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</row>
    <row r="73" ht="12.75" customHeight="1">
      <c r="A73" s="14"/>
      <c r="B73" s="14"/>
      <c r="C73" s="11"/>
      <c r="D73" s="11"/>
      <c r="E73" s="11"/>
      <c r="F73" s="1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1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ht="12.75" customHeight="1">
      <c r="A74" s="14"/>
      <c r="B74" s="14"/>
      <c r="C74" s="11"/>
      <c r="D74" s="11"/>
      <c r="E74" s="11"/>
      <c r="F74" s="12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1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ht="12.75" customHeight="1">
      <c r="A75" s="14"/>
      <c r="B75" s="14"/>
      <c r="C75" s="11"/>
      <c r="D75" s="11"/>
      <c r="E75" s="11"/>
      <c r="F75" s="12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1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</row>
    <row r="76" ht="12.75" customHeight="1">
      <c r="A76" s="14"/>
      <c r="B76" s="14"/>
      <c r="C76" s="11"/>
      <c r="D76" s="11"/>
      <c r="E76" s="11"/>
      <c r="F76" s="12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1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</row>
    <row r="77" ht="12.75" customHeight="1">
      <c r="A77" s="14"/>
      <c r="B77" s="14"/>
      <c r="C77" s="11"/>
      <c r="D77" s="11"/>
      <c r="E77" s="11"/>
      <c r="F77" s="12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1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</row>
    <row r="78" ht="12.75" customHeight="1">
      <c r="A78" s="14"/>
      <c r="B78" s="14"/>
      <c r="C78" s="11"/>
      <c r="D78" s="11"/>
      <c r="E78" s="11"/>
      <c r="F78" s="12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1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</row>
    <row r="79" ht="12.75" customHeight="1">
      <c r="A79" s="14"/>
      <c r="B79" s="14"/>
      <c r="C79" s="11"/>
      <c r="D79" s="11"/>
      <c r="E79" s="11"/>
      <c r="F79" s="12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1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</row>
    <row r="80" ht="12.75" customHeight="1">
      <c r="A80" s="14"/>
      <c r="B80" s="14"/>
      <c r="C80" s="11"/>
      <c r="D80" s="11"/>
      <c r="E80" s="11"/>
      <c r="F80" s="12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1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</row>
    <row r="81" ht="12.75" customHeight="1">
      <c r="A81" s="14"/>
      <c r="B81" s="14"/>
      <c r="C81" s="11"/>
      <c r="D81" s="11"/>
      <c r="E81" s="11"/>
      <c r="F81" s="12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1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ht="12.75" customHeight="1">
      <c r="A82" s="14"/>
      <c r="B82" s="14"/>
      <c r="C82" s="11"/>
      <c r="D82" s="11"/>
      <c r="E82" s="11"/>
      <c r="F82" s="12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1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ht="12.75" customHeight="1">
      <c r="A83" s="14"/>
      <c r="B83" s="14"/>
      <c r="C83" s="11"/>
      <c r="D83" s="11"/>
      <c r="E83" s="11"/>
      <c r="F83" s="12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1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</row>
    <row r="84" ht="12.75" customHeight="1">
      <c r="A84" s="14"/>
      <c r="B84" s="14"/>
      <c r="C84" s="11"/>
      <c r="D84" s="11"/>
      <c r="E84" s="11"/>
      <c r="F84" s="12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1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</row>
    <row r="85" ht="12.75" customHeight="1">
      <c r="A85" s="14"/>
      <c r="B85" s="14"/>
      <c r="C85" s="11"/>
      <c r="D85" s="11"/>
      <c r="E85" s="11"/>
      <c r="F85" s="12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1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</row>
    <row r="86" ht="12.75" customHeight="1">
      <c r="A86" s="14"/>
      <c r="B86" s="14"/>
      <c r="C86" s="11"/>
      <c r="D86" s="11"/>
      <c r="E86" s="11"/>
      <c r="F86" s="12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1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</row>
    <row r="87" ht="12.75" customHeight="1">
      <c r="A87" s="14"/>
      <c r="B87" s="14"/>
      <c r="C87" s="11"/>
      <c r="D87" s="11"/>
      <c r="E87" s="11"/>
      <c r="F87" s="12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1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  <row r="88" ht="12.75" customHeight="1">
      <c r="A88" s="14"/>
      <c r="B88" s="14"/>
      <c r="C88" s="11"/>
      <c r="D88" s="11"/>
      <c r="E88" s="11"/>
      <c r="F88" s="12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1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</row>
    <row r="89" ht="12.75" customHeight="1">
      <c r="A89" s="14"/>
      <c r="B89" s="14"/>
      <c r="C89" s="11"/>
      <c r="D89" s="11"/>
      <c r="E89" s="11"/>
      <c r="F89" s="12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1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ht="12.75" customHeight="1">
      <c r="A90" s="14"/>
      <c r="B90" s="14"/>
      <c r="C90" s="11"/>
      <c r="D90" s="11"/>
      <c r="E90" s="11"/>
      <c r="F90" s="12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1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ht="12.75" customHeight="1">
      <c r="A91" s="14"/>
      <c r="B91" s="14"/>
      <c r="C91" s="11"/>
      <c r="D91" s="11"/>
      <c r="E91" s="11"/>
      <c r="F91" s="1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1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</row>
    <row r="92" ht="12.75" customHeight="1">
      <c r="A92" s="14"/>
      <c r="B92" s="14"/>
      <c r="C92" s="11"/>
      <c r="D92" s="11"/>
      <c r="E92" s="11"/>
      <c r="F92" s="12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1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</row>
    <row r="93" ht="12.75" customHeight="1">
      <c r="A93" s="14"/>
      <c r="B93" s="14"/>
      <c r="C93" s="11"/>
      <c r="D93" s="11"/>
      <c r="E93" s="11"/>
      <c r="F93" s="12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1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</row>
    <row r="94" ht="12.75" customHeight="1">
      <c r="A94" s="14"/>
      <c r="B94" s="14"/>
      <c r="C94" s="11"/>
      <c r="D94" s="11"/>
      <c r="E94" s="11"/>
      <c r="F94" s="12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1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</row>
    <row r="95" ht="12.75" customHeight="1">
      <c r="A95" s="14"/>
      <c r="B95" s="14"/>
      <c r="C95" s="11"/>
      <c r="D95" s="11"/>
      <c r="E95" s="11"/>
      <c r="F95" s="12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1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</row>
    <row r="96" ht="12.75" customHeight="1">
      <c r="A96" s="14"/>
      <c r="B96" s="14"/>
      <c r="C96" s="11"/>
      <c r="D96" s="11"/>
      <c r="E96" s="11"/>
      <c r="F96" s="12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1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</row>
    <row r="97" ht="12.75" customHeight="1">
      <c r="A97" s="14"/>
      <c r="B97" s="14"/>
      <c r="C97" s="11"/>
      <c r="D97" s="11"/>
      <c r="E97" s="11"/>
      <c r="F97" s="12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1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ht="12.75" customHeight="1">
      <c r="A98" s="14"/>
      <c r="B98" s="14"/>
      <c r="C98" s="11"/>
      <c r="D98" s="11"/>
      <c r="E98" s="11"/>
      <c r="F98" s="12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1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ht="12.75" customHeight="1">
      <c r="A99" s="14"/>
      <c r="B99" s="14"/>
      <c r="C99" s="11"/>
      <c r="D99" s="11"/>
      <c r="E99" s="11"/>
      <c r="F99" s="12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1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ht="12.75" customHeight="1">
      <c r="A100" s="14"/>
      <c r="B100" s="14"/>
      <c r="C100" s="11"/>
      <c r="D100" s="11"/>
      <c r="E100" s="11"/>
      <c r="F100" s="12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1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ht="12.75" customHeight="1">
      <c r="A101" s="14"/>
      <c r="B101" s="14"/>
      <c r="C101" s="11"/>
      <c r="D101" s="11"/>
      <c r="E101" s="11"/>
      <c r="F101" s="12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1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ht="12.75" customHeight="1">
      <c r="A102" s="14"/>
      <c r="B102" s="14"/>
      <c r="C102" s="11"/>
      <c r="D102" s="11"/>
      <c r="E102" s="11"/>
      <c r="F102" s="12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1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ht="12.75" customHeight="1">
      <c r="A103" s="14"/>
      <c r="B103" s="14"/>
      <c r="C103" s="11"/>
      <c r="D103" s="11"/>
      <c r="E103" s="11"/>
      <c r="F103" s="12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1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ht="12.75" customHeight="1">
      <c r="A104" s="14"/>
      <c r="B104" s="14"/>
      <c r="C104" s="11"/>
      <c r="D104" s="11"/>
      <c r="E104" s="11"/>
      <c r="F104" s="12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1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ht="12.75" customHeight="1">
      <c r="A105" s="14"/>
      <c r="B105" s="14"/>
      <c r="C105" s="11"/>
      <c r="D105" s="11"/>
      <c r="E105" s="11"/>
      <c r="F105" s="12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1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ht="12.75" customHeight="1">
      <c r="A106" s="14"/>
      <c r="B106" s="14"/>
      <c r="C106" s="11"/>
      <c r="D106" s="11"/>
      <c r="E106" s="11"/>
      <c r="F106" s="12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1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ht="12.75" customHeight="1">
      <c r="A107" s="14"/>
      <c r="B107" s="14"/>
      <c r="C107" s="11"/>
      <c r="D107" s="11"/>
      <c r="E107" s="11"/>
      <c r="F107" s="12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1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ht="12.75" customHeight="1">
      <c r="A108" s="14"/>
      <c r="B108" s="14"/>
      <c r="C108" s="11"/>
      <c r="D108" s="11"/>
      <c r="E108" s="11"/>
      <c r="F108" s="12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1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ht="12.75" customHeight="1">
      <c r="A109" s="14"/>
      <c r="B109" s="14"/>
      <c r="C109" s="11"/>
      <c r="D109" s="11"/>
      <c r="E109" s="11"/>
      <c r="F109" s="12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1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ht="12.75" customHeight="1">
      <c r="A110" s="14"/>
      <c r="B110" s="14"/>
      <c r="C110" s="11"/>
      <c r="D110" s="11"/>
      <c r="E110" s="11"/>
      <c r="F110" s="12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1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ht="12.75" customHeight="1">
      <c r="A111" s="14"/>
      <c r="B111" s="14"/>
      <c r="C111" s="11"/>
      <c r="D111" s="11"/>
      <c r="E111" s="11"/>
      <c r="F111" s="12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1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ht="12.75" customHeight="1">
      <c r="A112" s="14"/>
      <c r="B112" s="14"/>
      <c r="C112" s="11"/>
      <c r="D112" s="11"/>
      <c r="E112" s="11"/>
      <c r="F112" s="12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1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ht="12.75" customHeight="1">
      <c r="A113" s="14"/>
      <c r="B113" s="14"/>
      <c r="C113" s="11"/>
      <c r="D113" s="11"/>
      <c r="E113" s="11"/>
      <c r="F113" s="12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1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ht="12.75" customHeight="1">
      <c r="A114" s="14"/>
      <c r="B114" s="14"/>
      <c r="C114" s="11"/>
      <c r="D114" s="11"/>
      <c r="E114" s="11"/>
      <c r="F114" s="12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1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ht="12.75" customHeight="1">
      <c r="A115" s="14"/>
      <c r="B115" s="14"/>
      <c r="C115" s="11"/>
      <c r="D115" s="11"/>
      <c r="E115" s="11"/>
      <c r="F115" s="12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1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ht="12.75" customHeight="1">
      <c r="A116" s="14"/>
      <c r="B116" s="14"/>
      <c r="C116" s="11"/>
      <c r="D116" s="11"/>
      <c r="E116" s="11"/>
      <c r="F116" s="12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1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ht="12.75" customHeight="1">
      <c r="A117" s="14"/>
      <c r="B117" s="14"/>
      <c r="C117" s="11"/>
      <c r="D117" s="11"/>
      <c r="E117" s="11"/>
      <c r="F117" s="12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1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ht="12.75" customHeight="1">
      <c r="A118" s="14"/>
      <c r="B118" s="14"/>
      <c r="C118" s="11"/>
      <c r="D118" s="11"/>
      <c r="E118" s="11"/>
      <c r="F118" s="12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1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ht="12.75" customHeight="1">
      <c r="A119" s="14"/>
      <c r="B119" s="14"/>
      <c r="C119" s="11"/>
      <c r="D119" s="11"/>
      <c r="E119" s="11"/>
      <c r="F119" s="12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1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ht="12.75" customHeight="1">
      <c r="A120" s="14"/>
      <c r="B120" s="14"/>
      <c r="C120" s="11"/>
      <c r="D120" s="11"/>
      <c r="E120" s="11"/>
      <c r="F120" s="12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1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ht="12.75" customHeight="1">
      <c r="A121" s="14"/>
      <c r="B121" s="14"/>
      <c r="C121" s="11"/>
      <c r="D121" s="11"/>
      <c r="E121" s="11"/>
      <c r="F121" s="12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1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ht="12.75" customHeight="1">
      <c r="A122" s="14"/>
      <c r="B122" s="14"/>
      <c r="C122" s="11"/>
      <c r="D122" s="11"/>
      <c r="E122" s="11"/>
      <c r="F122" s="12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1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ht="12.75" customHeight="1">
      <c r="A123" s="14"/>
      <c r="B123" s="14"/>
      <c r="C123" s="11"/>
      <c r="D123" s="11"/>
      <c r="E123" s="11"/>
      <c r="F123" s="12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1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ht="12.75" customHeight="1">
      <c r="A124" s="14"/>
      <c r="B124" s="14"/>
      <c r="C124" s="11"/>
      <c r="D124" s="11"/>
      <c r="E124" s="11"/>
      <c r="F124" s="12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1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ht="12.75" customHeight="1">
      <c r="A125" s="14"/>
      <c r="B125" s="14"/>
      <c r="C125" s="11"/>
      <c r="D125" s="11"/>
      <c r="E125" s="11"/>
      <c r="F125" s="12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1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  <row r="126" ht="12.75" customHeight="1">
      <c r="A126" s="14"/>
      <c r="B126" s="14"/>
      <c r="C126" s="11"/>
      <c r="D126" s="11"/>
      <c r="E126" s="11"/>
      <c r="F126" s="12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1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</row>
    <row r="127" ht="12.75" customHeight="1">
      <c r="A127" s="14"/>
      <c r="B127" s="14"/>
      <c r="C127" s="11"/>
      <c r="D127" s="11"/>
      <c r="E127" s="11"/>
      <c r="F127" s="12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1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</row>
    <row r="128" ht="12.75" customHeight="1">
      <c r="A128" s="14"/>
      <c r="B128" s="14"/>
      <c r="C128" s="11"/>
      <c r="D128" s="11"/>
      <c r="E128" s="11"/>
      <c r="F128" s="12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1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 ht="12.75" customHeight="1">
      <c r="A129" s="14"/>
      <c r="B129" s="14"/>
      <c r="C129" s="11"/>
      <c r="D129" s="11"/>
      <c r="E129" s="11"/>
      <c r="F129" s="12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1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</row>
    <row r="130" ht="12.75" customHeight="1">
      <c r="A130" s="14"/>
      <c r="B130" s="14"/>
      <c r="C130" s="11"/>
      <c r="D130" s="11"/>
      <c r="E130" s="11"/>
      <c r="F130" s="12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1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</row>
    <row r="131" ht="12.75" customHeight="1">
      <c r="A131" s="14"/>
      <c r="B131" s="14"/>
      <c r="C131" s="11"/>
      <c r="D131" s="11"/>
      <c r="E131" s="11"/>
      <c r="F131" s="12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1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</row>
    <row r="132" ht="12.75" customHeight="1">
      <c r="A132" s="14"/>
      <c r="B132" s="14"/>
      <c r="C132" s="11"/>
      <c r="D132" s="11"/>
      <c r="E132" s="11"/>
      <c r="F132" s="12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1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</row>
    <row r="133" ht="12.75" customHeight="1">
      <c r="A133" s="14"/>
      <c r="B133" s="14"/>
      <c r="C133" s="11"/>
      <c r="D133" s="11"/>
      <c r="E133" s="11"/>
      <c r="F133" s="12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1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 ht="12.75" customHeight="1">
      <c r="A134" s="14"/>
      <c r="B134" s="14"/>
      <c r="C134" s="11"/>
      <c r="D134" s="11"/>
      <c r="E134" s="11"/>
      <c r="F134" s="12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1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</row>
    <row r="135" ht="12.75" customHeight="1">
      <c r="A135" s="14"/>
      <c r="B135" s="14"/>
      <c r="C135" s="11"/>
      <c r="D135" s="11"/>
      <c r="E135" s="11"/>
      <c r="F135" s="12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1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</row>
    <row r="136" ht="12.75" customHeight="1">
      <c r="A136" s="14"/>
      <c r="B136" s="14"/>
      <c r="C136" s="11"/>
      <c r="D136" s="11"/>
      <c r="E136" s="11"/>
      <c r="F136" s="1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1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</row>
    <row r="137" ht="12.75" customHeight="1">
      <c r="A137" s="14"/>
      <c r="B137" s="14"/>
      <c r="C137" s="11"/>
      <c r="D137" s="11"/>
      <c r="E137" s="11"/>
      <c r="F137" s="12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1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 ht="12.75" customHeight="1">
      <c r="A138" s="14"/>
      <c r="B138" s="14"/>
      <c r="C138" s="11"/>
      <c r="D138" s="11"/>
      <c r="E138" s="11"/>
      <c r="F138" s="12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1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</row>
    <row r="139" ht="12.75" customHeight="1">
      <c r="A139" s="14"/>
      <c r="B139" s="14"/>
      <c r="C139" s="11"/>
      <c r="D139" s="11"/>
      <c r="E139" s="11"/>
      <c r="F139" s="12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1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 ht="12.75" customHeight="1">
      <c r="A140" s="14"/>
      <c r="B140" s="14"/>
      <c r="C140" s="11"/>
      <c r="D140" s="11"/>
      <c r="E140" s="11"/>
      <c r="F140" s="12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1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</row>
    <row r="141" ht="12.75" customHeight="1">
      <c r="A141" s="14"/>
      <c r="B141" s="14"/>
      <c r="C141" s="11"/>
      <c r="D141" s="11"/>
      <c r="E141" s="11"/>
      <c r="F141" s="12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1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</row>
    <row r="142" ht="12.75" customHeight="1">
      <c r="A142" s="14"/>
      <c r="B142" s="14"/>
      <c r="C142" s="11"/>
      <c r="D142" s="11"/>
      <c r="E142" s="11"/>
      <c r="F142" s="12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1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</row>
    <row r="143" ht="12.75" customHeight="1">
      <c r="A143" s="14"/>
      <c r="B143" s="14"/>
      <c r="C143" s="11"/>
      <c r="D143" s="11"/>
      <c r="E143" s="11"/>
      <c r="F143" s="12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1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</row>
    <row r="144" ht="12.75" customHeight="1">
      <c r="A144" s="14"/>
      <c r="B144" s="14"/>
      <c r="C144" s="11"/>
      <c r="D144" s="11"/>
      <c r="E144" s="11"/>
      <c r="F144" s="12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1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</row>
    <row r="145" ht="12.75" customHeight="1">
      <c r="A145" s="14"/>
      <c r="B145" s="14"/>
      <c r="C145" s="11"/>
      <c r="D145" s="11"/>
      <c r="E145" s="11"/>
      <c r="F145" s="12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1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</row>
    <row r="146" ht="12.75" customHeight="1">
      <c r="A146" s="14"/>
      <c r="B146" s="14"/>
      <c r="C146" s="11"/>
      <c r="D146" s="11"/>
      <c r="E146" s="11"/>
      <c r="F146" s="12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1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 ht="12.75" customHeight="1">
      <c r="A147" s="14"/>
      <c r="B147" s="14"/>
      <c r="C147" s="11"/>
      <c r="D147" s="11"/>
      <c r="E147" s="11"/>
      <c r="F147" s="12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1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</row>
    <row r="148" ht="12.75" customHeight="1">
      <c r="A148" s="14"/>
      <c r="B148" s="14"/>
      <c r="C148" s="11"/>
      <c r="D148" s="11"/>
      <c r="E148" s="11"/>
      <c r="F148" s="12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1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</row>
    <row r="149" ht="12.75" customHeight="1">
      <c r="A149" s="14"/>
      <c r="B149" s="14"/>
      <c r="C149" s="11"/>
      <c r="D149" s="11"/>
      <c r="E149" s="11"/>
      <c r="F149" s="12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1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</row>
    <row r="150" ht="12.75" customHeight="1">
      <c r="A150" s="14"/>
      <c r="B150" s="14"/>
      <c r="C150" s="11"/>
      <c r="D150" s="11"/>
      <c r="E150" s="11"/>
      <c r="F150" s="12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1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</row>
    <row r="151" ht="12.75" customHeight="1">
      <c r="A151" s="14"/>
      <c r="B151" s="14"/>
      <c r="C151" s="11"/>
      <c r="D151" s="11"/>
      <c r="E151" s="11"/>
      <c r="F151" s="12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1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</row>
    <row r="152" ht="12.75" customHeight="1">
      <c r="A152" s="14"/>
      <c r="B152" s="14"/>
      <c r="C152" s="11"/>
      <c r="D152" s="11"/>
      <c r="E152" s="11"/>
      <c r="F152" s="12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1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</row>
    <row r="153" ht="12.75" customHeight="1">
      <c r="A153" s="14"/>
      <c r="B153" s="14"/>
      <c r="C153" s="11"/>
      <c r="D153" s="11"/>
      <c r="E153" s="11"/>
      <c r="F153" s="12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1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 ht="12.75" customHeight="1">
      <c r="A154" s="14"/>
      <c r="B154" s="14"/>
      <c r="C154" s="11"/>
      <c r="D154" s="11"/>
      <c r="E154" s="11"/>
      <c r="F154" s="12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1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</row>
    <row r="155" ht="12.75" customHeight="1">
      <c r="A155" s="14"/>
      <c r="B155" s="14"/>
      <c r="C155" s="11"/>
      <c r="D155" s="11"/>
      <c r="E155" s="11"/>
      <c r="F155" s="12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1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</row>
    <row r="156" ht="12.75" customHeight="1">
      <c r="A156" s="14"/>
      <c r="B156" s="14"/>
      <c r="C156" s="11"/>
      <c r="D156" s="11"/>
      <c r="E156" s="11"/>
      <c r="F156" s="12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1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</row>
    <row r="157" ht="12.75" customHeight="1">
      <c r="A157" s="14"/>
      <c r="B157" s="14"/>
      <c r="C157" s="11"/>
      <c r="D157" s="11"/>
      <c r="E157" s="11"/>
      <c r="F157" s="12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1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</row>
    <row r="158" ht="12.75" customHeight="1">
      <c r="A158" s="14"/>
      <c r="B158" s="14"/>
      <c r="C158" s="11"/>
      <c r="D158" s="11"/>
      <c r="E158" s="11"/>
      <c r="F158" s="12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1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 ht="12.75" customHeight="1">
      <c r="A159" s="14"/>
      <c r="B159" s="14"/>
      <c r="C159" s="11"/>
      <c r="D159" s="11"/>
      <c r="E159" s="11"/>
      <c r="F159" s="12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1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</row>
    <row r="160" ht="12.75" customHeight="1">
      <c r="A160" s="14"/>
      <c r="B160" s="14"/>
      <c r="C160" s="11"/>
      <c r="D160" s="11"/>
      <c r="E160" s="11"/>
      <c r="F160" s="12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1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 ht="12.75" customHeight="1">
      <c r="A161" s="14"/>
      <c r="B161" s="14"/>
      <c r="C161" s="11"/>
      <c r="D161" s="11"/>
      <c r="E161" s="11"/>
      <c r="F161" s="12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1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</row>
    <row r="162" ht="12.75" customHeight="1">
      <c r="A162" s="14"/>
      <c r="B162" s="14"/>
      <c r="C162" s="11"/>
      <c r="D162" s="11"/>
      <c r="E162" s="11"/>
      <c r="F162" s="12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1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</row>
    <row r="163" ht="12.75" customHeight="1">
      <c r="A163" s="14"/>
      <c r="B163" s="14"/>
      <c r="C163" s="11"/>
      <c r="D163" s="11"/>
      <c r="E163" s="11"/>
      <c r="F163" s="12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1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</row>
    <row r="164" ht="12.75" customHeight="1">
      <c r="A164" s="14"/>
      <c r="B164" s="14"/>
      <c r="C164" s="11"/>
      <c r="D164" s="11"/>
      <c r="E164" s="11"/>
      <c r="F164" s="12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1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</row>
    <row r="165" ht="12.75" customHeight="1">
      <c r="A165" s="14"/>
      <c r="B165" s="14"/>
      <c r="C165" s="11"/>
      <c r="D165" s="11"/>
      <c r="E165" s="11"/>
      <c r="F165" s="12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1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</row>
    <row r="166" ht="12.75" customHeight="1">
      <c r="A166" s="14"/>
      <c r="B166" s="14"/>
      <c r="C166" s="11"/>
      <c r="D166" s="11"/>
      <c r="E166" s="11"/>
      <c r="F166" s="12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1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 ht="12.75" customHeight="1">
      <c r="A167" s="14"/>
      <c r="B167" s="14"/>
      <c r="C167" s="11"/>
      <c r="D167" s="11"/>
      <c r="E167" s="11"/>
      <c r="F167" s="12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1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</row>
    <row r="168" ht="12.75" customHeight="1">
      <c r="A168" s="14"/>
      <c r="B168" s="14"/>
      <c r="C168" s="11"/>
      <c r="D168" s="11"/>
      <c r="E168" s="11"/>
      <c r="F168" s="12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1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</row>
    <row r="169" ht="12.75" customHeight="1">
      <c r="A169" s="14"/>
      <c r="B169" s="14"/>
      <c r="C169" s="11"/>
      <c r="D169" s="11"/>
      <c r="E169" s="11"/>
      <c r="F169" s="12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1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 ht="12.75" customHeight="1">
      <c r="A170" s="14"/>
      <c r="B170" s="14"/>
      <c r="C170" s="11"/>
      <c r="D170" s="11"/>
      <c r="E170" s="11"/>
      <c r="F170" s="12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1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</row>
    <row r="171" ht="12.75" customHeight="1">
      <c r="A171" s="14"/>
      <c r="B171" s="14"/>
      <c r="C171" s="11"/>
      <c r="D171" s="11"/>
      <c r="E171" s="11"/>
      <c r="F171" s="12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1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 ht="12.75" customHeight="1">
      <c r="A172" s="14"/>
      <c r="B172" s="14"/>
      <c r="C172" s="11"/>
      <c r="D172" s="11"/>
      <c r="E172" s="11"/>
      <c r="F172" s="12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1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</row>
    <row r="173" ht="12.75" customHeight="1">
      <c r="A173" s="14"/>
      <c r="B173" s="14"/>
      <c r="C173" s="11"/>
      <c r="D173" s="11"/>
      <c r="E173" s="11"/>
      <c r="F173" s="12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1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 ht="12.75" customHeight="1">
      <c r="A174" s="14"/>
      <c r="B174" s="14"/>
      <c r="C174" s="11"/>
      <c r="D174" s="11"/>
      <c r="E174" s="11"/>
      <c r="F174" s="12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1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</row>
    <row r="175" ht="12.75" customHeight="1">
      <c r="A175" s="14"/>
      <c r="B175" s="14"/>
      <c r="C175" s="11"/>
      <c r="D175" s="11"/>
      <c r="E175" s="11"/>
      <c r="F175" s="12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1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</row>
    <row r="176" ht="12.75" customHeight="1">
      <c r="A176" s="14"/>
      <c r="B176" s="14"/>
      <c r="C176" s="11"/>
      <c r="D176" s="11"/>
      <c r="E176" s="11"/>
      <c r="F176" s="12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1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</row>
    <row r="177" ht="12.75" customHeight="1">
      <c r="A177" s="14"/>
      <c r="B177" s="14"/>
      <c r="C177" s="11"/>
      <c r="D177" s="11"/>
      <c r="E177" s="11"/>
      <c r="F177" s="12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1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</row>
    <row r="178" ht="12.75" customHeight="1">
      <c r="A178" s="14"/>
      <c r="B178" s="14"/>
      <c r="C178" s="11"/>
      <c r="D178" s="11"/>
      <c r="E178" s="11"/>
      <c r="F178" s="12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1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</row>
    <row r="179" ht="12.75" customHeight="1">
      <c r="A179" s="14"/>
      <c r="B179" s="14"/>
      <c r="C179" s="11"/>
      <c r="D179" s="11"/>
      <c r="E179" s="11"/>
      <c r="F179" s="12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1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</row>
    <row r="180" ht="12.75" customHeight="1">
      <c r="A180" s="14"/>
      <c r="B180" s="14"/>
      <c r="C180" s="11"/>
      <c r="D180" s="11"/>
      <c r="E180" s="11"/>
      <c r="F180" s="12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1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 ht="12.75" customHeight="1">
      <c r="A181" s="14"/>
      <c r="B181" s="14"/>
      <c r="C181" s="11"/>
      <c r="D181" s="11"/>
      <c r="E181" s="11"/>
      <c r="F181" s="12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1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</row>
    <row r="182" ht="12.75" customHeight="1">
      <c r="A182" s="14"/>
      <c r="B182" s="14"/>
      <c r="C182" s="11"/>
      <c r="D182" s="11"/>
      <c r="E182" s="11"/>
      <c r="F182" s="12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1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</row>
    <row r="183" ht="12.75" customHeight="1">
      <c r="A183" s="14"/>
      <c r="B183" s="14"/>
      <c r="C183" s="11"/>
      <c r="D183" s="11"/>
      <c r="E183" s="11"/>
      <c r="F183" s="12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1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 ht="12.75" customHeight="1">
      <c r="A184" s="14"/>
      <c r="B184" s="14"/>
      <c r="C184" s="11"/>
      <c r="D184" s="11"/>
      <c r="E184" s="11"/>
      <c r="F184" s="12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1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</row>
    <row r="185" ht="12.75" customHeight="1">
      <c r="A185" s="14"/>
      <c r="B185" s="14"/>
      <c r="C185" s="11"/>
      <c r="D185" s="11"/>
      <c r="E185" s="11"/>
      <c r="F185" s="12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1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 ht="12.75" customHeight="1">
      <c r="A186" s="14"/>
      <c r="B186" s="14"/>
      <c r="C186" s="11"/>
      <c r="D186" s="11"/>
      <c r="E186" s="11"/>
      <c r="F186" s="12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1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</row>
    <row r="187" ht="12.75" customHeight="1">
      <c r="A187" s="14"/>
      <c r="B187" s="14"/>
      <c r="C187" s="11"/>
      <c r="D187" s="11"/>
      <c r="E187" s="11"/>
      <c r="F187" s="12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1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</row>
    <row r="188" ht="12.75" customHeight="1">
      <c r="A188" s="14"/>
      <c r="B188" s="14"/>
      <c r="C188" s="11"/>
      <c r="D188" s="11"/>
      <c r="E188" s="11"/>
      <c r="F188" s="12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1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</row>
    <row r="189" ht="12.75" customHeight="1">
      <c r="A189" s="14"/>
      <c r="B189" s="14"/>
      <c r="C189" s="11"/>
      <c r="D189" s="11"/>
      <c r="E189" s="11"/>
      <c r="F189" s="12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1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 ht="12.75" customHeight="1">
      <c r="A190" s="14"/>
      <c r="B190" s="14"/>
      <c r="C190" s="11"/>
      <c r="D190" s="11"/>
      <c r="E190" s="11"/>
      <c r="F190" s="12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1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</row>
    <row r="191" ht="12.75" customHeight="1">
      <c r="A191" s="14"/>
      <c r="B191" s="14"/>
      <c r="C191" s="11"/>
      <c r="D191" s="11"/>
      <c r="E191" s="11"/>
      <c r="F191" s="12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1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</row>
    <row r="192" ht="12.75" customHeight="1">
      <c r="A192" s="14"/>
      <c r="B192" s="14"/>
      <c r="C192" s="11"/>
      <c r="D192" s="11"/>
      <c r="E192" s="11"/>
      <c r="F192" s="12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1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 ht="12.75" customHeight="1">
      <c r="A193" s="14"/>
      <c r="B193" s="14"/>
      <c r="C193" s="11"/>
      <c r="D193" s="11"/>
      <c r="E193" s="11"/>
      <c r="F193" s="12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1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</row>
    <row r="194" ht="12.75" customHeight="1">
      <c r="A194" s="14"/>
      <c r="B194" s="14"/>
      <c r="C194" s="11"/>
      <c r="D194" s="11"/>
      <c r="E194" s="11"/>
      <c r="F194" s="12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1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</row>
    <row r="195" ht="12.75" customHeight="1">
      <c r="A195" s="14"/>
      <c r="B195" s="14"/>
      <c r="C195" s="11"/>
      <c r="D195" s="11"/>
      <c r="E195" s="11"/>
      <c r="F195" s="12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1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</row>
    <row r="196" ht="12.75" customHeight="1">
      <c r="A196" s="14"/>
      <c r="B196" s="14"/>
      <c r="C196" s="11"/>
      <c r="D196" s="11"/>
      <c r="E196" s="11"/>
      <c r="F196" s="12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1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</row>
    <row r="197" ht="12.75" customHeight="1">
      <c r="A197" s="14"/>
      <c r="B197" s="14"/>
      <c r="C197" s="11"/>
      <c r="D197" s="11"/>
      <c r="E197" s="11"/>
      <c r="F197" s="12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1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</row>
    <row r="198" ht="12.75" customHeight="1">
      <c r="A198" s="14"/>
      <c r="B198" s="14"/>
      <c r="C198" s="11"/>
      <c r="D198" s="11"/>
      <c r="E198" s="11"/>
      <c r="F198" s="12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1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</row>
    <row r="199" ht="12.75" customHeight="1">
      <c r="A199" s="14"/>
      <c r="B199" s="14"/>
      <c r="C199" s="11"/>
      <c r="D199" s="11"/>
      <c r="E199" s="11"/>
      <c r="F199" s="12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1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</row>
    <row r="200" ht="12.75" customHeight="1">
      <c r="A200" s="14"/>
      <c r="B200" s="14"/>
      <c r="C200" s="11"/>
      <c r="D200" s="11"/>
      <c r="E200" s="11"/>
      <c r="F200" s="12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1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</row>
    <row r="201" ht="12.75" customHeight="1">
      <c r="A201" s="14"/>
      <c r="B201" s="14"/>
      <c r="C201" s="11"/>
      <c r="D201" s="11"/>
      <c r="E201" s="11"/>
      <c r="F201" s="12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1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</row>
    <row r="202" ht="12.75" customHeight="1">
      <c r="A202" s="14"/>
      <c r="B202" s="14"/>
      <c r="C202" s="11"/>
      <c r="D202" s="11"/>
      <c r="E202" s="11"/>
      <c r="F202" s="12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1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</row>
    <row r="203" ht="12.75" customHeight="1">
      <c r="A203" s="14"/>
      <c r="B203" s="14"/>
      <c r="C203" s="11"/>
      <c r="D203" s="11"/>
      <c r="E203" s="11"/>
      <c r="F203" s="12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1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</row>
    <row r="204" ht="12.75" customHeight="1">
      <c r="A204" s="14"/>
      <c r="B204" s="14"/>
      <c r="C204" s="11"/>
      <c r="D204" s="11"/>
      <c r="E204" s="11"/>
      <c r="F204" s="12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1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</row>
    <row r="205" ht="12.75" customHeight="1">
      <c r="A205" s="14"/>
      <c r="B205" s="14"/>
      <c r="C205" s="11"/>
      <c r="D205" s="11"/>
      <c r="E205" s="11"/>
      <c r="F205" s="12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1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</row>
    <row r="206" ht="12.75" customHeight="1">
      <c r="A206" s="14"/>
      <c r="B206" s="14"/>
      <c r="C206" s="11"/>
      <c r="D206" s="11"/>
      <c r="E206" s="11"/>
      <c r="F206" s="12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1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</row>
    <row r="207" ht="12.75" customHeight="1">
      <c r="A207" s="14"/>
      <c r="B207" s="14"/>
      <c r="C207" s="11"/>
      <c r="D207" s="11"/>
      <c r="E207" s="11"/>
      <c r="F207" s="12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1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</row>
    <row r="208" ht="12.75" customHeight="1">
      <c r="A208" s="14"/>
      <c r="B208" s="14"/>
      <c r="C208" s="11"/>
      <c r="D208" s="11"/>
      <c r="E208" s="11"/>
      <c r="F208" s="12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1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</row>
    <row r="209" ht="12.75" customHeight="1">
      <c r="A209" s="14"/>
      <c r="B209" s="14"/>
      <c r="C209" s="11"/>
      <c r="D209" s="11"/>
      <c r="E209" s="11"/>
      <c r="F209" s="12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1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</row>
    <row r="210" ht="12.75" customHeight="1">
      <c r="A210" s="14"/>
      <c r="B210" s="14"/>
      <c r="C210" s="11"/>
      <c r="D210" s="11"/>
      <c r="E210" s="11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1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 ht="12.75" customHeight="1">
      <c r="A211" s="14"/>
      <c r="B211" s="14"/>
      <c r="C211" s="11"/>
      <c r="D211" s="11"/>
      <c r="E211" s="11"/>
      <c r="F211" s="12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1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</row>
    <row r="212" ht="12.75" customHeight="1">
      <c r="A212" s="14"/>
      <c r="B212" s="14"/>
      <c r="C212" s="11"/>
      <c r="D212" s="11"/>
      <c r="E212" s="11"/>
      <c r="F212" s="12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1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</row>
    <row r="213" ht="12.75" customHeight="1">
      <c r="A213" s="14"/>
      <c r="B213" s="14"/>
      <c r="C213" s="11"/>
      <c r="D213" s="11"/>
      <c r="E213" s="11"/>
      <c r="F213" s="12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1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</row>
    <row r="214" ht="12.75" customHeight="1">
      <c r="A214" s="14"/>
      <c r="B214" s="14"/>
      <c r="C214" s="11"/>
      <c r="D214" s="11"/>
      <c r="E214" s="11"/>
      <c r="F214" s="12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1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 ht="12.75" customHeight="1">
      <c r="A215" s="14"/>
      <c r="B215" s="14"/>
      <c r="C215" s="11"/>
      <c r="D215" s="11"/>
      <c r="E215" s="11"/>
      <c r="F215" s="12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1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</row>
    <row r="216" ht="12.75" customHeight="1">
      <c r="A216" s="14"/>
      <c r="B216" s="14"/>
      <c r="C216" s="11"/>
      <c r="D216" s="11"/>
      <c r="E216" s="11"/>
      <c r="F216" s="12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1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</row>
    <row r="217" ht="12.75" customHeight="1">
      <c r="A217" s="14"/>
      <c r="B217" s="14"/>
      <c r="C217" s="11"/>
      <c r="D217" s="11"/>
      <c r="E217" s="11"/>
      <c r="F217" s="12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1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</row>
    <row r="218" ht="12.75" customHeight="1">
      <c r="A218" s="14"/>
      <c r="B218" s="14"/>
      <c r="C218" s="11"/>
      <c r="D218" s="11"/>
      <c r="E218" s="11"/>
      <c r="F218" s="12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1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</row>
    <row r="219" ht="12.75" customHeight="1">
      <c r="A219" s="14"/>
      <c r="B219" s="14"/>
      <c r="C219" s="11"/>
      <c r="D219" s="11"/>
      <c r="E219" s="11"/>
      <c r="F219" s="12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1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</row>
    <row r="220" ht="12.75" customHeight="1">
      <c r="A220" s="14"/>
      <c r="B220" s="14"/>
      <c r="C220" s="11"/>
      <c r="D220" s="11"/>
      <c r="E220" s="11"/>
      <c r="F220" s="12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1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</row>
    <row r="221" ht="12.75" customHeight="1">
      <c r="A221" s="14"/>
      <c r="B221" s="14"/>
      <c r="C221" s="11"/>
      <c r="D221" s="11"/>
      <c r="E221" s="11"/>
      <c r="F221" s="12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1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</row>
    <row r="222" ht="12.75" customHeight="1">
      <c r="A222" s="14"/>
      <c r="B222" s="14"/>
      <c r="C222" s="11"/>
      <c r="D222" s="11"/>
      <c r="E222" s="11"/>
      <c r="F222" s="12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1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</row>
    <row r="223" ht="12.75" customHeight="1">
      <c r="A223" s="14"/>
      <c r="B223" s="14"/>
      <c r="C223" s="11"/>
      <c r="D223" s="11"/>
      <c r="E223" s="11"/>
      <c r="F223" s="12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1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</row>
    <row r="224" ht="12.75" customHeight="1">
      <c r="A224" s="14"/>
      <c r="B224" s="14"/>
      <c r="C224" s="11"/>
      <c r="D224" s="11"/>
      <c r="E224" s="11"/>
      <c r="F224" s="12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1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</row>
    <row r="225" ht="12.75" customHeight="1">
      <c r="A225" s="14"/>
      <c r="B225" s="14"/>
      <c r="C225" s="11"/>
      <c r="D225" s="11"/>
      <c r="E225" s="11"/>
      <c r="F225" s="12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1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</row>
    <row r="226" ht="12.75" customHeight="1">
      <c r="A226" s="14"/>
      <c r="B226" s="14"/>
      <c r="C226" s="11"/>
      <c r="D226" s="11"/>
      <c r="E226" s="11"/>
      <c r="F226" s="12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1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</row>
    <row r="227" ht="12.75" customHeight="1">
      <c r="A227" s="14"/>
      <c r="B227" s="14"/>
      <c r="C227" s="11"/>
      <c r="D227" s="11"/>
      <c r="E227" s="11"/>
      <c r="F227" s="12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1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</row>
    <row r="228" ht="12.75" customHeight="1">
      <c r="A228" s="14"/>
      <c r="B228" s="14"/>
      <c r="C228" s="11"/>
      <c r="D228" s="11"/>
      <c r="E228" s="11"/>
      <c r="F228" s="12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1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</row>
    <row r="229" ht="12.75" customHeight="1">
      <c r="A229" s="14"/>
      <c r="B229" s="14"/>
      <c r="C229" s="11"/>
      <c r="D229" s="11"/>
      <c r="E229" s="11"/>
      <c r="F229" s="12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1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</row>
    <row r="230" ht="12.75" customHeight="1">
      <c r="A230" s="14"/>
      <c r="B230" s="14"/>
      <c r="C230" s="11"/>
      <c r="D230" s="11"/>
      <c r="E230" s="11"/>
      <c r="F230" s="12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1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</row>
    <row r="231" ht="12.75" customHeight="1">
      <c r="A231" s="14"/>
      <c r="B231" s="14"/>
      <c r="C231" s="11"/>
      <c r="D231" s="11"/>
      <c r="E231" s="11"/>
      <c r="F231" s="12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1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</row>
    <row r="232" ht="12.75" customHeight="1">
      <c r="A232" s="14"/>
      <c r="B232" s="14"/>
      <c r="C232" s="11"/>
      <c r="D232" s="11"/>
      <c r="E232" s="11"/>
      <c r="F232" s="12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1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</row>
    <row r="233" ht="12.75" customHeight="1">
      <c r="A233" s="14"/>
      <c r="B233" s="14"/>
      <c r="C233" s="11"/>
      <c r="D233" s="11"/>
      <c r="E233" s="11"/>
      <c r="F233" s="12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1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</row>
    <row r="234" ht="12.75" customHeight="1">
      <c r="A234" s="14"/>
      <c r="B234" s="14"/>
      <c r="C234" s="11"/>
      <c r="D234" s="11"/>
      <c r="E234" s="11"/>
      <c r="F234" s="12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1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</row>
    <row r="235" ht="12.75" customHeight="1">
      <c r="A235" s="14"/>
      <c r="B235" s="14"/>
      <c r="C235" s="11"/>
      <c r="D235" s="11"/>
      <c r="E235" s="11"/>
      <c r="F235" s="12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1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</row>
    <row r="236" ht="12.75" customHeight="1">
      <c r="A236" s="14"/>
      <c r="B236" s="14"/>
      <c r="C236" s="11"/>
      <c r="D236" s="11"/>
      <c r="E236" s="11"/>
      <c r="F236" s="12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1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</row>
    <row r="237" ht="12.75" customHeight="1">
      <c r="A237" s="14"/>
      <c r="B237" s="14"/>
      <c r="C237" s="11"/>
      <c r="D237" s="11"/>
      <c r="E237" s="11"/>
      <c r="F237" s="12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1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</row>
    <row r="238" ht="12.75" customHeight="1">
      <c r="A238" s="14"/>
      <c r="B238" s="14"/>
      <c r="C238" s="11"/>
      <c r="D238" s="11"/>
      <c r="E238" s="11"/>
      <c r="F238" s="12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1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</row>
    <row r="239" ht="12.75" customHeight="1">
      <c r="A239" s="14"/>
      <c r="B239" s="14"/>
      <c r="C239" s="11"/>
      <c r="D239" s="11"/>
      <c r="E239" s="11"/>
      <c r="F239" s="12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1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</row>
    <row r="240" ht="12.75" customHeight="1">
      <c r="A240" s="14"/>
      <c r="B240" s="14"/>
      <c r="C240" s="11"/>
      <c r="D240" s="11"/>
      <c r="E240" s="11"/>
      <c r="F240" s="12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1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</row>
    <row r="241" ht="12.75" customHeight="1">
      <c r="A241" s="14"/>
      <c r="B241" s="14"/>
      <c r="C241" s="11"/>
      <c r="D241" s="11"/>
      <c r="E241" s="11"/>
      <c r="F241" s="12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1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</row>
    <row r="242" ht="12.75" customHeight="1">
      <c r="A242" s="14"/>
      <c r="B242" s="14"/>
      <c r="C242" s="11"/>
      <c r="D242" s="11"/>
      <c r="E242" s="11"/>
      <c r="F242" s="12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1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</row>
    <row r="243" ht="12.75" customHeight="1">
      <c r="A243" s="14"/>
      <c r="B243" s="14"/>
      <c r="C243" s="11"/>
      <c r="D243" s="11"/>
      <c r="E243" s="11"/>
      <c r="F243" s="12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1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</row>
    <row r="244" ht="12.75" customHeight="1">
      <c r="A244" s="14"/>
      <c r="B244" s="14"/>
      <c r="C244" s="11"/>
      <c r="D244" s="11"/>
      <c r="E244" s="11"/>
      <c r="F244" s="12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1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</row>
    <row r="245" ht="12.75" customHeight="1">
      <c r="A245" s="14"/>
      <c r="B245" s="14"/>
      <c r="C245" s="11"/>
      <c r="D245" s="11"/>
      <c r="E245" s="11"/>
      <c r="F245" s="12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1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</row>
    <row r="246" ht="12.75" customHeight="1">
      <c r="A246" s="14"/>
      <c r="B246" s="14"/>
      <c r="C246" s="11"/>
      <c r="D246" s="11"/>
      <c r="E246" s="11"/>
      <c r="F246" s="12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1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</row>
    <row r="247" ht="12.75" customHeight="1">
      <c r="A247" s="14"/>
      <c r="B247" s="14"/>
      <c r="C247" s="11"/>
      <c r="D247" s="11"/>
      <c r="E247" s="11"/>
      <c r="F247" s="12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1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</row>
    <row r="248" ht="12.75" customHeight="1">
      <c r="A248" s="14"/>
      <c r="B248" s="14"/>
      <c r="C248" s="11"/>
      <c r="D248" s="11"/>
      <c r="E248" s="11"/>
      <c r="F248" s="12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1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</row>
    <row r="249" ht="12.75" customHeight="1">
      <c r="A249" s="14"/>
      <c r="B249" s="14"/>
      <c r="C249" s="11"/>
      <c r="D249" s="11"/>
      <c r="E249" s="11"/>
      <c r="F249" s="12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1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</row>
    <row r="250" ht="12.75" customHeight="1">
      <c r="A250" s="14"/>
      <c r="B250" s="14"/>
      <c r="C250" s="11"/>
      <c r="D250" s="11"/>
      <c r="E250" s="11"/>
      <c r="F250" s="12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1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</row>
    <row r="251" ht="12.75" customHeight="1">
      <c r="A251" s="14"/>
      <c r="B251" s="14"/>
      <c r="C251" s="11"/>
      <c r="D251" s="11"/>
      <c r="E251" s="11"/>
      <c r="F251" s="12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1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</row>
    <row r="252" ht="12.75" customHeight="1">
      <c r="A252" s="14"/>
      <c r="B252" s="14"/>
      <c r="C252" s="11"/>
      <c r="D252" s="11"/>
      <c r="E252" s="11"/>
      <c r="F252" s="12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1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</row>
    <row r="253" ht="12.75" customHeight="1">
      <c r="A253" s="14"/>
      <c r="B253" s="14"/>
      <c r="C253" s="11"/>
      <c r="D253" s="11"/>
      <c r="E253" s="11"/>
      <c r="F253" s="12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1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</row>
    <row r="254" ht="12.75" customHeight="1">
      <c r="A254" s="14"/>
      <c r="B254" s="14"/>
      <c r="C254" s="11"/>
      <c r="D254" s="11"/>
      <c r="E254" s="11"/>
      <c r="F254" s="12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1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</row>
    <row r="255" ht="12.75" customHeight="1">
      <c r="A255" s="14"/>
      <c r="B255" s="14"/>
      <c r="C255" s="11"/>
      <c r="D255" s="11"/>
      <c r="E255" s="11"/>
      <c r="F255" s="12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1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</row>
    <row r="256" ht="12.75" customHeight="1">
      <c r="A256" s="14"/>
      <c r="B256" s="14"/>
      <c r="C256" s="11"/>
      <c r="D256" s="11"/>
      <c r="E256" s="11"/>
      <c r="F256" s="12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1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</row>
    <row r="257" ht="12.75" customHeight="1">
      <c r="A257" s="14"/>
      <c r="B257" s="14"/>
      <c r="C257" s="11"/>
      <c r="D257" s="11"/>
      <c r="E257" s="11"/>
      <c r="F257" s="12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1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</row>
    <row r="258" ht="12.75" customHeight="1">
      <c r="A258" s="14"/>
      <c r="B258" s="14"/>
      <c r="C258" s="11"/>
      <c r="D258" s="11"/>
      <c r="E258" s="11"/>
      <c r="F258" s="12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1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</row>
    <row r="259" ht="12.75" customHeight="1">
      <c r="A259" s="14"/>
      <c r="B259" s="14"/>
      <c r="C259" s="11"/>
      <c r="D259" s="11"/>
      <c r="E259" s="11"/>
      <c r="F259" s="12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1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</row>
    <row r="260" ht="12.75" customHeight="1">
      <c r="A260" s="14"/>
      <c r="B260" s="14"/>
      <c r="C260" s="11"/>
      <c r="D260" s="11"/>
      <c r="E260" s="11"/>
      <c r="F260" s="12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1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</row>
    <row r="261" ht="12.75" customHeight="1">
      <c r="A261" s="14"/>
      <c r="B261" s="14"/>
      <c r="C261" s="11"/>
      <c r="D261" s="11"/>
      <c r="E261" s="11"/>
      <c r="F261" s="12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1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</row>
    <row r="262" ht="12.75" customHeight="1">
      <c r="A262" s="14"/>
      <c r="B262" s="14"/>
      <c r="C262" s="11"/>
      <c r="D262" s="11"/>
      <c r="E262" s="11"/>
      <c r="F262" s="12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1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</row>
    <row r="263" ht="15.75" customHeight="1">
      <c r="A263" s="46"/>
    </row>
    <row r="264" ht="15.75" customHeight="1">
      <c r="A264" s="46"/>
    </row>
    <row r="265" ht="15.75" customHeight="1">
      <c r="A265" s="46"/>
    </row>
    <row r="266" ht="15.75" customHeight="1">
      <c r="A266" s="46"/>
    </row>
    <row r="267" ht="15.75" customHeight="1">
      <c r="A267" s="46"/>
    </row>
    <row r="268" ht="15.75" customHeight="1">
      <c r="A268" s="46"/>
    </row>
    <row r="269" ht="15.75" customHeight="1">
      <c r="A269" s="46"/>
    </row>
    <row r="270" ht="15.75" customHeight="1">
      <c r="A270" s="46"/>
    </row>
    <row r="271" ht="15.75" customHeight="1">
      <c r="A271" s="46"/>
    </row>
    <row r="272" ht="15.75" customHeight="1">
      <c r="A272" s="46"/>
    </row>
    <row r="273" ht="15.75" customHeight="1">
      <c r="A273" s="46"/>
    </row>
    <row r="274" ht="15.75" customHeight="1">
      <c r="A274" s="46"/>
    </row>
    <row r="275" ht="15.75" customHeight="1">
      <c r="A275" s="46"/>
    </row>
    <row r="276" ht="15.75" customHeight="1">
      <c r="A276" s="46"/>
    </row>
    <row r="277" ht="15.75" customHeight="1">
      <c r="A277" s="46"/>
    </row>
    <row r="278" ht="15.75" customHeight="1">
      <c r="A278" s="46"/>
    </row>
    <row r="279" ht="15.75" customHeight="1">
      <c r="A279" s="46"/>
    </row>
    <row r="280" ht="15.75" customHeight="1">
      <c r="A280" s="46"/>
    </row>
    <row r="281" ht="15.75" customHeight="1">
      <c r="A281" s="46"/>
    </row>
    <row r="282" ht="15.75" customHeight="1">
      <c r="A282" s="46"/>
    </row>
    <row r="283" ht="15.75" customHeight="1">
      <c r="A283" s="46"/>
    </row>
    <row r="284" ht="15.75" customHeight="1">
      <c r="A284" s="46"/>
    </row>
    <row r="285" ht="15.75" customHeight="1">
      <c r="A285" s="46"/>
    </row>
    <row r="286" ht="15.75" customHeight="1">
      <c r="A286" s="46"/>
    </row>
    <row r="287" ht="15.75" customHeight="1">
      <c r="A287" s="46"/>
    </row>
    <row r="288" ht="15.75" customHeight="1">
      <c r="A288" s="46"/>
    </row>
    <row r="289" ht="15.75" customHeight="1">
      <c r="A289" s="46"/>
    </row>
    <row r="290" ht="15.75" customHeight="1">
      <c r="A290" s="46"/>
    </row>
    <row r="291" ht="15.75" customHeight="1">
      <c r="A291" s="46"/>
    </row>
    <row r="292" ht="15.75" customHeight="1">
      <c r="A292" s="46"/>
    </row>
    <row r="293" ht="15.75" customHeight="1">
      <c r="A293" s="46"/>
    </row>
    <row r="294" ht="15.75" customHeight="1">
      <c r="A294" s="46"/>
    </row>
    <row r="295" ht="15.75" customHeight="1">
      <c r="A295" s="46"/>
    </row>
    <row r="296" ht="15.75" customHeight="1">
      <c r="A296" s="46"/>
    </row>
    <row r="297" ht="15.75" customHeight="1">
      <c r="A297" s="46"/>
    </row>
    <row r="298" ht="15.75" customHeight="1">
      <c r="A298" s="46"/>
    </row>
    <row r="299" ht="15.75" customHeight="1">
      <c r="A299" s="46"/>
    </row>
    <row r="300" ht="15.75" customHeight="1">
      <c r="A300" s="46"/>
    </row>
    <row r="301" ht="15.75" customHeight="1">
      <c r="A301" s="46"/>
    </row>
    <row r="302" ht="15.75" customHeight="1">
      <c r="A302" s="46"/>
    </row>
    <row r="303" ht="15.75" customHeight="1">
      <c r="A303" s="46"/>
    </row>
    <row r="304" ht="15.75" customHeight="1">
      <c r="A304" s="46"/>
    </row>
    <row r="305" ht="15.75" customHeight="1">
      <c r="A305" s="46"/>
    </row>
    <row r="306" ht="15.75" customHeight="1">
      <c r="A306" s="46"/>
    </row>
    <row r="307" ht="15.75" customHeight="1">
      <c r="A307" s="46"/>
    </row>
    <row r="308" ht="15.75" customHeight="1">
      <c r="A308" s="46"/>
    </row>
    <row r="309" ht="15.75" customHeight="1">
      <c r="A309" s="46"/>
    </row>
    <row r="310" ht="15.75" customHeight="1">
      <c r="A310" s="46"/>
    </row>
    <row r="311" ht="15.75" customHeight="1">
      <c r="A311" s="46"/>
    </row>
    <row r="312" ht="15.75" customHeight="1">
      <c r="A312" s="46"/>
    </row>
    <row r="313" ht="15.75" customHeight="1">
      <c r="A313" s="46"/>
    </row>
    <row r="314" ht="15.75" customHeight="1">
      <c r="A314" s="46"/>
    </row>
    <row r="315" ht="15.75" customHeight="1">
      <c r="A315" s="46"/>
    </row>
    <row r="316" ht="15.75" customHeight="1">
      <c r="A316" s="46"/>
    </row>
    <row r="317" ht="15.75" customHeight="1">
      <c r="A317" s="46"/>
    </row>
    <row r="318" ht="15.75" customHeight="1">
      <c r="A318" s="46"/>
    </row>
    <row r="319" ht="15.75" customHeight="1">
      <c r="A319" s="46"/>
    </row>
    <row r="320" ht="15.75" customHeight="1">
      <c r="A320" s="46"/>
    </row>
    <row r="321" ht="15.75" customHeight="1">
      <c r="A321" s="46"/>
    </row>
    <row r="322" ht="15.75" customHeight="1">
      <c r="A322" s="46"/>
    </row>
    <row r="323" ht="15.75" customHeight="1">
      <c r="A323" s="46"/>
    </row>
    <row r="324" ht="15.75" customHeight="1">
      <c r="A324" s="46"/>
    </row>
    <row r="325" ht="15.75" customHeight="1">
      <c r="A325" s="46"/>
    </row>
    <row r="326" ht="15.75" customHeight="1">
      <c r="A326" s="46"/>
    </row>
    <row r="327" ht="15.75" customHeight="1">
      <c r="A327" s="46"/>
    </row>
    <row r="328" ht="15.75" customHeight="1">
      <c r="A328" s="46"/>
    </row>
    <row r="329" ht="15.75" customHeight="1">
      <c r="A329" s="46"/>
    </row>
    <row r="330" ht="15.75" customHeight="1">
      <c r="A330" s="46"/>
    </row>
    <row r="331" ht="15.75" customHeight="1">
      <c r="A331" s="46"/>
    </row>
    <row r="332" ht="15.75" customHeight="1">
      <c r="A332" s="46"/>
    </row>
    <row r="333" ht="15.75" customHeight="1">
      <c r="A333" s="46"/>
    </row>
    <row r="334" ht="15.75" customHeight="1">
      <c r="A334" s="46"/>
    </row>
    <row r="335" ht="15.75" customHeight="1">
      <c r="A335" s="46"/>
    </row>
    <row r="336" ht="15.75" customHeight="1">
      <c r="A336" s="46"/>
    </row>
    <row r="337" ht="15.75" customHeight="1">
      <c r="A337" s="46"/>
    </row>
    <row r="338" ht="15.75" customHeight="1">
      <c r="A338" s="46"/>
    </row>
    <row r="339" ht="15.75" customHeight="1">
      <c r="A339" s="46"/>
    </row>
    <row r="340" ht="15.75" customHeight="1">
      <c r="A340" s="46"/>
    </row>
    <row r="341" ht="15.75" customHeight="1">
      <c r="A341" s="46"/>
    </row>
    <row r="342" ht="15.75" customHeight="1">
      <c r="A342" s="46"/>
    </row>
    <row r="343" ht="15.75" customHeight="1">
      <c r="A343" s="46"/>
    </row>
    <row r="344" ht="15.75" customHeight="1">
      <c r="A344" s="46"/>
    </row>
    <row r="345" ht="15.75" customHeight="1">
      <c r="A345" s="46"/>
    </row>
    <row r="346" ht="15.75" customHeight="1">
      <c r="A346" s="46"/>
    </row>
    <row r="347" ht="15.75" customHeight="1">
      <c r="A347" s="46"/>
    </row>
    <row r="348" ht="15.75" customHeight="1">
      <c r="A348" s="46"/>
    </row>
    <row r="349" ht="15.75" customHeight="1">
      <c r="A349" s="46"/>
    </row>
    <row r="350" ht="15.75" customHeight="1">
      <c r="A350" s="46"/>
    </row>
    <row r="351" ht="15.75" customHeight="1">
      <c r="A351" s="46"/>
    </row>
    <row r="352" ht="15.75" customHeight="1">
      <c r="A352" s="46"/>
    </row>
    <row r="353" ht="15.75" customHeight="1">
      <c r="A353" s="46"/>
    </row>
    <row r="354" ht="15.75" customHeight="1">
      <c r="A354" s="46"/>
    </row>
    <row r="355" ht="15.75" customHeight="1">
      <c r="A355" s="46"/>
    </row>
    <row r="356" ht="15.75" customHeight="1">
      <c r="A356" s="46"/>
    </row>
    <row r="357" ht="15.75" customHeight="1">
      <c r="A357" s="46"/>
    </row>
    <row r="358" ht="15.75" customHeight="1">
      <c r="A358" s="46"/>
    </row>
    <row r="359" ht="15.75" customHeight="1">
      <c r="A359" s="46"/>
    </row>
    <row r="360" ht="15.75" customHeight="1">
      <c r="A360" s="46"/>
    </row>
    <row r="361" ht="15.75" customHeight="1">
      <c r="A361" s="46"/>
    </row>
    <row r="362" ht="15.75" customHeight="1">
      <c r="A362" s="46"/>
    </row>
    <row r="363" ht="15.75" customHeight="1">
      <c r="A363" s="46"/>
    </row>
    <row r="364" ht="15.75" customHeight="1">
      <c r="A364" s="46"/>
    </row>
    <row r="365" ht="15.75" customHeight="1">
      <c r="A365" s="46"/>
    </row>
    <row r="366" ht="15.75" customHeight="1">
      <c r="A366" s="46"/>
    </row>
    <row r="367" ht="15.75" customHeight="1">
      <c r="A367" s="46"/>
    </row>
    <row r="368" ht="15.75" customHeight="1">
      <c r="A368" s="46"/>
    </row>
    <row r="369" ht="15.75" customHeight="1">
      <c r="A369" s="46"/>
    </row>
    <row r="370" ht="15.75" customHeight="1">
      <c r="A370" s="46"/>
    </row>
    <row r="371" ht="15.75" customHeight="1">
      <c r="A371" s="46"/>
    </row>
    <row r="372" ht="15.75" customHeight="1">
      <c r="A372" s="46"/>
    </row>
    <row r="373" ht="15.75" customHeight="1">
      <c r="A373" s="46"/>
    </row>
    <row r="374" ht="15.75" customHeight="1">
      <c r="A374" s="46"/>
    </row>
    <row r="375" ht="15.75" customHeight="1">
      <c r="A375" s="46"/>
    </row>
    <row r="376" ht="15.75" customHeight="1">
      <c r="A376" s="46"/>
    </row>
    <row r="377" ht="15.75" customHeight="1">
      <c r="A377" s="46"/>
    </row>
    <row r="378" ht="15.75" customHeight="1">
      <c r="A378" s="46"/>
    </row>
    <row r="379" ht="15.75" customHeight="1">
      <c r="A379" s="46"/>
    </row>
    <row r="380" ht="15.75" customHeight="1">
      <c r="A380" s="46"/>
    </row>
    <row r="381" ht="15.75" customHeight="1">
      <c r="A381" s="46"/>
    </row>
    <row r="382" ht="15.75" customHeight="1">
      <c r="A382" s="46"/>
    </row>
    <row r="383" ht="15.75" customHeight="1">
      <c r="A383" s="46"/>
    </row>
    <row r="384" ht="15.75" customHeight="1">
      <c r="A384" s="46"/>
    </row>
    <row r="385" ht="15.75" customHeight="1">
      <c r="A385" s="46"/>
    </row>
    <row r="386" ht="15.75" customHeight="1">
      <c r="A386" s="46"/>
    </row>
    <row r="387" ht="15.75" customHeight="1">
      <c r="A387" s="46"/>
    </row>
    <row r="388" ht="15.75" customHeight="1">
      <c r="A388" s="46"/>
    </row>
    <row r="389" ht="15.75" customHeight="1">
      <c r="A389" s="46"/>
    </row>
    <row r="390" ht="15.75" customHeight="1">
      <c r="A390" s="46"/>
    </row>
    <row r="391" ht="15.75" customHeight="1">
      <c r="A391" s="46"/>
    </row>
    <row r="392" ht="15.75" customHeight="1">
      <c r="A392" s="46"/>
    </row>
    <row r="393" ht="15.75" customHeight="1">
      <c r="A393" s="46"/>
    </row>
    <row r="394" ht="15.75" customHeight="1">
      <c r="A394" s="46"/>
    </row>
    <row r="395" ht="15.75" customHeight="1">
      <c r="A395" s="46"/>
    </row>
    <row r="396" ht="15.75" customHeight="1">
      <c r="A396" s="46"/>
    </row>
    <row r="397" ht="15.75" customHeight="1">
      <c r="A397" s="46"/>
    </row>
    <row r="398" ht="15.75" customHeight="1">
      <c r="A398" s="46"/>
    </row>
    <row r="399" ht="15.75" customHeight="1">
      <c r="A399" s="46"/>
    </row>
    <row r="400" ht="15.75" customHeight="1">
      <c r="A400" s="46"/>
    </row>
    <row r="401" ht="15.75" customHeight="1">
      <c r="A401" s="46"/>
    </row>
    <row r="402" ht="15.75" customHeight="1">
      <c r="A402" s="46"/>
    </row>
    <row r="403" ht="15.75" customHeight="1">
      <c r="A403" s="46"/>
    </row>
    <row r="404" ht="15.75" customHeight="1">
      <c r="A404" s="46"/>
    </row>
    <row r="405" ht="15.75" customHeight="1">
      <c r="A405" s="46"/>
    </row>
    <row r="406" ht="15.75" customHeight="1">
      <c r="A406" s="46"/>
    </row>
    <row r="407" ht="15.75" customHeight="1">
      <c r="A407" s="46"/>
    </row>
    <row r="408" ht="15.75" customHeight="1">
      <c r="A408" s="46"/>
    </row>
    <row r="409" ht="15.75" customHeight="1">
      <c r="A409" s="46"/>
    </row>
    <row r="410" ht="15.75" customHeight="1">
      <c r="A410" s="46"/>
    </row>
    <row r="411" ht="15.75" customHeight="1">
      <c r="A411" s="46"/>
    </row>
    <row r="412" ht="15.75" customHeight="1">
      <c r="A412" s="46"/>
    </row>
    <row r="413" ht="15.75" customHeight="1">
      <c r="A413" s="46"/>
    </row>
    <row r="414" ht="15.75" customHeight="1">
      <c r="A414" s="46"/>
    </row>
    <row r="415" ht="15.75" customHeight="1">
      <c r="A415" s="46"/>
    </row>
    <row r="416" ht="15.75" customHeight="1">
      <c r="A416" s="46"/>
    </row>
    <row r="417" ht="15.75" customHeight="1">
      <c r="A417" s="46"/>
    </row>
    <row r="418" ht="15.75" customHeight="1">
      <c r="A418" s="46"/>
    </row>
    <row r="419" ht="15.75" customHeight="1">
      <c r="A419" s="46"/>
    </row>
    <row r="420" ht="15.75" customHeight="1">
      <c r="A420" s="46"/>
    </row>
    <row r="421" ht="15.75" customHeight="1">
      <c r="A421" s="46"/>
    </row>
    <row r="422" ht="15.75" customHeight="1">
      <c r="A422" s="46"/>
    </row>
    <row r="423" ht="15.75" customHeight="1">
      <c r="A423" s="46"/>
    </row>
    <row r="424" ht="15.75" customHeight="1">
      <c r="A424" s="46"/>
    </row>
    <row r="425" ht="15.75" customHeight="1">
      <c r="A425" s="46"/>
    </row>
    <row r="426" ht="15.75" customHeight="1">
      <c r="A426" s="46"/>
    </row>
    <row r="427" ht="15.75" customHeight="1">
      <c r="A427" s="46"/>
    </row>
    <row r="428" ht="15.75" customHeight="1">
      <c r="A428" s="46"/>
    </row>
    <row r="429" ht="15.75" customHeight="1">
      <c r="A429" s="46"/>
    </row>
    <row r="430" ht="15.75" customHeight="1">
      <c r="A430" s="46"/>
    </row>
    <row r="431" ht="15.75" customHeight="1">
      <c r="A431" s="46"/>
    </row>
    <row r="432" ht="15.75" customHeight="1">
      <c r="A432" s="46"/>
    </row>
    <row r="433" ht="15.75" customHeight="1">
      <c r="A433" s="46"/>
    </row>
    <row r="434" ht="15.75" customHeight="1">
      <c r="A434" s="46"/>
    </row>
    <row r="435" ht="15.75" customHeight="1">
      <c r="A435" s="46"/>
    </row>
    <row r="436" ht="15.75" customHeight="1">
      <c r="A436" s="46"/>
    </row>
    <row r="437" ht="15.75" customHeight="1">
      <c r="A437" s="46"/>
    </row>
    <row r="438" ht="15.75" customHeight="1">
      <c r="A438" s="46"/>
    </row>
    <row r="439" ht="15.75" customHeight="1">
      <c r="A439" s="46"/>
    </row>
    <row r="440" ht="15.75" customHeight="1">
      <c r="A440" s="46"/>
    </row>
    <row r="441" ht="15.75" customHeight="1">
      <c r="A441" s="46"/>
    </row>
    <row r="442" ht="15.75" customHeight="1">
      <c r="A442" s="46"/>
    </row>
    <row r="443" ht="15.75" customHeight="1">
      <c r="A443" s="46"/>
    </row>
    <row r="444" ht="15.75" customHeight="1">
      <c r="A444" s="46"/>
    </row>
    <row r="445" ht="15.75" customHeight="1">
      <c r="A445" s="46"/>
    </row>
    <row r="446" ht="15.75" customHeight="1">
      <c r="A446" s="46"/>
    </row>
    <row r="447" ht="15.75" customHeight="1">
      <c r="A447" s="46"/>
    </row>
    <row r="448" ht="15.75" customHeight="1">
      <c r="A448" s="46"/>
    </row>
    <row r="449" ht="15.75" customHeight="1">
      <c r="A449" s="46"/>
    </row>
    <row r="450" ht="15.75" customHeight="1">
      <c r="A450" s="46"/>
    </row>
    <row r="451" ht="15.75" customHeight="1">
      <c r="A451" s="46"/>
    </row>
    <row r="452" ht="15.75" customHeight="1">
      <c r="A452" s="46"/>
    </row>
    <row r="453" ht="15.75" customHeight="1">
      <c r="A453" s="46"/>
    </row>
    <row r="454" ht="15.75" customHeight="1">
      <c r="A454" s="46"/>
    </row>
    <row r="455" ht="15.75" customHeight="1">
      <c r="A455" s="46"/>
    </row>
    <row r="456" ht="15.75" customHeight="1">
      <c r="A456" s="46"/>
    </row>
    <row r="457" ht="15.75" customHeight="1">
      <c r="A457" s="46"/>
    </row>
    <row r="458" ht="15.75" customHeight="1">
      <c r="A458" s="46"/>
    </row>
    <row r="459" ht="15.75" customHeight="1">
      <c r="A459" s="46"/>
    </row>
    <row r="460" ht="15.75" customHeight="1">
      <c r="A460" s="46"/>
    </row>
    <row r="461" ht="15.75" customHeight="1">
      <c r="A461" s="46"/>
    </row>
    <row r="462" ht="15.75" customHeight="1">
      <c r="A462" s="46"/>
    </row>
    <row r="463" ht="15.75" customHeight="1">
      <c r="A463" s="46"/>
    </row>
    <row r="464" ht="15.75" customHeight="1">
      <c r="A464" s="46"/>
    </row>
    <row r="465" ht="15.75" customHeight="1">
      <c r="A465" s="46"/>
    </row>
    <row r="466" ht="15.75" customHeight="1">
      <c r="A466" s="46"/>
    </row>
    <row r="467" ht="15.75" customHeight="1">
      <c r="A467" s="46"/>
    </row>
    <row r="468" ht="15.75" customHeight="1">
      <c r="A468" s="46"/>
    </row>
    <row r="469" ht="15.75" customHeight="1">
      <c r="A469" s="46"/>
    </row>
    <row r="470" ht="15.75" customHeight="1">
      <c r="A470" s="46"/>
    </row>
    <row r="471" ht="15.75" customHeight="1">
      <c r="A471" s="46"/>
    </row>
    <row r="472" ht="15.75" customHeight="1">
      <c r="A472" s="46"/>
    </row>
    <row r="473" ht="15.75" customHeight="1">
      <c r="A473" s="46"/>
    </row>
    <row r="474" ht="15.75" customHeight="1">
      <c r="A474" s="46"/>
    </row>
    <row r="475" ht="15.75" customHeight="1">
      <c r="A475" s="46"/>
    </row>
    <row r="476" ht="15.75" customHeight="1">
      <c r="A476" s="46"/>
    </row>
    <row r="477" ht="15.75" customHeight="1">
      <c r="A477" s="46"/>
    </row>
    <row r="478" ht="15.75" customHeight="1">
      <c r="A478" s="46"/>
    </row>
    <row r="479" ht="15.75" customHeight="1">
      <c r="A479" s="46"/>
    </row>
    <row r="480" ht="15.75" customHeight="1">
      <c r="A480" s="46"/>
    </row>
    <row r="481" ht="15.75" customHeight="1">
      <c r="A481" s="46"/>
    </row>
    <row r="482" ht="15.75" customHeight="1">
      <c r="A482" s="46"/>
    </row>
    <row r="483" ht="15.75" customHeight="1">
      <c r="A483" s="46"/>
    </row>
    <row r="484" ht="15.75" customHeight="1">
      <c r="A484" s="46"/>
    </row>
    <row r="485" ht="15.75" customHeight="1">
      <c r="A485" s="46"/>
    </row>
    <row r="486" ht="15.75" customHeight="1">
      <c r="A486" s="46"/>
    </row>
    <row r="487" ht="15.75" customHeight="1">
      <c r="A487" s="46"/>
    </row>
    <row r="488" ht="15.75" customHeight="1">
      <c r="A488" s="46"/>
    </row>
    <row r="489" ht="15.75" customHeight="1">
      <c r="A489" s="46"/>
    </row>
    <row r="490" ht="15.75" customHeight="1">
      <c r="A490" s="46"/>
    </row>
    <row r="491" ht="15.75" customHeight="1">
      <c r="A491" s="46"/>
    </row>
    <row r="492" ht="15.75" customHeight="1">
      <c r="A492" s="46"/>
    </row>
    <row r="493" ht="15.75" customHeight="1">
      <c r="A493" s="46"/>
    </row>
    <row r="494" ht="15.75" customHeight="1">
      <c r="A494" s="46"/>
    </row>
    <row r="495" ht="15.75" customHeight="1">
      <c r="A495" s="46"/>
    </row>
    <row r="496" ht="15.75" customHeight="1">
      <c r="A496" s="46"/>
    </row>
    <row r="497" ht="15.75" customHeight="1">
      <c r="A497" s="46"/>
    </row>
    <row r="498" ht="15.75" customHeight="1">
      <c r="A498" s="46"/>
    </row>
    <row r="499" ht="15.75" customHeight="1">
      <c r="A499" s="46"/>
    </row>
    <row r="500" ht="15.75" customHeight="1">
      <c r="A500" s="46"/>
    </row>
    <row r="501" ht="15.75" customHeight="1">
      <c r="A501" s="46"/>
    </row>
    <row r="502" ht="15.75" customHeight="1">
      <c r="A502" s="46"/>
    </row>
    <row r="503" ht="15.75" customHeight="1">
      <c r="A503" s="46"/>
    </row>
    <row r="504" ht="15.75" customHeight="1">
      <c r="A504" s="46"/>
    </row>
    <row r="505" ht="15.75" customHeight="1">
      <c r="A505" s="46"/>
    </row>
    <row r="506" ht="15.75" customHeight="1">
      <c r="A506" s="46"/>
    </row>
    <row r="507" ht="15.75" customHeight="1">
      <c r="A507" s="46"/>
    </row>
    <row r="508" ht="15.75" customHeight="1">
      <c r="A508" s="46"/>
    </row>
    <row r="509" ht="15.75" customHeight="1">
      <c r="A509" s="46"/>
    </row>
    <row r="510" ht="15.75" customHeight="1">
      <c r="A510" s="46"/>
    </row>
    <row r="511" ht="15.75" customHeight="1">
      <c r="A511" s="46"/>
    </row>
    <row r="512" ht="15.75" customHeight="1">
      <c r="A512" s="46"/>
    </row>
    <row r="513" ht="15.75" customHeight="1">
      <c r="A513" s="46"/>
    </row>
    <row r="514" ht="15.75" customHeight="1">
      <c r="A514" s="46"/>
    </row>
    <row r="515" ht="15.75" customHeight="1">
      <c r="A515" s="46"/>
    </row>
    <row r="516" ht="15.75" customHeight="1">
      <c r="A516" s="46"/>
    </row>
    <row r="517" ht="15.75" customHeight="1">
      <c r="A517" s="46"/>
    </row>
    <row r="518" ht="15.75" customHeight="1">
      <c r="A518" s="46"/>
    </row>
    <row r="519" ht="15.75" customHeight="1">
      <c r="A519" s="46"/>
    </row>
    <row r="520" ht="15.75" customHeight="1">
      <c r="A520" s="46"/>
    </row>
    <row r="521" ht="15.75" customHeight="1">
      <c r="A521" s="46"/>
    </row>
    <row r="522" ht="15.75" customHeight="1">
      <c r="A522" s="46"/>
    </row>
    <row r="523" ht="15.75" customHeight="1">
      <c r="A523" s="46"/>
    </row>
    <row r="524" ht="15.75" customHeight="1">
      <c r="A524" s="46"/>
    </row>
    <row r="525" ht="15.75" customHeight="1">
      <c r="A525" s="46"/>
    </row>
    <row r="526" ht="15.75" customHeight="1">
      <c r="A526" s="46"/>
    </row>
    <row r="527" ht="15.75" customHeight="1">
      <c r="A527" s="46"/>
    </row>
    <row r="528" ht="15.75" customHeight="1">
      <c r="A528" s="46"/>
    </row>
    <row r="529" ht="15.75" customHeight="1">
      <c r="A529" s="46"/>
    </row>
    <row r="530" ht="15.75" customHeight="1">
      <c r="A530" s="46"/>
    </row>
    <row r="531" ht="15.75" customHeight="1">
      <c r="A531" s="46"/>
    </row>
    <row r="532" ht="15.75" customHeight="1">
      <c r="A532" s="46"/>
    </row>
    <row r="533" ht="15.75" customHeight="1">
      <c r="A533" s="46"/>
    </row>
    <row r="534" ht="15.75" customHeight="1">
      <c r="A534" s="46"/>
    </row>
    <row r="535" ht="15.75" customHeight="1">
      <c r="A535" s="46"/>
    </row>
    <row r="536" ht="15.75" customHeight="1">
      <c r="A536" s="46"/>
    </row>
    <row r="537" ht="15.75" customHeight="1">
      <c r="A537" s="46"/>
    </row>
    <row r="538" ht="15.75" customHeight="1">
      <c r="A538" s="46"/>
    </row>
    <row r="539" ht="15.75" customHeight="1">
      <c r="A539" s="46"/>
    </row>
    <row r="540" ht="15.75" customHeight="1">
      <c r="A540" s="46"/>
    </row>
    <row r="541" ht="15.75" customHeight="1">
      <c r="A541" s="46"/>
    </row>
    <row r="542" ht="15.75" customHeight="1">
      <c r="A542" s="46"/>
    </row>
    <row r="543" ht="15.75" customHeight="1">
      <c r="A543" s="46"/>
    </row>
    <row r="544" ht="15.75" customHeight="1">
      <c r="A544" s="46"/>
    </row>
    <row r="545" ht="15.75" customHeight="1">
      <c r="A545" s="46"/>
    </row>
    <row r="546" ht="15.75" customHeight="1">
      <c r="A546" s="46"/>
    </row>
    <row r="547" ht="15.75" customHeight="1">
      <c r="A547" s="46"/>
    </row>
    <row r="548" ht="15.75" customHeight="1">
      <c r="A548" s="46"/>
    </row>
    <row r="549" ht="15.75" customHeight="1">
      <c r="A549" s="46"/>
    </row>
    <row r="550" ht="15.75" customHeight="1">
      <c r="A550" s="46"/>
    </row>
    <row r="551" ht="15.75" customHeight="1">
      <c r="A551" s="46"/>
    </row>
    <row r="552" ht="15.75" customHeight="1">
      <c r="A552" s="46"/>
    </row>
    <row r="553" ht="15.75" customHeight="1">
      <c r="A553" s="46"/>
    </row>
    <row r="554" ht="15.75" customHeight="1">
      <c r="A554" s="46"/>
    </row>
    <row r="555" ht="15.75" customHeight="1">
      <c r="A555" s="46"/>
    </row>
    <row r="556" ht="15.75" customHeight="1">
      <c r="A556" s="46"/>
    </row>
    <row r="557" ht="15.75" customHeight="1">
      <c r="A557" s="46"/>
    </row>
    <row r="558" ht="15.75" customHeight="1">
      <c r="A558" s="46"/>
    </row>
    <row r="559" ht="15.75" customHeight="1">
      <c r="A559" s="46"/>
    </row>
    <row r="560" ht="15.75" customHeight="1">
      <c r="A560" s="46"/>
    </row>
    <row r="561" ht="15.75" customHeight="1">
      <c r="A561" s="46"/>
    </row>
    <row r="562" ht="15.75" customHeight="1">
      <c r="A562" s="46"/>
    </row>
    <row r="563" ht="15.75" customHeight="1">
      <c r="A563" s="46"/>
    </row>
    <row r="564" ht="15.75" customHeight="1">
      <c r="A564" s="46"/>
    </row>
    <row r="565" ht="15.75" customHeight="1">
      <c r="A565" s="46"/>
    </row>
    <row r="566" ht="15.75" customHeight="1">
      <c r="A566" s="46"/>
    </row>
    <row r="567" ht="15.75" customHeight="1">
      <c r="A567" s="46"/>
    </row>
    <row r="568" ht="15.75" customHeight="1">
      <c r="A568" s="46"/>
    </row>
    <row r="569" ht="15.75" customHeight="1">
      <c r="A569" s="46"/>
    </row>
    <row r="570" ht="15.75" customHeight="1">
      <c r="A570" s="46"/>
    </row>
    <row r="571" ht="15.75" customHeight="1">
      <c r="A571" s="46"/>
    </row>
    <row r="572" ht="15.75" customHeight="1">
      <c r="A572" s="46"/>
    </row>
    <row r="573" ht="15.75" customHeight="1">
      <c r="A573" s="46"/>
    </row>
    <row r="574" ht="15.75" customHeight="1">
      <c r="A574" s="46"/>
    </row>
    <row r="575" ht="15.75" customHeight="1">
      <c r="A575" s="46"/>
    </row>
    <row r="576" ht="15.75" customHeight="1">
      <c r="A576" s="46"/>
    </row>
    <row r="577" ht="15.75" customHeight="1">
      <c r="A577" s="46"/>
    </row>
    <row r="578" ht="15.75" customHeight="1">
      <c r="A578" s="46"/>
    </row>
    <row r="579" ht="15.75" customHeight="1">
      <c r="A579" s="46"/>
    </row>
    <row r="580" ht="15.75" customHeight="1">
      <c r="A580" s="46"/>
    </row>
    <row r="581" ht="15.75" customHeight="1">
      <c r="A581" s="46"/>
    </row>
    <row r="582" ht="15.75" customHeight="1">
      <c r="A582" s="46"/>
    </row>
    <row r="583" ht="15.75" customHeight="1">
      <c r="A583" s="46"/>
    </row>
    <row r="584" ht="15.75" customHeight="1">
      <c r="A584" s="46"/>
    </row>
    <row r="585" ht="15.75" customHeight="1">
      <c r="A585" s="46"/>
    </row>
    <row r="586" ht="15.75" customHeight="1">
      <c r="A586" s="46"/>
    </row>
    <row r="587" ht="15.75" customHeight="1">
      <c r="A587" s="46"/>
    </row>
    <row r="588" ht="15.75" customHeight="1">
      <c r="A588" s="46"/>
    </row>
    <row r="589" ht="15.75" customHeight="1">
      <c r="A589" s="46"/>
    </row>
    <row r="590" ht="15.75" customHeight="1">
      <c r="A590" s="46"/>
    </row>
    <row r="591" ht="15.75" customHeight="1">
      <c r="A591" s="46"/>
    </row>
    <row r="592" ht="15.75" customHeight="1">
      <c r="A592" s="46"/>
    </row>
    <row r="593" ht="15.75" customHeight="1">
      <c r="A593" s="46"/>
    </row>
    <row r="594" ht="15.75" customHeight="1">
      <c r="A594" s="46"/>
    </row>
    <row r="595" ht="15.75" customHeight="1">
      <c r="A595" s="46"/>
    </row>
    <row r="596" ht="15.75" customHeight="1">
      <c r="A596" s="46"/>
    </row>
    <row r="597" ht="15.75" customHeight="1">
      <c r="A597" s="46"/>
    </row>
    <row r="598" ht="15.75" customHeight="1">
      <c r="A598" s="46"/>
    </row>
    <row r="599" ht="15.75" customHeight="1">
      <c r="A599" s="46"/>
    </row>
    <row r="600" ht="15.75" customHeight="1">
      <c r="A600" s="46"/>
    </row>
    <row r="601" ht="15.75" customHeight="1">
      <c r="A601" s="46"/>
    </row>
    <row r="602" ht="15.75" customHeight="1">
      <c r="A602" s="46"/>
    </row>
    <row r="603" ht="15.75" customHeight="1">
      <c r="A603" s="46"/>
    </row>
    <row r="604" ht="15.75" customHeight="1">
      <c r="A604" s="46"/>
    </row>
    <row r="605" ht="15.75" customHeight="1">
      <c r="A605" s="46"/>
    </row>
    <row r="606" ht="15.75" customHeight="1">
      <c r="A606" s="46"/>
    </row>
    <row r="607" ht="15.75" customHeight="1">
      <c r="A607" s="46"/>
    </row>
    <row r="608" ht="15.75" customHeight="1">
      <c r="A608" s="46"/>
    </row>
    <row r="609" ht="15.75" customHeight="1">
      <c r="A609" s="46"/>
    </row>
    <row r="610" ht="15.75" customHeight="1">
      <c r="A610" s="46"/>
    </row>
    <row r="611" ht="15.75" customHeight="1">
      <c r="A611" s="46"/>
    </row>
    <row r="612" ht="15.75" customHeight="1">
      <c r="A612" s="46"/>
    </row>
    <row r="613" ht="15.75" customHeight="1">
      <c r="A613" s="46"/>
    </row>
    <row r="614" ht="15.75" customHeight="1">
      <c r="A614" s="46"/>
    </row>
    <row r="615" ht="15.75" customHeight="1">
      <c r="A615" s="46"/>
    </row>
    <row r="616" ht="15.75" customHeight="1">
      <c r="A616" s="46"/>
    </row>
    <row r="617" ht="15.75" customHeight="1">
      <c r="A617" s="46"/>
    </row>
    <row r="618" ht="15.75" customHeight="1">
      <c r="A618" s="46"/>
    </row>
    <row r="619" ht="15.75" customHeight="1">
      <c r="A619" s="46"/>
    </row>
    <row r="620" ht="15.75" customHeight="1">
      <c r="A620" s="46"/>
    </row>
    <row r="621" ht="15.75" customHeight="1">
      <c r="A621" s="46"/>
    </row>
    <row r="622" ht="15.75" customHeight="1">
      <c r="A622" s="46"/>
    </row>
    <row r="623" ht="15.75" customHeight="1">
      <c r="A623" s="46"/>
    </row>
    <row r="624" ht="15.75" customHeight="1">
      <c r="A624" s="46"/>
    </row>
    <row r="625" ht="15.75" customHeight="1">
      <c r="A625" s="46"/>
    </row>
    <row r="626" ht="15.75" customHeight="1">
      <c r="A626" s="46"/>
    </row>
    <row r="627" ht="15.75" customHeight="1">
      <c r="A627" s="46"/>
    </row>
    <row r="628" ht="15.75" customHeight="1">
      <c r="A628" s="46"/>
    </row>
    <row r="629" ht="15.75" customHeight="1">
      <c r="A629" s="46"/>
    </row>
    <row r="630" ht="15.75" customHeight="1">
      <c r="A630" s="46"/>
    </row>
    <row r="631" ht="15.75" customHeight="1">
      <c r="A631" s="46"/>
    </row>
    <row r="632" ht="15.75" customHeight="1">
      <c r="A632" s="46"/>
    </row>
    <row r="633" ht="15.75" customHeight="1">
      <c r="A633" s="46"/>
    </row>
    <row r="634" ht="15.75" customHeight="1">
      <c r="A634" s="46"/>
    </row>
    <row r="635" ht="15.75" customHeight="1">
      <c r="A635" s="46"/>
    </row>
    <row r="636" ht="15.75" customHeight="1">
      <c r="A636" s="46"/>
    </row>
    <row r="637" ht="15.75" customHeight="1">
      <c r="A637" s="46"/>
    </row>
    <row r="638" ht="15.75" customHeight="1">
      <c r="A638" s="46"/>
    </row>
    <row r="639" ht="15.75" customHeight="1">
      <c r="A639" s="46"/>
    </row>
    <row r="640" ht="15.75" customHeight="1">
      <c r="A640" s="46"/>
    </row>
    <row r="641" ht="15.75" customHeight="1">
      <c r="A641" s="46"/>
    </row>
    <row r="642" ht="15.75" customHeight="1">
      <c r="A642" s="46"/>
    </row>
    <row r="643" ht="15.75" customHeight="1">
      <c r="A643" s="46"/>
    </row>
    <row r="644" ht="15.75" customHeight="1">
      <c r="A644" s="46"/>
    </row>
    <row r="645" ht="15.75" customHeight="1">
      <c r="A645" s="46"/>
    </row>
    <row r="646" ht="15.75" customHeight="1">
      <c r="A646" s="46"/>
    </row>
    <row r="647" ht="15.75" customHeight="1">
      <c r="A647" s="46"/>
    </row>
    <row r="648" ht="15.75" customHeight="1">
      <c r="A648" s="46"/>
    </row>
    <row r="649" ht="15.75" customHeight="1">
      <c r="A649" s="46"/>
    </row>
    <row r="650" ht="15.75" customHeight="1">
      <c r="A650" s="46"/>
    </row>
    <row r="651" ht="15.75" customHeight="1">
      <c r="A651" s="46"/>
    </row>
    <row r="652" ht="15.75" customHeight="1">
      <c r="A652" s="46"/>
    </row>
    <row r="653" ht="15.75" customHeight="1">
      <c r="A653" s="46"/>
    </row>
    <row r="654" ht="15.75" customHeight="1">
      <c r="A654" s="46"/>
    </row>
    <row r="655" ht="15.75" customHeight="1">
      <c r="A655" s="46"/>
    </row>
    <row r="656" ht="15.75" customHeight="1">
      <c r="A656" s="46"/>
    </row>
    <row r="657" ht="15.75" customHeight="1">
      <c r="A657" s="46"/>
    </row>
    <row r="658" ht="15.75" customHeight="1">
      <c r="A658" s="46"/>
    </row>
    <row r="659" ht="15.75" customHeight="1">
      <c r="A659" s="46"/>
    </row>
    <row r="660" ht="15.75" customHeight="1">
      <c r="A660" s="46"/>
    </row>
    <row r="661" ht="15.75" customHeight="1">
      <c r="A661" s="46"/>
    </row>
    <row r="662" ht="15.75" customHeight="1">
      <c r="A662" s="46"/>
    </row>
    <row r="663" ht="15.75" customHeight="1">
      <c r="A663" s="46"/>
    </row>
    <row r="664" ht="15.75" customHeight="1">
      <c r="A664" s="46"/>
    </row>
    <row r="665" ht="15.75" customHeight="1">
      <c r="A665" s="46"/>
    </row>
    <row r="666" ht="15.75" customHeight="1">
      <c r="A666" s="46"/>
    </row>
    <row r="667" ht="15.75" customHeight="1">
      <c r="A667" s="46"/>
    </row>
    <row r="668" ht="15.75" customHeight="1">
      <c r="A668" s="46"/>
    </row>
    <row r="669" ht="15.75" customHeight="1">
      <c r="A669" s="46"/>
    </row>
    <row r="670" ht="15.75" customHeight="1">
      <c r="A670" s="46"/>
    </row>
    <row r="671" ht="15.75" customHeight="1">
      <c r="A671" s="46"/>
    </row>
    <row r="672" ht="15.75" customHeight="1">
      <c r="A672" s="46"/>
    </row>
    <row r="673" ht="15.75" customHeight="1">
      <c r="A673" s="46"/>
    </row>
    <row r="674" ht="15.75" customHeight="1">
      <c r="A674" s="46"/>
    </row>
    <row r="675" ht="15.75" customHeight="1">
      <c r="A675" s="46"/>
    </row>
    <row r="676" ht="15.75" customHeight="1">
      <c r="A676" s="46"/>
    </row>
    <row r="677" ht="15.75" customHeight="1">
      <c r="A677" s="46"/>
    </row>
    <row r="678" ht="15.75" customHeight="1">
      <c r="A678" s="46"/>
    </row>
    <row r="679" ht="15.75" customHeight="1">
      <c r="A679" s="46"/>
    </row>
    <row r="680" ht="15.75" customHeight="1">
      <c r="A680" s="46"/>
    </row>
    <row r="681" ht="15.75" customHeight="1">
      <c r="A681" s="46"/>
    </row>
    <row r="682" ht="15.75" customHeight="1">
      <c r="A682" s="46"/>
    </row>
    <row r="683" ht="15.75" customHeight="1">
      <c r="A683" s="46"/>
    </row>
    <row r="684" ht="15.75" customHeight="1">
      <c r="A684" s="46"/>
    </row>
    <row r="685" ht="15.75" customHeight="1">
      <c r="A685" s="46"/>
    </row>
    <row r="686" ht="15.75" customHeight="1">
      <c r="A686" s="46"/>
    </row>
    <row r="687" ht="15.75" customHeight="1">
      <c r="A687" s="46"/>
    </row>
    <row r="688" ht="15.75" customHeight="1">
      <c r="A688" s="46"/>
    </row>
    <row r="689" ht="15.75" customHeight="1">
      <c r="A689" s="46"/>
    </row>
    <row r="690" ht="15.75" customHeight="1">
      <c r="A690" s="46"/>
    </row>
    <row r="691" ht="15.75" customHeight="1">
      <c r="A691" s="46"/>
    </row>
    <row r="692" ht="15.75" customHeight="1">
      <c r="A692" s="46"/>
    </row>
    <row r="693" ht="15.75" customHeight="1">
      <c r="A693" s="46"/>
    </row>
    <row r="694" ht="15.75" customHeight="1">
      <c r="A694" s="46"/>
    </row>
    <row r="695" ht="15.75" customHeight="1">
      <c r="A695" s="46"/>
    </row>
    <row r="696" ht="15.75" customHeight="1">
      <c r="A696" s="46"/>
    </row>
    <row r="697" ht="15.75" customHeight="1">
      <c r="A697" s="46"/>
    </row>
    <row r="698" ht="15.75" customHeight="1">
      <c r="A698" s="46"/>
    </row>
    <row r="699" ht="15.75" customHeight="1">
      <c r="A699" s="46"/>
    </row>
    <row r="700" ht="15.75" customHeight="1">
      <c r="A700" s="46"/>
    </row>
    <row r="701" ht="15.75" customHeight="1">
      <c r="A701" s="46"/>
    </row>
    <row r="702" ht="15.75" customHeight="1">
      <c r="A702" s="46"/>
    </row>
    <row r="703" ht="15.75" customHeight="1">
      <c r="A703" s="46"/>
    </row>
    <row r="704" ht="15.75" customHeight="1">
      <c r="A704" s="46"/>
    </row>
    <row r="705" ht="15.75" customHeight="1">
      <c r="A705" s="46"/>
    </row>
    <row r="706" ht="15.75" customHeight="1">
      <c r="A706" s="46"/>
    </row>
    <row r="707" ht="15.75" customHeight="1">
      <c r="A707" s="46"/>
    </row>
    <row r="708" ht="15.75" customHeight="1">
      <c r="A708" s="46"/>
    </row>
    <row r="709" ht="15.75" customHeight="1">
      <c r="A709" s="46"/>
    </row>
    <row r="710" ht="15.75" customHeight="1">
      <c r="A710" s="46"/>
    </row>
    <row r="711" ht="15.75" customHeight="1">
      <c r="A711" s="46"/>
    </row>
    <row r="712" ht="15.75" customHeight="1">
      <c r="A712" s="46"/>
    </row>
    <row r="713" ht="15.75" customHeight="1">
      <c r="A713" s="46"/>
    </row>
    <row r="714" ht="15.75" customHeight="1">
      <c r="A714" s="46"/>
    </row>
    <row r="715" ht="15.75" customHeight="1">
      <c r="A715" s="46"/>
    </row>
    <row r="716" ht="15.75" customHeight="1">
      <c r="A716" s="46"/>
    </row>
    <row r="717" ht="15.75" customHeight="1">
      <c r="A717" s="46"/>
    </row>
    <row r="718" ht="15.75" customHeight="1">
      <c r="A718" s="46"/>
    </row>
    <row r="719" ht="15.75" customHeight="1">
      <c r="A719" s="46"/>
    </row>
    <row r="720" ht="15.75" customHeight="1">
      <c r="A720" s="46"/>
    </row>
    <row r="721" ht="15.75" customHeight="1">
      <c r="A721" s="46"/>
    </row>
    <row r="722" ht="15.75" customHeight="1">
      <c r="A722" s="46"/>
    </row>
    <row r="723" ht="15.75" customHeight="1">
      <c r="A723" s="46"/>
    </row>
    <row r="724" ht="15.75" customHeight="1">
      <c r="A724" s="46"/>
    </row>
    <row r="725" ht="15.75" customHeight="1">
      <c r="A725" s="46"/>
    </row>
    <row r="726" ht="15.75" customHeight="1">
      <c r="A726" s="46"/>
    </row>
    <row r="727" ht="15.75" customHeight="1">
      <c r="A727" s="46"/>
    </row>
    <row r="728" ht="15.75" customHeight="1">
      <c r="A728" s="46"/>
    </row>
    <row r="729" ht="15.75" customHeight="1">
      <c r="A729" s="46"/>
    </row>
    <row r="730" ht="15.75" customHeight="1">
      <c r="A730" s="46"/>
    </row>
    <row r="731" ht="15.75" customHeight="1">
      <c r="A731" s="46"/>
    </row>
    <row r="732" ht="15.75" customHeight="1">
      <c r="A732" s="46"/>
    </row>
    <row r="733" ht="15.75" customHeight="1">
      <c r="A733" s="46"/>
    </row>
    <row r="734" ht="15.75" customHeight="1">
      <c r="A734" s="46"/>
    </row>
    <row r="735" ht="15.75" customHeight="1">
      <c r="A735" s="46"/>
    </row>
    <row r="736" ht="15.75" customHeight="1">
      <c r="A736" s="46"/>
    </row>
    <row r="737" ht="15.75" customHeight="1">
      <c r="A737" s="46"/>
    </row>
    <row r="738" ht="15.75" customHeight="1">
      <c r="A738" s="46"/>
    </row>
    <row r="739" ht="15.75" customHeight="1">
      <c r="A739" s="46"/>
    </row>
    <row r="740" ht="15.75" customHeight="1">
      <c r="A740" s="46"/>
    </row>
    <row r="741" ht="15.75" customHeight="1">
      <c r="A741" s="46"/>
    </row>
    <row r="742" ht="15.75" customHeight="1">
      <c r="A742" s="46"/>
    </row>
    <row r="743" ht="15.75" customHeight="1">
      <c r="A743" s="46"/>
    </row>
    <row r="744" ht="15.75" customHeight="1">
      <c r="A744" s="46"/>
    </row>
    <row r="745" ht="15.75" customHeight="1">
      <c r="A745" s="46"/>
    </row>
    <row r="746" ht="15.75" customHeight="1">
      <c r="A746" s="46"/>
    </row>
    <row r="747" ht="15.75" customHeight="1">
      <c r="A747" s="46"/>
    </row>
    <row r="748" ht="15.75" customHeight="1">
      <c r="A748" s="46"/>
    </row>
    <row r="749" ht="15.75" customHeight="1">
      <c r="A749" s="46"/>
    </row>
    <row r="750" ht="15.75" customHeight="1">
      <c r="A750" s="46"/>
    </row>
    <row r="751" ht="15.75" customHeight="1">
      <c r="A751" s="46"/>
    </row>
    <row r="752" ht="15.75" customHeight="1">
      <c r="A752" s="46"/>
    </row>
    <row r="753" ht="15.75" customHeight="1">
      <c r="A753" s="46"/>
    </row>
    <row r="754" ht="15.75" customHeight="1">
      <c r="A754" s="46"/>
    </row>
    <row r="755" ht="15.75" customHeight="1">
      <c r="A755" s="46"/>
    </row>
    <row r="756" ht="15.75" customHeight="1">
      <c r="A756" s="46"/>
    </row>
    <row r="757" ht="15.75" customHeight="1">
      <c r="A757" s="46"/>
    </row>
    <row r="758" ht="15.75" customHeight="1">
      <c r="A758" s="46"/>
    </row>
    <row r="759" ht="15.75" customHeight="1">
      <c r="A759" s="46"/>
    </row>
    <row r="760" ht="15.75" customHeight="1">
      <c r="A760" s="46"/>
    </row>
    <row r="761" ht="15.75" customHeight="1">
      <c r="A761" s="46"/>
    </row>
    <row r="762" ht="15.75" customHeight="1">
      <c r="A762" s="46"/>
    </row>
    <row r="763" ht="15.75" customHeight="1">
      <c r="A763" s="46"/>
    </row>
    <row r="764" ht="15.75" customHeight="1">
      <c r="A764" s="46"/>
    </row>
    <row r="765" ht="15.75" customHeight="1">
      <c r="A765" s="46"/>
    </row>
    <row r="766" ht="15.75" customHeight="1">
      <c r="A766" s="46"/>
    </row>
    <row r="767" ht="15.75" customHeight="1">
      <c r="A767" s="46"/>
    </row>
    <row r="768" ht="15.75" customHeight="1">
      <c r="A768" s="46"/>
    </row>
    <row r="769" ht="15.75" customHeight="1">
      <c r="A769" s="46"/>
    </row>
    <row r="770" ht="15.75" customHeight="1">
      <c r="A770" s="46"/>
    </row>
    <row r="771" ht="15.75" customHeight="1">
      <c r="A771" s="46"/>
    </row>
    <row r="772" ht="15.75" customHeight="1">
      <c r="A772" s="46"/>
    </row>
    <row r="773" ht="15.75" customHeight="1">
      <c r="A773" s="46"/>
    </row>
    <row r="774" ht="15.75" customHeight="1">
      <c r="A774" s="46"/>
    </row>
    <row r="775" ht="15.75" customHeight="1">
      <c r="A775" s="46"/>
    </row>
    <row r="776" ht="15.75" customHeight="1">
      <c r="A776" s="46"/>
    </row>
    <row r="777" ht="15.75" customHeight="1">
      <c r="A777" s="46"/>
    </row>
    <row r="778" ht="15.75" customHeight="1">
      <c r="A778" s="46"/>
    </row>
    <row r="779" ht="15.75" customHeight="1">
      <c r="A779" s="46"/>
    </row>
    <row r="780" ht="15.75" customHeight="1">
      <c r="A780" s="46"/>
    </row>
    <row r="781" ht="15.75" customHeight="1">
      <c r="A781" s="46"/>
    </row>
    <row r="782" ht="15.75" customHeight="1">
      <c r="A782" s="46"/>
    </row>
    <row r="783" ht="15.75" customHeight="1">
      <c r="A783" s="46"/>
    </row>
    <row r="784" ht="15.75" customHeight="1">
      <c r="A784" s="46"/>
    </row>
    <row r="785" ht="15.75" customHeight="1">
      <c r="A785" s="46"/>
    </row>
    <row r="786" ht="15.75" customHeight="1">
      <c r="A786" s="46"/>
    </row>
    <row r="787" ht="15.75" customHeight="1">
      <c r="A787" s="46"/>
    </row>
    <row r="788" ht="15.75" customHeight="1">
      <c r="A788" s="46"/>
    </row>
    <row r="789" ht="15.75" customHeight="1">
      <c r="A789" s="46"/>
    </row>
    <row r="790" ht="15.75" customHeight="1">
      <c r="A790" s="46"/>
    </row>
    <row r="791" ht="15.75" customHeight="1">
      <c r="A791" s="46"/>
    </row>
    <row r="792" ht="15.75" customHeight="1">
      <c r="A792" s="46"/>
    </row>
    <row r="793" ht="15.75" customHeight="1">
      <c r="A793" s="46"/>
    </row>
    <row r="794" ht="15.75" customHeight="1">
      <c r="A794" s="46"/>
    </row>
    <row r="795" ht="15.75" customHeight="1">
      <c r="A795" s="46"/>
    </row>
    <row r="796" ht="15.75" customHeight="1">
      <c r="A796" s="46"/>
    </row>
    <row r="797" ht="15.75" customHeight="1">
      <c r="A797" s="46"/>
    </row>
    <row r="798" ht="15.75" customHeight="1">
      <c r="A798" s="46"/>
    </row>
    <row r="799" ht="15.75" customHeight="1">
      <c r="A799" s="46"/>
    </row>
    <row r="800" ht="15.75" customHeight="1">
      <c r="A800" s="46"/>
    </row>
    <row r="801" ht="15.75" customHeight="1">
      <c r="A801" s="46"/>
    </row>
    <row r="802" ht="15.75" customHeight="1">
      <c r="A802" s="46"/>
    </row>
    <row r="803" ht="15.75" customHeight="1">
      <c r="A803" s="46"/>
    </row>
    <row r="804" ht="15.75" customHeight="1">
      <c r="A804" s="46"/>
    </row>
    <row r="805" ht="15.75" customHeight="1">
      <c r="A805" s="46"/>
    </row>
    <row r="806" ht="15.75" customHeight="1">
      <c r="A806" s="46"/>
    </row>
    <row r="807" ht="15.75" customHeight="1">
      <c r="A807" s="46"/>
    </row>
    <row r="808" ht="15.75" customHeight="1">
      <c r="A808" s="46"/>
    </row>
    <row r="809" ht="15.75" customHeight="1">
      <c r="A809" s="46"/>
    </row>
    <row r="810" ht="15.75" customHeight="1">
      <c r="A810" s="46"/>
    </row>
    <row r="811" ht="15.75" customHeight="1">
      <c r="A811" s="46"/>
    </row>
    <row r="812" ht="15.75" customHeight="1">
      <c r="A812" s="46"/>
    </row>
    <row r="813" ht="15.75" customHeight="1">
      <c r="A813" s="46"/>
    </row>
    <row r="814" ht="15.75" customHeight="1">
      <c r="A814" s="46"/>
    </row>
    <row r="815" ht="15.75" customHeight="1">
      <c r="A815" s="46"/>
    </row>
    <row r="816" ht="15.75" customHeight="1">
      <c r="A816" s="46"/>
    </row>
    <row r="817" ht="15.75" customHeight="1">
      <c r="A817" s="46"/>
    </row>
    <row r="818" ht="15.75" customHeight="1">
      <c r="A818" s="46"/>
    </row>
    <row r="819" ht="15.75" customHeight="1">
      <c r="A819" s="46"/>
    </row>
    <row r="820" ht="15.75" customHeight="1">
      <c r="A820" s="46"/>
    </row>
    <row r="821" ht="15.75" customHeight="1">
      <c r="A821" s="46"/>
    </row>
    <row r="822" ht="15.75" customHeight="1">
      <c r="A822" s="46"/>
    </row>
    <row r="823" ht="15.75" customHeight="1">
      <c r="A823" s="46"/>
    </row>
    <row r="824" ht="15.75" customHeight="1">
      <c r="A824" s="46"/>
    </row>
    <row r="825" ht="15.75" customHeight="1">
      <c r="A825" s="46"/>
    </row>
    <row r="826" ht="15.75" customHeight="1">
      <c r="A826" s="46"/>
    </row>
    <row r="827" ht="15.75" customHeight="1">
      <c r="A827" s="46"/>
    </row>
    <row r="828" ht="15.75" customHeight="1">
      <c r="A828" s="46"/>
    </row>
    <row r="829" ht="15.75" customHeight="1">
      <c r="A829" s="46"/>
    </row>
    <row r="830" ht="15.75" customHeight="1">
      <c r="A830" s="46"/>
    </row>
    <row r="831" ht="15.75" customHeight="1">
      <c r="A831" s="46"/>
    </row>
    <row r="832" ht="15.75" customHeight="1">
      <c r="A832" s="46"/>
    </row>
    <row r="833" ht="15.75" customHeight="1">
      <c r="A833" s="46"/>
    </row>
    <row r="834" ht="15.75" customHeight="1">
      <c r="A834" s="46"/>
    </row>
    <row r="835" ht="15.75" customHeight="1">
      <c r="A835" s="46"/>
    </row>
    <row r="836" ht="15.75" customHeight="1">
      <c r="A836" s="46"/>
    </row>
    <row r="837" ht="15.75" customHeight="1">
      <c r="A837" s="46"/>
    </row>
    <row r="838" ht="15.75" customHeight="1">
      <c r="A838" s="46"/>
    </row>
    <row r="839" ht="15.75" customHeight="1">
      <c r="A839" s="46"/>
    </row>
    <row r="840" ht="15.75" customHeight="1">
      <c r="A840" s="46"/>
    </row>
    <row r="841" ht="15.75" customHeight="1">
      <c r="A841" s="46"/>
    </row>
    <row r="842" ht="15.75" customHeight="1">
      <c r="A842" s="46"/>
    </row>
    <row r="843" ht="15.75" customHeight="1">
      <c r="A843" s="46"/>
    </row>
    <row r="844" ht="15.75" customHeight="1">
      <c r="A844" s="46"/>
    </row>
    <row r="845" ht="15.75" customHeight="1">
      <c r="A845" s="46"/>
    </row>
    <row r="846" ht="15.75" customHeight="1">
      <c r="A846" s="46"/>
    </row>
    <row r="847" ht="15.75" customHeight="1">
      <c r="A847" s="46"/>
    </row>
    <row r="848" ht="15.75" customHeight="1">
      <c r="A848" s="46"/>
    </row>
    <row r="849" ht="15.75" customHeight="1">
      <c r="A849" s="46"/>
    </row>
    <row r="850" ht="15.75" customHeight="1">
      <c r="A850" s="46"/>
    </row>
    <row r="851" ht="15.75" customHeight="1">
      <c r="A851" s="46"/>
    </row>
    <row r="852" ht="15.75" customHeight="1">
      <c r="A852" s="46"/>
    </row>
    <row r="853" ht="15.75" customHeight="1">
      <c r="A853" s="46"/>
    </row>
    <row r="854" ht="15.75" customHeight="1">
      <c r="A854" s="46"/>
    </row>
    <row r="855" ht="15.75" customHeight="1">
      <c r="A855" s="46"/>
    </row>
    <row r="856" ht="15.75" customHeight="1">
      <c r="A856" s="46"/>
    </row>
    <row r="857" ht="15.75" customHeight="1">
      <c r="A857" s="46"/>
    </row>
    <row r="858" ht="15.75" customHeight="1">
      <c r="A858" s="46"/>
    </row>
    <row r="859" ht="15.75" customHeight="1">
      <c r="A859" s="46"/>
    </row>
    <row r="860" ht="15.75" customHeight="1">
      <c r="A860" s="46"/>
    </row>
    <row r="861" ht="15.75" customHeight="1">
      <c r="A861" s="46"/>
    </row>
    <row r="862" ht="15.75" customHeight="1">
      <c r="A862" s="46"/>
    </row>
    <row r="863" ht="15.75" customHeight="1">
      <c r="A863" s="46"/>
    </row>
    <row r="864" ht="15.75" customHeight="1">
      <c r="A864" s="46"/>
    </row>
    <row r="865" ht="15.75" customHeight="1">
      <c r="A865" s="46"/>
    </row>
    <row r="866" ht="15.75" customHeight="1">
      <c r="A866" s="46"/>
    </row>
    <row r="867" ht="15.75" customHeight="1">
      <c r="A867" s="46"/>
    </row>
    <row r="868" ht="15.75" customHeight="1">
      <c r="A868" s="46"/>
    </row>
    <row r="869" ht="15.75" customHeight="1">
      <c r="A869" s="46"/>
    </row>
    <row r="870" ht="15.75" customHeight="1">
      <c r="A870" s="46"/>
    </row>
    <row r="871" ht="15.75" customHeight="1">
      <c r="A871" s="46"/>
    </row>
    <row r="872" ht="15.75" customHeight="1">
      <c r="A872" s="46"/>
    </row>
    <row r="873" ht="15.75" customHeight="1">
      <c r="A873" s="46"/>
    </row>
    <row r="874" ht="15.75" customHeight="1">
      <c r="A874" s="46"/>
    </row>
    <row r="875" ht="15.75" customHeight="1">
      <c r="A875" s="46"/>
    </row>
    <row r="876" ht="15.75" customHeight="1">
      <c r="A876" s="46"/>
    </row>
    <row r="877" ht="15.75" customHeight="1">
      <c r="A877" s="46"/>
    </row>
    <row r="878" ht="15.75" customHeight="1">
      <c r="A878" s="46"/>
    </row>
    <row r="879" ht="15.75" customHeight="1">
      <c r="A879" s="46"/>
    </row>
    <row r="880" ht="15.75" customHeight="1">
      <c r="A880" s="46"/>
    </row>
    <row r="881" ht="15.75" customHeight="1">
      <c r="A881" s="46"/>
    </row>
    <row r="882" ht="15.75" customHeight="1">
      <c r="A882" s="46"/>
    </row>
    <row r="883" ht="15.75" customHeight="1">
      <c r="A883" s="46"/>
    </row>
    <row r="884" ht="15.75" customHeight="1">
      <c r="A884" s="46"/>
    </row>
    <row r="885" ht="15.75" customHeight="1">
      <c r="A885" s="46"/>
    </row>
    <row r="886" ht="15.75" customHeight="1">
      <c r="A886" s="46"/>
    </row>
    <row r="887" ht="15.75" customHeight="1">
      <c r="A887" s="46"/>
    </row>
    <row r="888" ht="15.75" customHeight="1">
      <c r="A888" s="46"/>
    </row>
    <row r="889" ht="15.75" customHeight="1">
      <c r="A889" s="46"/>
    </row>
    <row r="890" ht="15.75" customHeight="1">
      <c r="A890" s="46"/>
    </row>
    <row r="891" ht="15.75" customHeight="1">
      <c r="A891" s="46"/>
    </row>
    <row r="892" ht="15.75" customHeight="1">
      <c r="A892" s="46"/>
    </row>
    <row r="893" ht="15.75" customHeight="1">
      <c r="A893" s="46"/>
    </row>
    <row r="894" ht="15.75" customHeight="1">
      <c r="A894" s="46"/>
    </row>
    <row r="895" ht="15.75" customHeight="1">
      <c r="A895" s="46"/>
    </row>
    <row r="896" ht="15.75" customHeight="1">
      <c r="A896" s="46"/>
    </row>
    <row r="897" ht="15.75" customHeight="1">
      <c r="A897" s="46"/>
    </row>
    <row r="898" ht="15.75" customHeight="1">
      <c r="A898" s="46"/>
    </row>
    <row r="899" ht="15.75" customHeight="1">
      <c r="A899" s="46"/>
    </row>
    <row r="900" ht="15.75" customHeight="1">
      <c r="A900" s="46"/>
    </row>
    <row r="901" ht="15.75" customHeight="1">
      <c r="A901" s="46"/>
    </row>
    <row r="902" ht="15.75" customHeight="1">
      <c r="A902" s="46"/>
    </row>
    <row r="903" ht="15.75" customHeight="1">
      <c r="A903" s="46"/>
    </row>
    <row r="904" ht="15.75" customHeight="1">
      <c r="A904" s="46"/>
    </row>
    <row r="905" ht="15.75" customHeight="1">
      <c r="A905" s="46"/>
    </row>
    <row r="906" ht="15.75" customHeight="1">
      <c r="A906" s="46"/>
    </row>
    <row r="907" ht="15.75" customHeight="1">
      <c r="A907" s="46"/>
    </row>
    <row r="908" ht="15.75" customHeight="1">
      <c r="A908" s="46"/>
    </row>
    <row r="909" ht="15.75" customHeight="1">
      <c r="A909" s="46"/>
    </row>
    <row r="910" ht="15.75" customHeight="1">
      <c r="A910" s="46"/>
    </row>
    <row r="911" ht="15.75" customHeight="1">
      <c r="A911" s="46"/>
    </row>
    <row r="912" ht="15.75" customHeight="1">
      <c r="A912" s="46"/>
    </row>
    <row r="913" ht="15.75" customHeight="1">
      <c r="A913" s="46"/>
    </row>
    <row r="914" ht="15.75" customHeight="1">
      <c r="A914" s="46"/>
    </row>
    <row r="915" ht="15.75" customHeight="1">
      <c r="A915" s="46"/>
    </row>
    <row r="916" ht="15.75" customHeight="1">
      <c r="A916" s="46"/>
    </row>
    <row r="917" ht="15.75" customHeight="1">
      <c r="A917" s="46"/>
    </row>
    <row r="918" ht="15.75" customHeight="1">
      <c r="A918" s="46"/>
    </row>
    <row r="919" ht="15.75" customHeight="1">
      <c r="A919" s="46"/>
    </row>
    <row r="920" ht="15.75" customHeight="1">
      <c r="A920" s="46"/>
    </row>
    <row r="921" ht="15.75" customHeight="1">
      <c r="A921" s="46"/>
    </row>
    <row r="922" ht="15.75" customHeight="1">
      <c r="A922" s="46"/>
    </row>
    <row r="923" ht="15.75" customHeight="1">
      <c r="A923" s="46"/>
    </row>
    <row r="924" ht="15.75" customHeight="1">
      <c r="A924" s="46"/>
    </row>
    <row r="925" ht="15.75" customHeight="1">
      <c r="A925" s="46"/>
    </row>
    <row r="926" ht="15.75" customHeight="1">
      <c r="A926" s="46"/>
    </row>
    <row r="927" ht="15.75" customHeight="1">
      <c r="A927" s="46"/>
    </row>
    <row r="928" ht="15.75" customHeight="1">
      <c r="A928" s="46"/>
    </row>
    <row r="929" ht="15.75" customHeight="1">
      <c r="A929" s="46"/>
    </row>
    <row r="930" ht="15.75" customHeight="1">
      <c r="A930" s="46"/>
    </row>
    <row r="931" ht="15.75" customHeight="1">
      <c r="A931" s="46"/>
    </row>
    <row r="932" ht="15.75" customHeight="1">
      <c r="A932" s="46"/>
    </row>
    <row r="933" ht="15.75" customHeight="1">
      <c r="A933" s="46"/>
    </row>
    <row r="934" ht="15.75" customHeight="1">
      <c r="A934" s="46"/>
    </row>
    <row r="935" ht="15.75" customHeight="1">
      <c r="A935" s="46"/>
    </row>
    <row r="936" ht="15.75" customHeight="1">
      <c r="A936" s="46"/>
    </row>
    <row r="937" ht="15.75" customHeight="1">
      <c r="A937" s="46"/>
    </row>
    <row r="938" ht="15.75" customHeight="1">
      <c r="A938" s="46"/>
    </row>
    <row r="939" ht="15.75" customHeight="1">
      <c r="A939" s="46"/>
    </row>
    <row r="940" ht="15.75" customHeight="1">
      <c r="A940" s="46"/>
    </row>
    <row r="941" ht="15.75" customHeight="1">
      <c r="A941" s="46"/>
    </row>
    <row r="942" ht="15.75" customHeight="1">
      <c r="A942" s="46"/>
    </row>
    <row r="943" ht="15.75" customHeight="1">
      <c r="A943" s="46"/>
    </row>
    <row r="944" ht="15.75" customHeight="1">
      <c r="A944" s="46"/>
    </row>
    <row r="945" ht="15.75" customHeight="1">
      <c r="A945" s="46"/>
    </row>
    <row r="946" ht="15.75" customHeight="1">
      <c r="A946" s="46"/>
    </row>
    <row r="947" ht="15.75" customHeight="1">
      <c r="A947" s="46"/>
    </row>
    <row r="948" ht="15.75" customHeight="1">
      <c r="A948" s="46"/>
    </row>
    <row r="949" ht="15.75" customHeight="1">
      <c r="A949" s="46"/>
    </row>
    <row r="950" ht="15.75" customHeight="1">
      <c r="A950" s="46"/>
    </row>
    <row r="951" ht="15.75" customHeight="1">
      <c r="A951" s="46"/>
    </row>
    <row r="952" ht="15.75" customHeight="1">
      <c r="A952" s="46"/>
    </row>
    <row r="953" ht="15.75" customHeight="1">
      <c r="A953" s="46"/>
    </row>
    <row r="954" ht="15.75" customHeight="1">
      <c r="A954" s="46"/>
    </row>
    <row r="955" ht="15.75" customHeight="1">
      <c r="A955" s="46"/>
    </row>
    <row r="956" ht="15.75" customHeight="1">
      <c r="A956" s="46"/>
    </row>
    <row r="957" ht="15.75" customHeight="1">
      <c r="A957" s="46"/>
    </row>
    <row r="958" ht="15.75" customHeight="1">
      <c r="A958" s="46"/>
    </row>
    <row r="959" ht="15.75" customHeight="1">
      <c r="A959" s="46"/>
    </row>
    <row r="960" ht="15.75" customHeight="1">
      <c r="A960" s="46"/>
    </row>
    <row r="961" ht="15.75" customHeight="1">
      <c r="A961" s="46"/>
    </row>
    <row r="962" ht="15.75" customHeight="1">
      <c r="A962" s="46"/>
    </row>
    <row r="963" ht="15.75" customHeight="1">
      <c r="A963" s="46"/>
    </row>
    <row r="964" ht="15.75" customHeight="1">
      <c r="A964" s="46"/>
    </row>
    <row r="965" ht="15.75" customHeight="1">
      <c r="A965" s="46"/>
    </row>
    <row r="966" ht="15.75" customHeight="1">
      <c r="A966" s="46"/>
    </row>
    <row r="967" ht="15.75" customHeight="1">
      <c r="A967" s="46"/>
    </row>
    <row r="968" ht="15.75" customHeight="1">
      <c r="A968" s="46"/>
    </row>
    <row r="969" ht="15.75" customHeight="1">
      <c r="A969" s="46"/>
    </row>
    <row r="970" ht="15.75" customHeight="1">
      <c r="A970" s="46"/>
    </row>
    <row r="971" ht="15.75" customHeight="1">
      <c r="A971" s="46"/>
    </row>
    <row r="972" ht="15.75" customHeight="1">
      <c r="A972" s="46"/>
    </row>
    <row r="973" ht="15.75" customHeight="1">
      <c r="A973" s="46"/>
    </row>
    <row r="974" ht="15.75" customHeight="1">
      <c r="A974" s="46"/>
    </row>
    <row r="975" ht="15.75" customHeight="1">
      <c r="A975" s="46"/>
    </row>
    <row r="976" ht="15.75" customHeight="1">
      <c r="A976" s="46"/>
    </row>
    <row r="977" ht="15.75" customHeight="1">
      <c r="A977" s="46"/>
    </row>
    <row r="978" ht="15.75" customHeight="1">
      <c r="A978" s="46"/>
    </row>
    <row r="979" ht="15.75" customHeight="1">
      <c r="A979" s="46"/>
    </row>
    <row r="980" ht="15.75" customHeight="1">
      <c r="A980" s="46"/>
    </row>
    <row r="981" ht="15.75" customHeight="1">
      <c r="A981" s="46"/>
    </row>
    <row r="982" ht="15.75" customHeight="1">
      <c r="A982" s="46"/>
    </row>
    <row r="983" ht="15.75" customHeight="1">
      <c r="A983" s="46"/>
    </row>
    <row r="984" ht="15.75" customHeight="1">
      <c r="A984" s="46"/>
    </row>
    <row r="985" ht="15.75" customHeight="1">
      <c r="A985" s="46"/>
    </row>
    <row r="986" ht="15.75" customHeight="1">
      <c r="A986" s="46"/>
    </row>
    <row r="987" ht="15.75" customHeight="1">
      <c r="A987" s="46"/>
    </row>
    <row r="988" ht="15.75" customHeight="1">
      <c r="A988" s="46"/>
    </row>
    <row r="989" ht="15.75" customHeight="1">
      <c r="A989" s="46"/>
    </row>
    <row r="990" ht="15.75" customHeight="1">
      <c r="A990" s="46"/>
    </row>
    <row r="991" ht="15.75" customHeight="1">
      <c r="A991" s="46"/>
    </row>
    <row r="992" ht="15.75" customHeight="1">
      <c r="A992" s="46"/>
    </row>
    <row r="993" ht="15.75" customHeight="1">
      <c r="A993" s="46"/>
    </row>
    <row r="994" ht="15.75" customHeight="1">
      <c r="A994" s="46"/>
    </row>
    <row r="995" ht="15.75" customHeight="1">
      <c r="A995" s="46"/>
    </row>
    <row r="996" ht="15.75" customHeight="1">
      <c r="A996" s="46"/>
    </row>
    <row r="997" ht="15.75" customHeight="1">
      <c r="A997" s="46"/>
    </row>
    <row r="998" ht="15.75" customHeight="1">
      <c r="A998" s="46"/>
    </row>
    <row r="999" ht="15.75" customHeight="1">
      <c r="A999" s="46"/>
    </row>
    <row r="1000" ht="15.75" customHeight="1">
      <c r="A1000" s="46"/>
    </row>
  </sheetData>
  <dataValidations>
    <dataValidation type="list" allowBlank="1" showErrorMessage="1" sqref="A1:A31 A33:A1000">
      <formula1>"audio,begin_group,deviceid,end,end_group,geopoint,image,integer,note,select_multiple caste_use,select_multiple repairs_well or_other,select_one Functional_Non_functional,select_one observed_change,select_one owns,select_one pollutants_groundwater,select_o"&amp;"ne scheme or_other,select_one well_type or_other,select_one well_used or_other,select_one Y_N,select_one year,start,text,today,type,select_one caste_use,select_one changes_observed"</formula1>
    </dataValidation>
  </dataValidation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79.5"/>
    <col customWidth="1" min="3" max="3" width="54.0"/>
    <col customWidth="1" min="4" max="5" width="84.75"/>
    <col customWidth="1" min="6" max="6" width="44.88"/>
    <col customWidth="1" min="7" max="27" width="12.5"/>
  </cols>
  <sheetData>
    <row r="1" ht="16.5" customHeight="1">
      <c r="A1" s="1" t="s">
        <v>218</v>
      </c>
      <c r="B1" s="47" t="s">
        <v>1</v>
      </c>
      <c r="C1" s="5" t="s">
        <v>2</v>
      </c>
      <c r="D1" s="2" t="s">
        <v>3</v>
      </c>
      <c r="E1" s="2" t="s">
        <v>4</v>
      </c>
      <c r="F1" s="48" t="s">
        <v>5</v>
      </c>
      <c r="G1" s="3" t="s">
        <v>6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2.75" customHeight="1">
      <c r="A2" s="14" t="s">
        <v>219</v>
      </c>
      <c r="B2" s="19" t="s">
        <v>220</v>
      </c>
      <c r="C2" s="13" t="s">
        <v>220</v>
      </c>
      <c r="D2" s="11" t="s">
        <v>221</v>
      </c>
      <c r="E2" s="11" t="str">
        <f>IFERROR(__xludf.DUMMYFUNCTION("GOOGLETRANSLATE(D2, ""hi"", ""gu"")"),"હા")</f>
        <v>હા</v>
      </c>
      <c r="F2" s="12" t="s">
        <v>222</v>
      </c>
      <c r="G2" s="49" t="str">
        <f>IFERROR(__xludf.DUMMYFUNCTION("GOOGLETRANSLATE(C2, ""en"", ""or"")"),"ହଁ")</f>
        <v>ହଁ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2.75" customHeight="1">
      <c r="A3" s="14" t="s">
        <v>219</v>
      </c>
      <c r="B3" s="19" t="s">
        <v>223</v>
      </c>
      <c r="C3" s="13" t="s">
        <v>223</v>
      </c>
      <c r="D3" s="11" t="s">
        <v>224</v>
      </c>
      <c r="E3" s="11" t="str">
        <f>IFERROR(__xludf.DUMMYFUNCTION("GOOGLETRANSLATE(D3, ""hi"", ""gu"")"),"ના")</f>
        <v>ના</v>
      </c>
      <c r="F3" s="12" t="s">
        <v>225</v>
      </c>
      <c r="G3" s="49" t="str">
        <f>IFERROR(__xludf.DUMMYFUNCTION("GOOGLETRANSLATE(C3, ""en"", ""or"")"),"ନା")</f>
        <v>ନା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2.75" customHeight="1">
      <c r="A4" s="14"/>
      <c r="B4" s="19"/>
      <c r="C4" s="13"/>
      <c r="D4" s="13"/>
      <c r="E4" s="11"/>
      <c r="F4" s="12"/>
      <c r="G4" s="49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2.75" customHeight="1">
      <c r="A5" s="14" t="s">
        <v>226</v>
      </c>
      <c r="B5" s="19" t="s">
        <v>227</v>
      </c>
      <c r="C5" s="13" t="s">
        <v>227</v>
      </c>
      <c r="D5" s="11" t="s">
        <v>228</v>
      </c>
      <c r="E5" s="11" t="str">
        <f>IFERROR(__xludf.DUMMYFUNCTION("GOOGLETRANSLATE(D5, ""hi"", ""gu"")"),"જાહેર કૂવો")</f>
        <v>જાહેર કૂવો</v>
      </c>
      <c r="F5" s="12" t="s">
        <v>229</v>
      </c>
      <c r="G5" s="49" t="str">
        <f>IFERROR(__xludf.DUMMYFUNCTION("GOOGLETRANSLATE(C5, ""en"", ""or"")"),"ସମ୍ପ୍ରଦାୟ କୂଅ")</f>
        <v>ସମ୍ପ୍ରଦାୟ କୂଅ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2.75" customHeight="1">
      <c r="A6" s="14" t="s">
        <v>226</v>
      </c>
      <c r="B6" s="19" t="s">
        <v>230</v>
      </c>
      <c r="C6" s="13" t="s">
        <v>230</v>
      </c>
      <c r="D6" s="11" t="s">
        <v>231</v>
      </c>
      <c r="E6" s="11" t="str">
        <f>IFERROR(__xludf.DUMMYFUNCTION("GOOGLETRANSLATE(D6, ""hi"", ""gu"")"),"ખાનગી કૂવો")</f>
        <v>ખાનગી કૂવો</v>
      </c>
      <c r="F6" s="12" t="s">
        <v>232</v>
      </c>
      <c r="G6" s="49" t="str">
        <f>IFERROR(__xludf.DUMMYFUNCTION("GOOGLETRANSLATE(C6, ""en"", ""or"")"),"ବ୍ୟକ୍ତିଗତ ମାଲିକାନା")</f>
        <v>ବ୍ୟକ୍ତିଗତ ମାଲିକାନା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2.75" customHeight="1">
      <c r="A7" s="14" t="s">
        <v>226</v>
      </c>
      <c r="B7" s="19" t="s">
        <v>233</v>
      </c>
      <c r="C7" s="13" t="s">
        <v>233</v>
      </c>
      <c r="D7" s="11" t="s">
        <v>234</v>
      </c>
      <c r="E7" s="11" t="str">
        <f>IFERROR(__xludf.DUMMYFUNCTION("GOOGLETRANSLATE(D7, ""hi"", ""gu"")"),"પરિવારો વચ્ચે વહેંચાયેલું")</f>
        <v>પરિવારો વચ્ચે વહેંચાયેલું</v>
      </c>
      <c r="F7" s="12" t="s">
        <v>235</v>
      </c>
      <c r="G7" s="49" t="str">
        <f>IFERROR(__xludf.DUMMYFUNCTION("GOOGLETRANSLATE(C7, ""en"", ""or"")"),"ପରିବାରଗୁଡ଼ିକ ମଧ୍ୟରେ ଅଂଶୀଦାର କରାଯାଇଛି")</f>
        <v>ପରିବାରଗୁଡ଼ିକ ମଧ୍ୟରେ ଅଂଶୀଦାର କରାଯାଇଛି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2.75" customHeight="1">
      <c r="A8" s="14"/>
      <c r="B8" s="19"/>
      <c r="C8" s="13"/>
      <c r="D8" s="13"/>
      <c r="E8" s="11"/>
      <c r="F8" s="12"/>
      <c r="G8" s="49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2.75" customHeight="1">
      <c r="A9" s="14" t="s">
        <v>236</v>
      </c>
      <c r="B9" s="19" t="s">
        <v>237</v>
      </c>
      <c r="C9" s="13" t="s">
        <v>237</v>
      </c>
      <c r="D9" s="11" t="s">
        <v>238</v>
      </c>
      <c r="E9" s="11" t="str">
        <f>IFERROR(__xludf.DUMMYFUNCTION("GOOGLETRANSLATE(D9, ""hi"", ""gu"")"),"સામાન્ય શ્રેણી")</f>
        <v>સામાન્ય શ્રેણી</v>
      </c>
      <c r="F9" s="12" t="s">
        <v>239</v>
      </c>
      <c r="G9" s="50" t="s">
        <v>240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2.75" customHeight="1">
      <c r="A10" s="14" t="s">
        <v>236</v>
      </c>
      <c r="B10" s="19" t="s">
        <v>241</v>
      </c>
      <c r="C10" s="13" t="s">
        <v>241</v>
      </c>
      <c r="D10" s="11" t="s">
        <v>242</v>
      </c>
      <c r="E10" s="11" t="str">
        <f>IFERROR(__xludf.DUMMYFUNCTION("GOOGLETRANSLATE(D10, ""hi"", ""gu"")"),"અનુસૂચિત જાતિ શ્રેણી")</f>
        <v>અનુસૂચિત જાતિ શ્રેણી</v>
      </c>
      <c r="F10" s="12" t="s">
        <v>241</v>
      </c>
      <c r="G10" s="50" t="s">
        <v>243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2.75" customHeight="1">
      <c r="A11" s="14" t="s">
        <v>236</v>
      </c>
      <c r="B11" s="19" t="s">
        <v>244</v>
      </c>
      <c r="C11" s="13" t="s">
        <v>245</v>
      </c>
      <c r="D11" s="11" t="s">
        <v>246</v>
      </c>
      <c r="E11" s="11" t="str">
        <f>IFERROR(__xludf.DUMMYFUNCTION("GOOGLETRANSLATE(D11, ""hi"", ""gu"")"),"અનુસૂચિત જનજાતિ શ્રેણી")</f>
        <v>અનુસૂચિત જનજાતિ શ્રેણી</v>
      </c>
      <c r="F11" s="12" t="s">
        <v>244</v>
      </c>
      <c r="G11" s="50" t="s">
        <v>247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2.75" customHeight="1">
      <c r="A12" s="14" t="s">
        <v>236</v>
      </c>
      <c r="B12" s="19" t="s">
        <v>248</v>
      </c>
      <c r="C12" s="13" t="s">
        <v>248</v>
      </c>
      <c r="D12" s="11" t="s">
        <v>249</v>
      </c>
      <c r="E12" s="11" t="str">
        <f>IFERROR(__xludf.DUMMYFUNCTION("GOOGLETRANSLATE(D12, ""hi"", ""gu"")"),"અન્ય પછાત વર્ગો")</f>
        <v>અન્ય પછાત વર્ગો</v>
      </c>
      <c r="F12" s="12" t="s">
        <v>250</v>
      </c>
      <c r="G12" s="50" t="s">
        <v>251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2.75" customHeight="1">
      <c r="A13" s="14"/>
      <c r="B13" s="19"/>
      <c r="C13" s="13"/>
      <c r="D13" s="13"/>
      <c r="E13" s="11"/>
      <c r="F13" s="12"/>
      <c r="G13" s="49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2.75" customHeight="1">
      <c r="A14" s="14" t="s">
        <v>252</v>
      </c>
      <c r="B14" s="19" t="s">
        <v>253</v>
      </c>
      <c r="C14" s="13" t="s">
        <v>253</v>
      </c>
      <c r="D14" s="11" t="s">
        <v>254</v>
      </c>
      <c r="E14" s="11" t="str">
        <f>IFERROR(__xludf.DUMMYFUNCTION("GOOGLETRANSLATE(D14, ""hi"", ""gu"")"),"કૂવામાં પાણી છે.")</f>
        <v>કૂવામાં પાણી છે.</v>
      </c>
      <c r="F14" s="12" t="s">
        <v>255</v>
      </c>
      <c r="G14" s="49" t="str">
        <f>IFERROR(__xludf.DUMMYFUNCTION("GOOGLETRANSLATE(C14, ""en"", ""or"")"),"କାର୍ଯ୍ୟକ୍ଷମ")</f>
        <v>କାର୍ଯ୍ୟକ୍ଷମ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2.75" customHeight="1">
      <c r="A15" s="14" t="s">
        <v>252</v>
      </c>
      <c r="B15" s="19" t="s">
        <v>256</v>
      </c>
      <c r="C15" s="13" t="s">
        <v>257</v>
      </c>
      <c r="D15" s="11" t="s">
        <v>258</v>
      </c>
      <c r="E15" s="11" t="str">
        <f>IFERROR(__xludf.DUMMYFUNCTION("GOOGLETRANSLATE(D15, ""hi"", ""gu"")"),"કૂવામાં પાણી નથી.")</f>
        <v>કૂવામાં પાણી નથી.</v>
      </c>
      <c r="F15" s="12" t="s">
        <v>259</v>
      </c>
      <c r="G15" s="49" t="str">
        <f>IFERROR(__xludf.DUMMYFUNCTION("GOOGLETRANSLATE(C15, ""en"", ""or"")"),"କାର୍ଯ୍ୟକ୍ଷମ ନୁହେଁ")</f>
        <v>କାର୍ଯ୍ୟକ୍ଷମ ନୁହେଁ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2.75" customHeight="1">
      <c r="A16" s="14" t="s">
        <v>260</v>
      </c>
      <c r="B16" s="19" t="s">
        <v>261</v>
      </c>
      <c r="C16" s="13" t="s">
        <v>262</v>
      </c>
      <c r="D16" s="13" t="s">
        <v>263</v>
      </c>
      <c r="E16" s="11" t="s">
        <v>264</v>
      </c>
      <c r="F16" s="12" t="s">
        <v>265</v>
      </c>
      <c r="G16" s="49" t="str">
        <f>IFERROR(__xludf.DUMMYFUNCTION("GOOGLETRANSLATE(C16, ""en"", ""or"")"),"ଡି ସିଟଲିଂ")</f>
        <v>ଡି ସିଟଲିଂ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2.75" customHeight="1">
      <c r="A17" s="14" t="s">
        <v>260</v>
      </c>
      <c r="B17" s="19" t="s">
        <v>266</v>
      </c>
      <c r="C17" s="11" t="s">
        <v>267</v>
      </c>
      <c r="D17" s="11" t="s">
        <v>268</v>
      </c>
      <c r="E17" s="11" t="s">
        <v>269</v>
      </c>
      <c r="F17" s="12" t="s">
        <v>270</v>
      </c>
      <c r="G17" s="49" t="str">
        <f>IFERROR(__xludf.DUMMYFUNCTION("GOOGLETRANSLATE(C17, ""en"", ""or"")"),"କୂଅ କାନ୍ଥରେ ଫାଟ କିମ୍ବା କ୍ଷତି ମରାମତି")</f>
        <v>କୂଅ କାନ୍ଥରେ ଫାଟ କିମ୍ବା କ୍ଷତି ମରାମତି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9.5" customHeight="1">
      <c r="A18" s="14" t="s">
        <v>260</v>
      </c>
      <c r="B18" s="19" t="s">
        <v>271</v>
      </c>
      <c r="C18" s="11" t="s">
        <v>272</v>
      </c>
      <c r="D18" s="11" t="s">
        <v>273</v>
      </c>
      <c r="E18" s="11" t="s">
        <v>274</v>
      </c>
      <c r="F18" s="12" t="s">
        <v>275</v>
      </c>
      <c r="G18" s="49" t="str">
        <f>IFERROR(__xludf.DUMMYFUNCTION("GOOGLETRANSLATE(C18, ""en"", ""or"")"),"ଜଳ ଉପଲବ୍ଧତା ବୃଦ୍ଧି କରିବା ପାଇଁ କୂପକୁ ଗଭୀର କରିବା")</f>
        <v>ଜଳ ଉପଲବ୍ଧତା ବୃଦ୍ଧି କରିବା ପାଇଁ କୂପକୁ ଗଭୀର କରିବା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2.75" customHeight="1">
      <c r="A19" s="14" t="s">
        <v>260</v>
      </c>
      <c r="B19" s="19" t="s">
        <v>276</v>
      </c>
      <c r="C19" s="11" t="s">
        <v>277</v>
      </c>
      <c r="D19" s="11" t="s">
        <v>278</v>
      </c>
      <c r="E19" s="11" t="s">
        <v>279</v>
      </c>
      <c r="F19" s="17" t="s">
        <v>280</v>
      </c>
      <c r="G19" s="49" t="str">
        <f>IFERROR(__xludf.DUMMYFUNCTION("GOOGLETRANSLATE(C19, ""en"", ""or"")"),"କୂଅ ଘୋଡ଼ଣୀ କିମ୍ବା ଗଠନର ମରାମତି କିମ୍ବା ବଦଳାଯିବା
")</f>
        <v>କୂଅ ଘୋଡ଼ଣୀ କିମ୍ବା ଗଠନର ମରାମତି କିମ୍ବା ବଦଳାଯିବା
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2.75" customHeight="1">
      <c r="A20" s="14" t="s">
        <v>260</v>
      </c>
      <c r="B20" s="19" t="s">
        <v>281</v>
      </c>
      <c r="C20" s="11" t="s">
        <v>282</v>
      </c>
      <c r="D20" s="11" t="s">
        <v>283</v>
      </c>
      <c r="E20" s="11" t="s">
        <v>284</v>
      </c>
      <c r="F20" s="17" t="s">
        <v>285</v>
      </c>
      <c r="G20" s="49" t="str">
        <f>IFERROR(__xludf.DUMMYFUNCTION("GOOGLETRANSLATE(C20, ""en"", ""or"")"),"ପମ୍ପିଂ ଯନ୍ତ୍ରପାତି ସ୍ଥାପନ କିମ୍ବା ମରାମତି
")</f>
        <v>ପମ୍ପିଂ ଯନ୍ତ୍ରପାତି ସ୍ଥାପନ କିମ୍ବା ମରାମତି
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2.75" customHeight="1">
      <c r="A21" s="14"/>
      <c r="B21" s="19"/>
      <c r="C21" s="13"/>
      <c r="D21" s="13"/>
      <c r="E21" s="11"/>
      <c r="F21" s="12"/>
      <c r="G21" s="49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2.75" customHeight="1">
      <c r="A22" s="14"/>
      <c r="B22" s="19"/>
      <c r="C22" s="13"/>
      <c r="D22" s="13"/>
      <c r="E22" s="11"/>
      <c r="F22" s="12"/>
      <c r="G22" s="49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2.75" customHeight="1">
      <c r="A23" s="14" t="s">
        <v>286</v>
      </c>
      <c r="B23" s="19" t="s">
        <v>287</v>
      </c>
      <c r="C23" s="13" t="s">
        <v>287</v>
      </c>
      <c r="D23" s="11" t="s">
        <v>288</v>
      </c>
      <c r="E23" s="11" t="str">
        <f>IFERROR(__xludf.DUMMYFUNCTION("GOOGLETRANSLATE(D23, ""hi"", ""gu"")"),"હાથપંપ")</f>
        <v>હાથપંપ</v>
      </c>
      <c r="F23" s="12" t="s">
        <v>289</v>
      </c>
      <c r="G23" s="49" t="str">
        <f>IFERROR(__xludf.DUMMYFUNCTION("GOOGLETRANSLATE(C23, ""en"", ""or"")"),"ହ୍ୟାଣ୍ଡପମ୍ପ")</f>
        <v>ହ୍ୟାଣ୍ଡପମ୍ପ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2.75" customHeight="1">
      <c r="A24" s="14" t="s">
        <v>286</v>
      </c>
      <c r="B24" s="19" t="s">
        <v>290</v>
      </c>
      <c r="C24" s="13" t="s">
        <v>290</v>
      </c>
      <c r="D24" s="11" t="s">
        <v>291</v>
      </c>
      <c r="E24" s="11" t="str">
        <f>IFERROR(__xludf.DUMMYFUNCTION("GOOGLETRANSLATE(D24, ""hi"", ""gu"")"),"બોરવેલ")</f>
        <v>બોરવેલ</v>
      </c>
      <c r="F24" s="12" t="s">
        <v>292</v>
      </c>
      <c r="G24" s="49" t="str">
        <f>IFERROR(__xludf.DUMMYFUNCTION("GOOGLETRANSLATE(C24, ""en"", ""or"")"),"ବୋରୱେଲ୍")</f>
        <v>ବୋରୱେଲ୍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2.75" customHeight="1">
      <c r="A25" s="14" t="s">
        <v>286</v>
      </c>
      <c r="B25" s="19" t="s">
        <v>293</v>
      </c>
      <c r="C25" s="11" t="s">
        <v>293</v>
      </c>
      <c r="D25" s="11" t="s">
        <v>294</v>
      </c>
      <c r="E25" s="11" t="str">
        <f>IFERROR(__xludf.DUMMYFUNCTION("GOOGLETRANSLATE(D25, ""hi"", ""gu"")"),"ખુલ્લું કૂવું")</f>
        <v>ખુલ્લું કૂવું</v>
      </c>
      <c r="F25" s="12" t="s">
        <v>295</v>
      </c>
      <c r="G25" s="49" t="str">
        <f>IFERROR(__xludf.DUMMYFUNCTION("GOOGLETRANSLATE(C25, ""en"", ""or"")"),"କୂଅ ଖୋଲନ୍ତୁ
")</f>
        <v>କୂଅ ଖୋଲନ୍ତୁ
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2.75" customHeight="1">
      <c r="A26" s="14" t="s">
        <v>296</v>
      </c>
      <c r="B26" s="19"/>
      <c r="C26" s="13"/>
      <c r="D26" s="13"/>
      <c r="E26" s="11"/>
      <c r="F26" s="12"/>
      <c r="G26" s="49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2.75" customHeight="1">
      <c r="A27" s="14" t="s">
        <v>297</v>
      </c>
      <c r="B27" s="19" t="s">
        <v>298</v>
      </c>
      <c r="C27" s="11" t="s">
        <v>299</v>
      </c>
      <c r="D27" s="11" t="s">
        <v>300</v>
      </c>
      <c r="E27" s="11" t="str">
        <f>IFERROR(__xludf.DUMMYFUNCTION("GOOGLETRANSLATE(D27, ""hi"", ""gu"")"),"આખું વર્ષ પાણી ઉપલબ્ધ રહેશે")</f>
        <v>આખું વર્ષ પાણી ઉપલબ્ધ રહેશે</v>
      </c>
      <c r="F27" s="17" t="s">
        <v>301</v>
      </c>
      <c r="G27" s="49" t="str">
        <f>IFERROR(__xludf.DUMMYFUNCTION("GOOGLETRANSLATE(C27, ""en"", ""or"")"),"ବର୍ଷସାରା ପାଣି ଉପଲବ୍ଧ
")</f>
        <v>ବର୍ଷସାରା ପାଣି ଉପଲବ୍ଧ
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2.75" customHeight="1">
      <c r="A28" s="14" t="s">
        <v>297</v>
      </c>
      <c r="B28" s="19" t="s">
        <v>302</v>
      </c>
      <c r="C28" s="11" t="s">
        <v>303</v>
      </c>
      <c r="D28" s="11" t="s">
        <v>304</v>
      </c>
      <c r="E28" s="11" t="str">
        <f>IFERROR(__xludf.DUMMYFUNCTION("GOOGLETRANSLATE(D28, ""hi"", ""gu"")"),"પાણી ફક્ત ચોમાસા દરમિયાન જ ઉપલબ્ધ હોય છે (જૂન-સપ્ટેમ્બર)")</f>
        <v>પાણી ફક્ત ચોમાસા દરમિયાન જ ઉપલબ્ધ હોય છે (જૂન-સપ્ટેમ્બર)</v>
      </c>
      <c r="F28" s="17" t="s">
        <v>305</v>
      </c>
      <c r="G28" s="49" t="str">
        <f>IFERROR(__xludf.DUMMYFUNCTION("GOOGLETRANSLATE(C28, ""en"", ""or"")"),"କେବଳ ମୌସୁମୀ ସମୟରେ (ଜୁନ୍-ସେପ୍ଟେମ୍ବର) ପାଣି ଉପଲବ୍ଧ ହୁଏ
")</f>
        <v>କେବଳ ମୌସୁମୀ ସମୟରେ (ଜୁନ୍-ସେପ୍ଟେମ୍ବର) ପାଣି ଉପଲବ୍ଧ ହୁଏ
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2.75" customHeight="1">
      <c r="A29" s="14" t="s">
        <v>297</v>
      </c>
      <c r="B29" s="19" t="s">
        <v>306</v>
      </c>
      <c r="C29" s="13" t="s">
        <v>307</v>
      </c>
      <c r="D29" s="11" t="s">
        <v>308</v>
      </c>
      <c r="E29" s="11" t="str">
        <f>IFERROR(__xludf.DUMMYFUNCTION("GOOGLETRANSLATE(D29, ""hi"", ""gu"")"),"ચોમાસા દરમિયાન અને ચોમાસા પછી (જૂન-ડિસેમ્બર) પાણી ઉપલબ્ધ હોય છે.")</f>
        <v>ચોમાસા દરમિયાન અને ચોમાસા પછી (જૂન-ડિસેમ્બર) પાણી ઉપલબ્ધ હોય છે.</v>
      </c>
      <c r="F29" s="12" t="s">
        <v>309</v>
      </c>
      <c r="G29" s="49" t="str">
        <f>IFERROR(__xludf.DUMMYFUNCTION("GOOGLETRANSLATE(C29, ""en"", ""or"")"),"ମୌସୁମୀ ଏବଂ ମୌସୁମୀ ପରବର୍ତ୍ତୀ ସମୟରେ (ଜୁନ୍-ଡିସେମ୍ବର) ଉପଲବ୍ଧ ପାଣି")</f>
        <v>ମୌସୁମୀ ଏବଂ ମୌସୁମୀ ପରବର୍ତ୍ତୀ ସମୟରେ (ଜୁନ୍-ଡିସେମ୍ବର) ଉପଲବ୍ଧ ପାଣି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2.75" customHeight="1">
      <c r="A30" s="14" t="s">
        <v>297</v>
      </c>
      <c r="B30" s="19" t="s">
        <v>310</v>
      </c>
      <c r="C30" s="11" t="s">
        <v>311</v>
      </c>
      <c r="D30" s="11" t="s">
        <v>312</v>
      </c>
      <c r="E30" s="11" t="str">
        <f>IFERROR(__xludf.DUMMYFUNCTION("GOOGLETRANSLATE(D30, ""hi"", ""gu"")"),"ચોમાસા દરમિયાન, ચોમાસા પછી અને શિયાળામાં (જૂન-ફેબ્રુઆરી) પાણી ઉપલબ્ધ હોય છે.")</f>
        <v>ચોમાસા દરમિયાન, ચોમાસા પછી અને શિયાળામાં (જૂન-ફેબ્રુઆરી) પાણી ઉપલબ્ધ હોય છે.</v>
      </c>
      <c r="F30" s="17" t="s">
        <v>313</v>
      </c>
      <c r="G30" s="49" t="str">
        <f>IFERROR(__xludf.DUMMYFUNCTION("GOOGLETRANSLATE(C30, ""en"", ""or"")"),"ମୌସୁମୀ, ମୌସୁମୀ ପରବର୍ତ୍ତୀ ଏବଂ ଶୀତ ଋତୁରେ (ଜୁନ୍-ଫେବୃଆରୀ) ଉପଲବ୍ଧ ପାଣି
")</f>
        <v>ମୌସୁମୀ, ମୌସୁମୀ ପରବର୍ତ୍ତୀ ଏବଂ ଶୀତ ଋତୁରେ (ଜୁନ୍-ଫେବୃଆରୀ) ଉପଲବ୍ଧ ପାଣି
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2.75" customHeight="1">
      <c r="A31" s="14" t="s">
        <v>297</v>
      </c>
      <c r="B31" s="19" t="s">
        <v>314</v>
      </c>
      <c r="C31" s="11" t="s">
        <v>315</v>
      </c>
      <c r="D31" s="11" t="s">
        <v>316</v>
      </c>
      <c r="E31" s="11" t="str">
        <f>IFERROR(__xludf.DUMMYFUNCTION("GOOGLETRANSLATE(D31, ""hi"", ""gu"")"),"આખું વર્ષ પાણી મળતું નથી")</f>
        <v>આખું વર્ષ પાણી મળતું નથી</v>
      </c>
      <c r="F31" s="17" t="s">
        <v>317</v>
      </c>
      <c r="G31" s="49" t="str">
        <f>IFERROR(__xludf.DUMMYFUNCTION("GOOGLETRANSLATE(C31, ""en"", ""or"")"),"ବର୍ଷସାରା ପାଣି ଉପଲବ୍ଧ ନାହିଁ
")</f>
        <v>ବର୍ଷସାରା ପାଣି ଉପଲବ୍ଧ ନାହିଁ
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2.75" customHeight="1">
      <c r="A32" s="14"/>
      <c r="B32" s="19"/>
      <c r="C32" s="13"/>
      <c r="D32" s="13"/>
      <c r="E32" s="11"/>
      <c r="F32" s="12"/>
      <c r="G32" s="49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2.75" customHeight="1">
      <c r="A33" s="14" t="s">
        <v>318</v>
      </c>
      <c r="B33" s="19" t="s">
        <v>319</v>
      </c>
      <c r="C33" s="11" t="s">
        <v>319</v>
      </c>
      <c r="D33" s="11" t="s">
        <v>320</v>
      </c>
      <c r="E33" s="11" t="str">
        <f>IFERROR(__xludf.DUMMYFUNCTION("GOOGLETRANSLATE(D33, ""hi"", ""gu"")"),"સિંચાઈ")</f>
        <v>સિંચાઈ</v>
      </c>
      <c r="F33" s="17" t="s">
        <v>321</v>
      </c>
      <c r="G33" s="49" t="str">
        <f>IFERROR(__xludf.DUMMYFUNCTION("GOOGLETRANSLATE(C33, ""en"", ""or"")"),"ଜଳସେଚନ
")</f>
        <v>ଜଳସେଚନ
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2.75" customHeight="1">
      <c r="A34" s="14" t="s">
        <v>318</v>
      </c>
      <c r="B34" s="19" t="s">
        <v>322</v>
      </c>
      <c r="C34" s="11" t="s">
        <v>323</v>
      </c>
      <c r="D34" s="11" t="s">
        <v>324</v>
      </c>
      <c r="E34" s="11" t="str">
        <f>IFERROR(__xludf.DUMMYFUNCTION("GOOGLETRANSLATE(D34, ""hi"", ""gu"")"),"પીવું")</f>
        <v>પીવું</v>
      </c>
      <c r="F34" s="12" t="s">
        <v>325</v>
      </c>
      <c r="G34" s="49" t="str">
        <f>IFERROR(__xludf.DUMMYFUNCTION("GOOGLETRANSLATE(C34, ""en"", ""or"")"),"ମଦ୍ୟପାନ
")</f>
        <v>ମଦ୍ୟପାନ
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2.75" customHeight="1">
      <c r="A35" s="14" t="s">
        <v>318</v>
      </c>
      <c r="B35" s="19" t="s">
        <v>326</v>
      </c>
      <c r="C35" s="11" t="s">
        <v>326</v>
      </c>
      <c r="D35" s="11" t="s">
        <v>327</v>
      </c>
      <c r="E35" s="11" t="str">
        <f>IFERROR(__xludf.DUMMYFUNCTION("GOOGLETRANSLATE(D35, ""hi"", ""gu"")"),"બંને")</f>
        <v>બંને</v>
      </c>
      <c r="F35" s="17" t="s">
        <v>328</v>
      </c>
      <c r="G35" s="49" t="str">
        <f>IFERROR(__xludf.DUMMYFUNCTION("GOOGLETRANSLATE(C35, ""en"", ""or"")"),"ଉଭୟ
")</f>
        <v>ଉଭୟ
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2.75" customHeight="1">
      <c r="A36" s="14"/>
      <c r="B36" s="19"/>
      <c r="C36" s="13"/>
      <c r="D36" s="13"/>
      <c r="E36" s="11"/>
      <c r="F36" s="12"/>
      <c r="G36" s="49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2.75" customHeight="1">
      <c r="A37" s="14" t="s">
        <v>329</v>
      </c>
      <c r="B37" s="19" t="s">
        <v>330</v>
      </c>
      <c r="C37" s="11" t="s">
        <v>331</v>
      </c>
      <c r="D37" s="11" t="s">
        <v>332</v>
      </c>
      <c r="E37" s="11" t="str">
        <f>IFERROR(__xludf.DUMMYFUNCTION("GOOGLETRANSLATE(D37, ""hi"", ""gu"")"),"ખૂબ જ ગંદુ (દા.ત., વાદળછાયુંપણું, ખરાબ સ્વાદ, રંગ બદલાવ)")</f>
        <v>ખૂબ જ ગંદુ (દા.ત., વાદળછાયુંપણું, ખરાબ સ્વાદ, રંગ બદલાવ)</v>
      </c>
      <c r="F37" s="17" t="s">
        <v>333</v>
      </c>
      <c r="G37" s="49" t="str">
        <f>IFERROR(__xludf.DUMMYFUNCTION("GOOGLETRANSLATE(C37, ""en"", ""or"")"),"ଗୁରୁତ୍ୱପୂର୍ଣ୍ଣ ଅବନତି (ଯଥା, ମଇଳା, ଖରାପ ସ୍ୱାଦ, ରଙ୍ଗ ବିବର୍ଣ୍ଣକରଣ)
")</f>
        <v>ଗୁରୁତ୍ୱପୂର୍ଣ୍ଣ ଅବନତି (ଯଥା, ମଇଳା, ଖରାପ ସ୍ୱାଦ, ରଙ୍ଗ ବିବର୍ଣ୍ଣକରଣ)
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2.75" customHeight="1">
      <c r="A38" s="14" t="s">
        <v>329</v>
      </c>
      <c r="B38" s="19" t="s">
        <v>334</v>
      </c>
      <c r="C38" s="11" t="s">
        <v>334</v>
      </c>
      <c r="D38" s="11" t="s">
        <v>335</v>
      </c>
      <c r="E38" s="11" t="str">
        <f>IFERROR(__xludf.DUMMYFUNCTION("GOOGLETRANSLATE(D38, ""hi"", ""gu"")"),"સહેજ રંગહીન (દા.ત., સ્પષ્ટતા અથવા સ્વાદમાં થોડો ફેરફાર)")</f>
        <v>સહેજ રંગહીન (દા.ત., સ્પષ્ટતા અથવા સ્વાદમાં થોડો ફેરફાર)</v>
      </c>
      <c r="F38" s="17" t="s">
        <v>336</v>
      </c>
      <c r="G38" s="49" t="str">
        <f>IFERROR(__xludf.DUMMYFUNCTION("GOOGLETRANSLATE(C38, ""en"", ""or"")"),"ସାମାନ୍ୟ ଅବନତି (ଯଥା, ସ୍ପଷ୍ଟତା କିମ୍ବା ସ୍ୱାଦରେ ସାମାନ୍ୟ ପରିବର୍ତ୍ତନ)
")</f>
        <v>ସାମାନ୍ୟ ଅବନତି (ଯଥା, ସ୍ପଷ୍ଟତା କିମ୍ବା ସ୍ୱାଦରେ ସାମାନ୍ୟ ପରିବର୍ତ୍ତନ)
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2.75" customHeight="1">
      <c r="A39" s="14" t="s">
        <v>329</v>
      </c>
      <c r="B39" s="19" t="s">
        <v>337</v>
      </c>
      <c r="C39" s="11" t="s">
        <v>337</v>
      </c>
      <c r="D39" s="11" t="s">
        <v>338</v>
      </c>
      <c r="E39" s="11" t="str">
        <f>IFERROR(__xludf.DUMMYFUNCTION("GOOGLETRANSLATE(D39, ""hi"", ""gu"")"),"કોઈ ફેરફાર નથી")</f>
        <v>કોઈ ફેરફાર નથી</v>
      </c>
      <c r="F39" s="17" t="s">
        <v>339</v>
      </c>
      <c r="G39" s="49" t="str">
        <f>IFERROR(__xludf.DUMMYFUNCTION("GOOGLETRANSLATE(C39, ""en"", ""or"")"),"କୌଣସି ଆଖିଦୃଶିଆ ପରିବର୍ତ୍ତନ ନାହିଁ
")</f>
        <v>କୌଣସି ଆଖିଦୃଶିଆ ପରିବର୍ତ୍ତନ ନାହିଁ
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2.75" customHeight="1">
      <c r="A40" s="14" t="s">
        <v>329</v>
      </c>
      <c r="B40" s="19" t="s">
        <v>340</v>
      </c>
      <c r="C40" s="11" t="s">
        <v>340</v>
      </c>
      <c r="D40" s="11" t="s">
        <v>341</v>
      </c>
      <c r="E40" s="11" t="str">
        <f>IFERROR(__xludf.DUMMYFUNCTION("GOOGLETRANSLATE(D40, ""hi"", ""gu"")"),"નાના સુધારા (દા.ત., સ્વચ્છ પાણી, કડવો સ્વાદ)")</f>
        <v>નાના સુધારા (દા.ત., સ્વચ્છ પાણી, કડવો સ્વાદ)</v>
      </c>
      <c r="F40" s="17" t="s">
        <v>342</v>
      </c>
      <c r="G40" s="49" t="str">
        <f>IFERROR(__xludf.DUMMYFUNCTION("GOOGLETRANSLATE(C40, ""en"", ""or"")"),"ସାମାନ୍ୟ ଉନ୍ନତି (ଯଥା, ସ୍ୱଚ୍ଛ ପାଣି, ଉତ୍ତମ ସ୍ୱାଦ)
")</f>
        <v>ସାମାନ୍ୟ ଉନ୍ନତି (ଯଥା, ସ୍ୱଚ୍ଛ ପାଣି, ଉତ୍ତମ ସ୍ୱାଦ)
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2.75" customHeight="1">
      <c r="A41" s="14" t="s">
        <v>329</v>
      </c>
      <c r="B41" s="19" t="s">
        <v>343</v>
      </c>
      <c r="C41" s="11" t="s">
        <v>344</v>
      </c>
      <c r="D41" s="11" t="s">
        <v>345</v>
      </c>
      <c r="E41" s="11" t="str">
        <f>IFERROR(__xludf.DUMMYFUNCTION("GOOGLETRANSLATE(D41, ""hi"", ""gu"")"),"ઘણા સુધારાઓ (દા.ત., સ્વચ્છ પાણી, કુદરતી રંગો અને સ્વાદ)")</f>
        <v>ઘણા સુધારાઓ (દા.ત., સ્વચ્છ પાણી, કુદરતી રંગો અને સ્વાદ)</v>
      </c>
      <c r="F41" s="17" t="s">
        <v>346</v>
      </c>
      <c r="G41" s="49" t="str">
        <f>IFERROR(__xludf.DUMMYFUNCTION("GOOGLETRANSLATE(C41, ""en"", ""or"")"),"ଗୁରୁତ୍ୱପୂର୍ଣ୍ଣ ଉନ୍ନତି (ଯଥା, ସ୍ୱଚ୍ଛ ପାଣି, ପୁନଃସ୍ଥାପିତ ପ୍ରାକୃତିକ ରଙ୍ଗ ଏବଂ ସ୍ୱାଦ)
")</f>
        <v>ଗୁରୁତ୍ୱପୂର୍ଣ୍ଣ ଉନ୍ନତି (ଯଥା, ସ୍ୱଚ୍ଛ ପାଣି, ପୁନଃସ୍ଥାପିତ ପ୍ରାକୃତିକ ରଙ୍ଗ ଏବଂ ସ୍ୱାଦ)
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2.75" customHeight="1">
      <c r="A42" s="14"/>
      <c r="B42" s="19"/>
      <c r="C42" s="13"/>
      <c r="D42" s="13"/>
      <c r="E42" s="11"/>
      <c r="F42" s="12"/>
      <c r="G42" s="49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2.75" customHeight="1">
      <c r="A43" s="14" t="s">
        <v>347</v>
      </c>
      <c r="B43" s="19" t="s">
        <v>348</v>
      </c>
      <c r="C43" s="11" t="s">
        <v>348</v>
      </c>
      <c r="D43" s="11" t="s">
        <v>349</v>
      </c>
      <c r="E43" s="11" t="str">
        <f>IFERROR(__xludf.DUMMYFUNCTION("GOOGLETRANSLATE(D43, ""hi"", ""gu"")"),"હા, નોંધપાત્ર ગંદકી (દા.ત., ઓઇલ ફિલ્મ)")</f>
        <v>હા, નોંધપાત્ર ગંદકી (દા.ત., ઓઇલ ફિલ્મ)</v>
      </c>
      <c r="F43" s="17" t="s">
        <v>350</v>
      </c>
      <c r="G43" s="49" t="str">
        <f>IFERROR(__xludf.DUMMYFUNCTION("GOOGLETRANSLATE(C43, ""en"", ""or"")"),"ହଁ, ଦୃଶ୍ୟମାନ ପ୍ରଦୂଷକ (ଯଥା, ତେଲ ସ୍ଲିକ୍)
")</f>
        <v>ହଁ, ଦୃଶ୍ୟମାନ ପ୍ରଦୂଷକ (ଯଥା, ତେଲ ସ୍ଲିକ୍)
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2.75" customHeight="1">
      <c r="A44" s="14" t="s">
        <v>347</v>
      </c>
      <c r="B44" s="19" t="s">
        <v>351</v>
      </c>
      <c r="C44" s="11" t="s">
        <v>351</v>
      </c>
      <c r="D44" s="11" t="s">
        <v>352</v>
      </c>
      <c r="E44" s="11" t="str">
        <f>IFERROR(__xludf.DUMMYFUNCTION("GOOGLETRANSLATE(D44, ""hi"", ""gu"")"),"હા, રાસાયણિક દૂષણ (દા.ત., ગંધ, અસામાન્ય રંગ)")</f>
        <v>હા, રાસાયણિક દૂષણ (દા.ત., ગંધ, અસામાન્ય રંગ)</v>
      </c>
      <c r="F44" s="17" t="s">
        <v>353</v>
      </c>
      <c r="G44" s="49" t="str">
        <f>IFERROR(__xludf.DUMMYFUNCTION("GOOGLETRANSLATE(C44, ""en"", ""or"")"),"ହଁ, ରାସାୟନିକ ପ୍ରଦୂଷଣ (ଯଥା, ଅପ୍ରିୟ ଗନ୍ଧ, ଅସାଧାରଣ ରଙ୍ଗ)
")</f>
        <v>ହଁ, ରାସାୟନିକ ପ୍ରଦୂଷଣ (ଯଥା, ଅପ୍ରିୟ ଗନ୍ଧ, ଅସାଧାରଣ ରଙ୍ଗ)
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2.75" customHeight="1">
      <c r="A45" s="14" t="s">
        <v>347</v>
      </c>
      <c r="B45" s="19" t="s">
        <v>354</v>
      </c>
      <c r="C45" s="11" t="s">
        <v>354</v>
      </c>
      <c r="D45" s="11" t="s">
        <v>355</v>
      </c>
      <c r="E45" s="11" t="str">
        <f>IFERROR(__xludf.DUMMYFUNCTION("GOOGLETRANSLATE(D45, ""hi"", ""gu"")"),"હા, કૃષિ પ્રવાહ (દા.ત., ખાતરો, જંતુનાશકો)")</f>
        <v>હા, કૃષિ પ્રવાહ (દા.ત., ખાતરો, જંતુનાશકો)</v>
      </c>
      <c r="F45" s="17" t="s">
        <v>356</v>
      </c>
      <c r="G45" s="49" t="str">
        <f>IFERROR(__xludf.DUMMYFUNCTION("GOOGLETRANSLATE(C45, ""en"", ""or"")"),"ହଁ, କୃଷି ଜଳ ପ୍ରବାହ (ଯଥା, ସାର, କୀଟନାଶକ)
")</f>
        <v>ହଁ, କୃଷି ଜଳ ପ୍ରବାହ (ଯଥା, ସାର, କୀଟନାଶକ)
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2.75" customHeight="1">
      <c r="A46" s="14" t="s">
        <v>347</v>
      </c>
      <c r="B46" s="19" t="s">
        <v>357</v>
      </c>
      <c r="C46" s="11" t="s">
        <v>358</v>
      </c>
      <c r="D46" s="11" t="s">
        <v>359</v>
      </c>
      <c r="E46" s="11" t="str">
        <f>IFERROR(__xludf.DUMMYFUNCTION("GOOGLETRANSLATE(D46, ""hi"", ""gu"")"),"ના, કોઈ ગંદકી કે ધૂળ નથી.")</f>
        <v>ના, કોઈ ગંદકી કે ધૂળ નથી.</v>
      </c>
      <c r="F46" s="17" t="s">
        <v>360</v>
      </c>
      <c r="G46" s="49" t="str">
        <f>IFERROR(__xludf.DUMMYFUNCTION("GOOGLETRANSLATE(C46, ""en"", ""or"")"),"ନା, କୌଣସି ଆଖିଦୃଶିଆ ପ୍ରଦୂଷକ କିମ୍ବା ପ୍ରଦୂଷଣ ନାହିଁ
")</f>
        <v>ନା, କୌଣସି ଆଖିଦୃଶିଆ ପ୍ରଦୂଷକ କିମ୍ବା ପ୍ରଦୂଷଣ ନାହିଁ
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2.75" customHeight="1">
      <c r="A47" s="14" t="s">
        <v>347</v>
      </c>
      <c r="B47" s="19" t="s">
        <v>361</v>
      </c>
      <c r="C47" s="13" t="s">
        <v>361</v>
      </c>
      <c r="D47" s="11" t="s">
        <v>362</v>
      </c>
      <c r="E47" s="11" t="str">
        <f>IFERROR(__xludf.DUMMYFUNCTION("GOOGLETRANSLATE(D47, ""hi"", ""gu"")"),"અનિશ્ચિત/ખાતરી નથી")</f>
        <v>અનિશ્ચિત/ખાતરી નથી</v>
      </c>
      <c r="F47" s="12" t="s">
        <v>363</v>
      </c>
      <c r="G47" s="49" t="str">
        <f>IFERROR(__xludf.DUMMYFUNCTION("GOOGLETRANSLATE(C47, ""en"", ""or"")"),"ଅନିଶ୍ଚିତ/ନିଶ୍ଚିତ ନୁହେଁ")</f>
        <v>ଅନିଶ୍ଚିତ/ନିଶ୍ଚିତ ନୁହେଁ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2.75" customHeight="1">
      <c r="A48" s="14"/>
      <c r="B48" s="19"/>
      <c r="C48" s="13"/>
      <c r="D48" s="13"/>
      <c r="E48" s="11"/>
      <c r="F48" s="12"/>
      <c r="G48" s="49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2.75" customHeight="1">
      <c r="A49" s="14" t="s">
        <v>364</v>
      </c>
      <c r="B49" s="19" t="s">
        <v>365</v>
      </c>
      <c r="C49" s="11" t="s">
        <v>365</v>
      </c>
      <c r="D49" s="11" t="s">
        <v>366</v>
      </c>
      <c r="E49" s="11" t="str">
        <f>IFERROR(__xludf.DUMMYFUNCTION("GOOGLETRANSLATE(D49, ""hi"", ""gu"")"),"મનરેગા")</f>
        <v>મનરેગા</v>
      </c>
      <c r="F49" s="12" t="s">
        <v>365</v>
      </c>
      <c r="G49" s="49" t="str">
        <f>IFERROR(__xludf.DUMMYFUNCTION("GOOGLETRANSLATE(C49, ""en"", ""or"")"),"ମନରେଗା")</f>
        <v>ମନରେଗା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2.75" customHeight="1">
      <c r="A50" s="14" t="s">
        <v>364</v>
      </c>
      <c r="B50" s="19" t="s">
        <v>367</v>
      </c>
      <c r="C50" s="11" t="s">
        <v>367</v>
      </c>
      <c r="D50" s="11" t="s">
        <v>368</v>
      </c>
      <c r="E50" s="11" t="str">
        <f>IFERROR(__xludf.DUMMYFUNCTION("GOOGLETRANSLATE(D50, ""hi"", ""gu"")"),"પીએમ કુસુમ")</f>
        <v>પીએમ કુસુમ</v>
      </c>
      <c r="F50" s="12" t="s">
        <v>369</v>
      </c>
      <c r="G50" s="49" t="str">
        <f>IFERROR(__xludf.DUMMYFUNCTION("GOOGLETRANSLATE(C50, ""en"", ""or"")"),"ପ୍ରଧାନମନ୍ତ୍ରୀ-କୁସୁମ")</f>
        <v>ପ୍ରଧାନମନ୍ତ୍ରୀ-କୁସୁମ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2.75" customHeight="1">
      <c r="A51" s="14" t="s">
        <v>364</v>
      </c>
      <c r="B51" s="19" t="s">
        <v>370</v>
      </c>
      <c r="C51" s="11" t="s">
        <v>370</v>
      </c>
      <c r="D51" s="11" t="s">
        <v>371</v>
      </c>
      <c r="E51" s="11" t="str">
        <f>IFERROR(__xludf.DUMMYFUNCTION("GOOGLETRANSLATE(D51, ""hi"", ""gu"")"),"પીએમજીએસવાય")</f>
        <v>પીએમજીએસવાય</v>
      </c>
      <c r="F51" s="12" t="s">
        <v>372</v>
      </c>
      <c r="G51" s="49" t="str">
        <f>IFERROR(__xludf.DUMMYFUNCTION("GOOGLETRANSLATE(C51, ""en"", ""or"")"),"ପିଏମଜିଏସୱାଇ")</f>
        <v>ପିଏମଜିଏସୱାଇ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2.75" customHeight="1">
      <c r="A52" s="14" t="s">
        <v>364</v>
      </c>
      <c r="B52" s="19" t="s">
        <v>373</v>
      </c>
      <c r="C52" s="11" t="s">
        <v>373</v>
      </c>
      <c r="D52" s="11" t="s">
        <v>374</v>
      </c>
      <c r="E52" s="11" t="str">
        <f>IFERROR(__xludf.DUMMYFUNCTION("GOOGLETRANSLATE(D52, ""hi"", ""gu"")"),"એનઆરએલએમ")</f>
        <v>એનઆરએલએમ</v>
      </c>
      <c r="F52" s="12" t="s">
        <v>373</v>
      </c>
      <c r="G52" s="49" t="str">
        <f>IFERROR(__xludf.DUMMYFUNCTION("GOOGLETRANSLATE(C52, ""en"", ""or"")"),"ଏନଆରଏଲଏମ")</f>
        <v>ଏନଆରଏଲଏମ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2.75" customHeight="1">
      <c r="A53" s="14" t="s">
        <v>364</v>
      </c>
      <c r="B53" s="19" t="s">
        <v>375</v>
      </c>
      <c r="C53" s="11" t="s">
        <v>375</v>
      </c>
      <c r="D53" s="11" t="s">
        <v>376</v>
      </c>
      <c r="E53" s="11" t="str">
        <f>IFERROR(__xludf.DUMMYFUNCTION("GOOGLETRANSLATE(D53, ""hi"", ""gu"")"),"તમારા પોતાના ખર્ચે ચલાવો")</f>
        <v>તમારા પોતાના ખર્ચે ચલાવો</v>
      </c>
      <c r="F53" s="12" t="s">
        <v>377</v>
      </c>
      <c r="G53" s="49" t="str">
        <f>IFERROR(__xludf.DUMMYFUNCTION("GOOGLETRANSLATE(C53, ""en"", ""or"")"),"ସ୍ଵୟଂ ପାଣ୍ଠି")</f>
        <v>ସ୍ଵୟଂ ପାଣ୍ଠି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2.75" customHeight="1">
      <c r="A54" s="14" t="s">
        <v>364</v>
      </c>
      <c r="B54" s="19" t="s">
        <v>378</v>
      </c>
      <c r="C54" s="13" t="s">
        <v>378</v>
      </c>
      <c r="D54" s="13" t="str">
        <f>IFERROR(__xludf.DUMMYFUNCTION("GOOGLETRANSLATE(C54, ""en"", ""hi"")"),"पता नहीं")</f>
        <v>पता नहीं</v>
      </c>
      <c r="E54" s="11" t="str">
        <f>IFERROR(__xludf.DUMMYFUNCTION("GOOGLETRANSLATE(D54, ""hi"", ""gu"")"),"ખબર નથી")</f>
        <v>ખબર નથી</v>
      </c>
      <c r="F54" s="12" t="s">
        <v>379</v>
      </c>
      <c r="G54" s="49" t="str">
        <f>IFERROR(__xludf.DUMMYFUNCTION("GOOGLETRANSLATE(C54, ""en"", ""or"")"),"ଜାଣିନାହିଁ")</f>
        <v>ଜାଣିନାହିଁ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2.75" customHeight="1">
      <c r="A55" s="14"/>
      <c r="B55" s="19"/>
      <c r="C55" s="13"/>
      <c r="D55" s="13"/>
      <c r="E55" s="11"/>
      <c r="F55" s="12"/>
      <c r="G55" s="49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2.75" customHeight="1">
      <c r="A56" s="14"/>
      <c r="B56" s="19"/>
      <c r="C56" s="13"/>
      <c r="D56" s="13"/>
      <c r="E56" s="11"/>
      <c r="F56" s="12"/>
      <c r="G56" s="49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2.75" customHeight="1">
      <c r="A57" s="14" t="s">
        <v>380</v>
      </c>
      <c r="B57" s="19" t="s">
        <v>381</v>
      </c>
      <c r="C57" s="11" t="s">
        <v>381</v>
      </c>
      <c r="D57" s="11" t="s">
        <v>382</v>
      </c>
      <c r="E57" s="11" t="str">
        <f>IFERROR(__xludf.DUMMYFUNCTION("GOOGLETRANSLATE(D57, ""hi"", ""gu"")"),"જુલાઈ")</f>
        <v>જુલાઈ</v>
      </c>
      <c r="F57" s="12" t="s">
        <v>383</v>
      </c>
      <c r="G57" s="49" t="str">
        <f>IFERROR(__xludf.DUMMYFUNCTION("GOOGLETRANSLATE(C57, ""en"", ""or"")"),"ଜୁଲାଇ")</f>
        <v>ଜୁଲାଇ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2.75" customHeight="1">
      <c r="A58" s="14" t="s">
        <v>380</v>
      </c>
      <c r="B58" s="19" t="s">
        <v>384</v>
      </c>
      <c r="C58" s="11" t="s">
        <v>384</v>
      </c>
      <c r="D58" s="11" t="s">
        <v>385</v>
      </c>
      <c r="E58" s="11" t="str">
        <f>IFERROR(__xludf.DUMMYFUNCTION("GOOGLETRANSLATE(D58, ""hi"", ""gu"")"),"ઓગસ્ટ")</f>
        <v>ઓગસ્ટ</v>
      </c>
      <c r="F58" s="12" t="s">
        <v>386</v>
      </c>
      <c r="G58" s="49" t="str">
        <f>IFERROR(__xludf.DUMMYFUNCTION("GOOGLETRANSLATE(C58, ""en"", ""or"")"),"ଅଗଷ୍ଟ")</f>
        <v>ଅଗଷ୍ଟ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2.75" customHeight="1">
      <c r="A59" s="14" t="s">
        <v>380</v>
      </c>
      <c r="B59" s="19" t="s">
        <v>387</v>
      </c>
      <c r="C59" s="11" t="s">
        <v>387</v>
      </c>
      <c r="D59" s="11" t="s">
        <v>388</v>
      </c>
      <c r="E59" s="11" t="str">
        <f>IFERROR(__xludf.DUMMYFUNCTION("GOOGLETRANSLATE(D59, ""hi"", ""gu"")"),"સપ્ટેમ્બર")</f>
        <v>સપ્ટેમ્બર</v>
      </c>
      <c r="F59" s="12" t="s">
        <v>389</v>
      </c>
      <c r="G59" s="49" t="str">
        <f>IFERROR(__xludf.DUMMYFUNCTION("GOOGLETRANSLATE(C59, ""en"", ""or"")"),"ସେପ୍ଟେମ୍ବର")</f>
        <v>ସେପ୍ଟେମ୍ବର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2.75" customHeight="1">
      <c r="A60" s="14" t="s">
        <v>380</v>
      </c>
      <c r="B60" s="19" t="s">
        <v>390</v>
      </c>
      <c r="C60" s="11" t="s">
        <v>390</v>
      </c>
      <c r="D60" s="11" t="s">
        <v>391</v>
      </c>
      <c r="E60" s="11" t="str">
        <f>IFERROR(__xludf.DUMMYFUNCTION("GOOGLETRANSLATE(D60, ""hi"", ""gu"")"),"ઓક્ટોબર")</f>
        <v>ઓક્ટોબર</v>
      </c>
      <c r="F60" s="12" t="s">
        <v>392</v>
      </c>
      <c r="G60" s="49" t="str">
        <f>IFERROR(__xludf.DUMMYFUNCTION("GOOGLETRANSLATE(C60, ""en"", ""or"")"),"ଅକ୍ଟୋବର")</f>
        <v>ଅକ୍ଟୋବର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2.75" customHeight="1">
      <c r="A61" s="14" t="s">
        <v>380</v>
      </c>
      <c r="B61" s="19" t="s">
        <v>393</v>
      </c>
      <c r="C61" s="11" t="s">
        <v>393</v>
      </c>
      <c r="D61" s="11" t="s">
        <v>394</v>
      </c>
      <c r="E61" s="11" t="str">
        <f>IFERROR(__xludf.DUMMYFUNCTION("GOOGLETRANSLATE(D61, ""hi"", ""gu"")"),"નવેમ્બર")</f>
        <v>નવેમ્બર</v>
      </c>
      <c r="F61" s="12" t="s">
        <v>395</v>
      </c>
      <c r="G61" s="49" t="str">
        <f>IFERROR(__xludf.DUMMYFUNCTION("GOOGLETRANSLATE(C61, ""en"", ""or"")"),"ନଭେମ୍ବର")</f>
        <v>ନଭେମ୍ବର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2.75" customHeight="1">
      <c r="A62" s="14" t="s">
        <v>380</v>
      </c>
      <c r="B62" s="19" t="s">
        <v>396</v>
      </c>
      <c r="C62" s="11" t="s">
        <v>396</v>
      </c>
      <c r="D62" s="11" t="s">
        <v>397</v>
      </c>
      <c r="E62" s="11" t="str">
        <f>IFERROR(__xludf.DUMMYFUNCTION("GOOGLETRANSLATE(D62, ""hi"", ""gu"")"),"ડિસેમ્બર")</f>
        <v>ડિસેમ્બર</v>
      </c>
      <c r="F62" s="12" t="s">
        <v>398</v>
      </c>
      <c r="G62" s="49" t="str">
        <f>IFERROR(__xludf.DUMMYFUNCTION("GOOGLETRANSLATE(C62, ""en"", ""or"")"),"ଡିସେମ୍ବର୍‌")</f>
        <v>ଡିସେମ୍ବର୍‌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2.75" customHeight="1">
      <c r="A63" s="14" t="s">
        <v>380</v>
      </c>
      <c r="B63" s="19" t="s">
        <v>399</v>
      </c>
      <c r="C63" s="11" t="s">
        <v>399</v>
      </c>
      <c r="D63" s="11" t="s">
        <v>400</v>
      </c>
      <c r="E63" s="11" t="str">
        <f>IFERROR(__xludf.DUMMYFUNCTION("GOOGLETRANSLATE(D63, ""hi"", ""gu"")"),"જાન્યુઆરી")</f>
        <v>જાન્યુઆરી</v>
      </c>
      <c r="F63" s="12" t="s">
        <v>401</v>
      </c>
      <c r="G63" s="49" t="str">
        <f>IFERROR(__xludf.DUMMYFUNCTION("GOOGLETRANSLATE(C63, ""en"", ""or"")"),"ଜାନୁଆରୀ")</f>
        <v>ଜାନୁଆରୀ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2.75" customHeight="1">
      <c r="A64" s="14" t="s">
        <v>380</v>
      </c>
      <c r="B64" s="19" t="s">
        <v>402</v>
      </c>
      <c r="C64" s="11" t="s">
        <v>402</v>
      </c>
      <c r="D64" s="11" t="s">
        <v>403</v>
      </c>
      <c r="E64" s="11" t="str">
        <f>IFERROR(__xludf.DUMMYFUNCTION("GOOGLETRANSLATE(D64, ""hi"", ""gu"")"),"ફેબ્રુઆરી")</f>
        <v>ફેબ્રુઆરી</v>
      </c>
      <c r="F64" s="12" t="s">
        <v>404</v>
      </c>
      <c r="G64" s="49" t="str">
        <f>IFERROR(__xludf.DUMMYFUNCTION("GOOGLETRANSLATE(C64, ""en"", ""or"")"),"ଫେବୃଆରୀ")</f>
        <v>ଫେବୃଆରୀ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2.75" customHeight="1">
      <c r="A65" s="14" t="s">
        <v>380</v>
      </c>
      <c r="B65" s="19" t="s">
        <v>405</v>
      </c>
      <c r="C65" s="11" t="s">
        <v>405</v>
      </c>
      <c r="D65" s="11" t="s">
        <v>406</v>
      </c>
      <c r="E65" s="11" t="str">
        <f>IFERROR(__xludf.DUMMYFUNCTION("GOOGLETRANSLATE(D65, ""hi"", ""gu"")"),"કૂચ")</f>
        <v>કૂચ</v>
      </c>
      <c r="F65" s="12" t="s">
        <v>407</v>
      </c>
      <c r="G65" s="49" t="str">
        <f>IFERROR(__xludf.DUMMYFUNCTION("GOOGLETRANSLATE(C65, ""en"", ""or"")"),"ମାର୍ଚ୍ଚ")</f>
        <v>ମାର୍ଚ୍ଚ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2.75" customHeight="1">
      <c r="A66" s="14" t="s">
        <v>380</v>
      </c>
      <c r="B66" s="19" t="s">
        <v>408</v>
      </c>
      <c r="C66" s="11" t="s">
        <v>408</v>
      </c>
      <c r="D66" s="11" t="s">
        <v>409</v>
      </c>
      <c r="E66" s="11" t="str">
        <f>IFERROR(__xludf.DUMMYFUNCTION("GOOGLETRANSLATE(D66, ""hi"", ""gu"")"),"એપ્રિલ")</f>
        <v>એપ્રિલ</v>
      </c>
      <c r="F66" s="12" t="s">
        <v>410</v>
      </c>
      <c r="G66" s="49" t="str">
        <f>IFERROR(__xludf.DUMMYFUNCTION("GOOGLETRANSLATE(C66, ""en"", ""or"")"),"ଏପ୍ରିଲ୍")</f>
        <v>ଏପ୍ରିଲ୍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2.75" customHeight="1">
      <c r="A67" s="14" t="s">
        <v>380</v>
      </c>
      <c r="B67" s="19" t="s">
        <v>411</v>
      </c>
      <c r="C67" s="11" t="s">
        <v>411</v>
      </c>
      <c r="D67" s="11" t="s">
        <v>412</v>
      </c>
      <c r="E67" s="11" t="str">
        <f>IFERROR(__xludf.DUMMYFUNCTION("GOOGLETRANSLATE(D67, ""hi"", ""gu"")"),"મે")</f>
        <v>મે</v>
      </c>
      <c r="F67" s="12" t="s">
        <v>413</v>
      </c>
      <c r="G67" s="49" t="str">
        <f>IFERROR(__xludf.DUMMYFUNCTION("GOOGLETRANSLATE(C67, ""en"", ""or"")"),"ମଇ")</f>
        <v>ମଇ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2.75" customHeight="1">
      <c r="A68" s="14" t="s">
        <v>380</v>
      </c>
      <c r="B68" s="19" t="s">
        <v>414</v>
      </c>
      <c r="C68" s="11" t="s">
        <v>414</v>
      </c>
      <c r="D68" s="11" t="s">
        <v>415</v>
      </c>
      <c r="E68" s="11" t="str">
        <f>IFERROR(__xludf.DUMMYFUNCTION("GOOGLETRANSLATE(D68, ""hi"", ""gu"")"),"જૂન")</f>
        <v>જૂન</v>
      </c>
      <c r="F68" s="12" t="s">
        <v>416</v>
      </c>
      <c r="G68" s="49" t="str">
        <f>IFERROR(__xludf.DUMMYFUNCTION("GOOGLETRANSLATE(C68, ""en"", ""or"")"),"ଜୁନ୍")</f>
        <v>ଜୁନ୍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2.75" customHeight="1">
      <c r="A69" s="14"/>
      <c r="B69" s="19"/>
      <c r="C69" s="13"/>
      <c r="D69" s="13"/>
      <c r="E69" s="11"/>
      <c r="F69" s="12"/>
      <c r="G69" s="49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2.75" customHeight="1">
      <c r="A70" s="51" t="s">
        <v>417</v>
      </c>
      <c r="B70" s="52" t="s">
        <v>418</v>
      </c>
      <c r="C70" s="53" t="s">
        <v>419</v>
      </c>
      <c r="D70" s="54" t="s">
        <v>420</v>
      </c>
      <c r="E70" s="55" t="s">
        <v>421</v>
      </c>
      <c r="F70" s="55" t="s">
        <v>422</v>
      </c>
      <c r="G70" s="49" t="str">
        <f>IFERROR(__xludf.DUMMYFUNCTION("GOOGLETRANSLATE(C70, ""en"", ""or"")"),"ସ୍ତର ହ୍ରାସ ପାଉଛି")</f>
        <v>ସ୍ତର ହ୍ରାସ ପାଉଛି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ht="12.75" customHeight="1">
      <c r="A71" s="51" t="s">
        <v>417</v>
      </c>
      <c r="B71" s="52" t="s">
        <v>423</v>
      </c>
      <c r="C71" s="53" t="s">
        <v>424</v>
      </c>
      <c r="D71" s="54" t="s">
        <v>425</v>
      </c>
      <c r="E71" s="55" t="s">
        <v>426</v>
      </c>
      <c r="F71" s="55" t="s">
        <v>427</v>
      </c>
      <c r="G71" s="49" t="str">
        <f>IFERROR(__xludf.DUMMYFUNCTION("GOOGLETRANSLATE(C71, ""en"", ""or"")"),"ବର୍ଦ୍ଧିତ ସ୍ତର")</f>
        <v>ବର୍ଦ୍ଧିତ ସ୍ତର</v>
      </c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ht="21.0" customHeight="1">
      <c r="A72" s="51" t="s">
        <v>417</v>
      </c>
      <c r="B72" s="52" t="s">
        <v>428</v>
      </c>
      <c r="C72" s="53" t="s">
        <v>429</v>
      </c>
      <c r="D72" s="54" t="s">
        <v>430</v>
      </c>
      <c r="E72" s="55" t="s">
        <v>431</v>
      </c>
      <c r="F72" s="55" t="s">
        <v>432</v>
      </c>
      <c r="G72" s="49" t="str">
        <f>IFERROR(__xludf.DUMMYFUNCTION("GOOGLETRANSLATE(C72, ""en"", ""or"")"),"କୌଣସି ପରିବର୍ତ୍ତନ ଦେଖିନାହିଁ")</f>
        <v>କୌଣସି ପରିବର୍ତ୍ତନ ଦେଖିନାହିଁ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ht="12.75" customHeight="1">
      <c r="A73" s="14"/>
      <c r="B73" s="19"/>
      <c r="C73" s="13"/>
      <c r="D73" s="13"/>
      <c r="E73" s="13"/>
      <c r="F73" s="12"/>
      <c r="G73" s="49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2.75" customHeight="1">
      <c r="A74" s="15" t="s">
        <v>433</v>
      </c>
      <c r="B74" s="12" t="s">
        <v>434</v>
      </c>
      <c r="C74" s="12" t="s">
        <v>434</v>
      </c>
      <c r="D74" s="12" t="s">
        <v>435</v>
      </c>
      <c r="E74" s="12" t="s">
        <v>436</v>
      </c>
      <c r="F74" s="12" t="s">
        <v>437</v>
      </c>
      <c r="G74" s="49" t="str">
        <f>IFERROR(__xludf.DUMMYFUNCTION("GOOGLETRANSLATE(C74, ""en"", ""or"")"),"କଳା")</f>
        <v>କଳା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</row>
    <row r="75" ht="12.75" customHeight="1">
      <c r="A75" s="15" t="s">
        <v>433</v>
      </c>
      <c r="B75" s="12" t="s">
        <v>438</v>
      </c>
      <c r="C75" s="12" t="s">
        <v>438</v>
      </c>
      <c r="D75" s="12" t="s">
        <v>439</v>
      </c>
      <c r="E75" s="12" t="s">
        <v>440</v>
      </c>
      <c r="F75" s="12" t="s">
        <v>441</v>
      </c>
      <c r="G75" s="49" t="str">
        <f>IFERROR(__xludf.DUMMYFUNCTION("GOOGLETRANSLATE(C75, ""en"", ""or"")"),"ଲାଲ")</f>
        <v>ଲାଲ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</row>
    <row r="76" ht="12.75" customHeight="1">
      <c r="A76" s="15" t="s">
        <v>433</v>
      </c>
      <c r="B76" s="12" t="s">
        <v>442</v>
      </c>
      <c r="C76" s="12" t="s">
        <v>442</v>
      </c>
      <c r="D76" s="12" t="s">
        <v>443</v>
      </c>
      <c r="E76" s="12" t="s">
        <v>444</v>
      </c>
      <c r="F76" s="12" t="s">
        <v>445</v>
      </c>
      <c r="G76" s="49" t="str">
        <f>IFERROR(__xludf.DUMMYFUNCTION("GOOGLETRANSLATE(C76, ""en"", ""or"")"),"ଲାଟେରାଇଟ୍")</f>
        <v>ଲାଟେରାଇଟ୍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</row>
    <row r="77" ht="12.75" customHeight="1">
      <c r="A77" s="15" t="s">
        <v>433</v>
      </c>
      <c r="B77" s="12" t="s">
        <v>446</v>
      </c>
      <c r="C77" s="12" t="s">
        <v>446</v>
      </c>
      <c r="D77" s="12" t="s">
        <v>447</v>
      </c>
      <c r="E77" s="12" t="s">
        <v>448</v>
      </c>
      <c r="F77" s="12" t="s">
        <v>449</v>
      </c>
      <c r="G77" s="49" t="str">
        <f>IFERROR(__xludf.DUMMYFUNCTION("GOOGLETRANSLATE(C77, ""en"", ""or"")"),"ଜଳପ୍ରବାହ")</f>
        <v>ଜଳପ୍ରବାହ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</row>
    <row r="78" ht="12.75" customHeight="1">
      <c r="A78" s="15" t="s">
        <v>433</v>
      </c>
      <c r="B78" s="12" t="s">
        <v>450</v>
      </c>
      <c r="C78" s="12" t="s">
        <v>450</v>
      </c>
      <c r="D78" s="12" t="s">
        <v>451</v>
      </c>
      <c r="E78" s="12" t="s">
        <v>452</v>
      </c>
      <c r="F78" s="12" t="s">
        <v>453</v>
      </c>
      <c r="G78" s="49" t="str">
        <f>IFERROR(__xludf.DUMMYFUNCTION("GOOGLETRANSLATE(C78, ""en"", ""or"")"),"ବାଲିଆ")</f>
        <v>ବାଲିଆ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</row>
    <row r="79" ht="12.75" customHeight="1">
      <c r="A79" s="15" t="s">
        <v>433</v>
      </c>
      <c r="B79" s="12" t="s">
        <v>454</v>
      </c>
      <c r="C79" s="12" t="s">
        <v>454</v>
      </c>
      <c r="D79" s="12" t="s">
        <v>455</v>
      </c>
      <c r="E79" s="12" t="s">
        <v>456</v>
      </c>
      <c r="F79" s="12" t="s">
        <v>457</v>
      </c>
      <c r="G79" s="49" t="str">
        <f>IFERROR(__xludf.DUMMYFUNCTION("GOOGLETRANSLATE(C79, ""en"", ""or"")"),"ମାଟି")</f>
        <v>ମାଟି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</row>
    <row r="80" ht="12.75" customHeight="1">
      <c r="A80" s="15" t="s">
        <v>433</v>
      </c>
      <c r="B80" s="12" t="s">
        <v>458</v>
      </c>
      <c r="C80" s="12" t="s">
        <v>458</v>
      </c>
      <c r="D80" s="12" t="s">
        <v>459</v>
      </c>
      <c r="E80" s="12" t="s">
        <v>460</v>
      </c>
      <c r="F80" s="12" t="s">
        <v>461</v>
      </c>
      <c r="G80" s="49" t="str">
        <f>IFERROR(__xludf.DUMMYFUNCTION("GOOGLETRANSLATE(C80, ""en"", ""or"")"),"ରକ୍କା")</f>
        <v>ରକ୍କା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</row>
    <row r="81" ht="12.75" customHeight="1">
      <c r="A81" s="12"/>
      <c r="B81" s="12"/>
      <c r="C81" s="12"/>
      <c r="D81" s="12"/>
      <c r="E81" s="12"/>
      <c r="F81" s="12"/>
      <c r="G81" s="4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</row>
    <row r="82" ht="12.75" customHeight="1">
      <c r="A82" s="15" t="s">
        <v>462</v>
      </c>
      <c r="B82" s="12" t="s">
        <v>463</v>
      </c>
      <c r="C82" s="12" t="s">
        <v>463</v>
      </c>
      <c r="D82" s="12" t="s">
        <v>464</v>
      </c>
      <c r="E82" s="12" t="s">
        <v>465</v>
      </c>
      <c r="F82" s="12" t="s">
        <v>466</v>
      </c>
      <c r="G82" s="49" t="str">
        <f>IFERROR(__xludf.DUMMYFUNCTION("GOOGLETRANSLATE(C82, ""en"", ""or"")"),"କମ୍")</f>
        <v>କମ୍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</row>
    <row r="83" ht="12.75" customHeight="1">
      <c r="A83" s="15" t="s">
        <v>462</v>
      </c>
      <c r="B83" s="12" t="s">
        <v>467</v>
      </c>
      <c r="C83" s="12" t="s">
        <v>467</v>
      </c>
      <c r="D83" s="12" t="s">
        <v>468</v>
      </c>
      <c r="E83" s="12" t="s">
        <v>469</v>
      </c>
      <c r="F83" s="12" t="s">
        <v>470</v>
      </c>
      <c r="G83" s="49" t="str">
        <f>IFERROR(__xludf.DUMMYFUNCTION("GOOGLETRANSLATE(C83, ""en"", ""or"")"),"ମଧ୍ୟମ ଧରଣର")</f>
        <v>ମଧ୍ୟମ ଧରଣର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</row>
    <row r="84" ht="12.75" customHeight="1">
      <c r="A84" s="15" t="s">
        <v>462</v>
      </c>
      <c r="B84" s="12" t="s">
        <v>471</v>
      </c>
      <c r="C84" s="12" t="s">
        <v>471</v>
      </c>
      <c r="D84" s="12" t="s">
        <v>472</v>
      </c>
      <c r="E84" s="12" t="s">
        <v>473</v>
      </c>
      <c r="F84" s="12" t="s">
        <v>474</v>
      </c>
      <c r="G84" s="49" t="str">
        <f>IFERROR(__xludf.DUMMYFUNCTION("GOOGLETRANSLATE(C84, ""en"", ""or"")"),"ଅଧିକ")</f>
        <v>ଅଧିକ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</row>
    <row r="85" ht="12.75" customHeight="1">
      <c r="A85" s="14"/>
      <c r="B85" s="19"/>
      <c r="C85" s="13"/>
      <c r="D85" s="13"/>
      <c r="E85" s="13"/>
      <c r="F85" s="12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2.75" customHeight="1">
      <c r="A86" s="14"/>
      <c r="B86" s="19"/>
      <c r="C86" s="13"/>
      <c r="D86" s="13"/>
      <c r="E86" s="13"/>
      <c r="F86" s="12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2.75" customHeight="1">
      <c r="A87" s="14"/>
      <c r="B87" s="19"/>
      <c r="C87" s="13"/>
      <c r="D87" s="13"/>
      <c r="E87" s="13"/>
      <c r="F87" s="12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2.75" customHeight="1">
      <c r="A88" s="14"/>
      <c r="B88" s="19"/>
      <c r="C88" s="13"/>
      <c r="D88" s="13"/>
      <c r="E88" s="13"/>
      <c r="F88" s="12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2.75" customHeight="1">
      <c r="A89" s="14"/>
      <c r="B89" s="19"/>
      <c r="C89" s="13"/>
      <c r="D89" s="13"/>
      <c r="E89" s="13"/>
      <c r="F89" s="12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2.75" customHeight="1">
      <c r="A90" s="14"/>
      <c r="B90" s="19"/>
      <c r="C90" s="13"/>
      <c r="D90" s="13"/>
      <c r="E90" s="13"/>
      <c r="F90" s="12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2.75" customHeight="1">
      <c r="A91" s="14"/>
      <c r="B91" s="19"/>
      <c r="C91" s="13"/>
      <c r="D91" s="13"/>
      <c r="E91" s="13"/>
      <c r="F91" s="1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2.75" customHeight="1">
      <c r="A92" s="14"/>
      <c r="B92" s="19"/>
      <c r="C92" s="13"/>
      <c r="D92" s="13"/>
      <c r="E92" s="13"/>
      <c r="F92" s="12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2.75" customHeight="1">
      <c r="A93" s="14"/>
      <c r="B93" s="19"/>
      <c r="C93" s="13"/>
      <c r="D93" s="13"/>
      <c r="E93" s="13"/>
      <c r="F93" s="12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2.75" customHeight="1">
      <c r="A94" s="14"/>
      <c r="B94" s="19"/>
      <c r="C94" s="13"/>
      <c r="D94" s="13"/>
      <c r="E94" s="13"/>
      <c r="F94" s="12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2.75" customHeight="1">
      <c r="A95" s="14"/>
      <c r="B95" s="19"/>
      <c r="C95" s="13"/>
      <c r="D95" s="13"/>
      <c r="E95" s="13"/>
      <c r="F95" s="12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2.75" customHeight="1">
      <c r="A96" s="14"/>
      <c r="B96" s="19"/>
      <c r="C96" s="13"/>
      <c r="D96" s="13"/>
      <c r="E96" s="13"/>
      <c r="F96" s="12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2.75" customHeight="1">
      <c r="A97" s="14"/>
      <c r="B97" s="19"/>
      <c r="C97" s="13"/>
      <c r="D97" s="13"/>
      <c r="E97" s="13"/>
      <c r="F97" s="12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2.75" customHeight="1">
      <c r="A98" s="14"/>
      <c r="B98" s="19"/>
      <c r="C98" s="13"/>
      <c r="D98" s="13"/>
      <c r="E98" s="13"/>
      <c r="F98" s="12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2.75" customHeight="1">
      <c r="A99" s="14"/>
      <c r="B99" s="19"/>
      <c r="C99" s="13"/>
      <c r="D99" s="13"/>
      <c r="E99" s="13"/>
      <c r="F99" s="12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2.75" customHeight="1">
      <c r="A100" s="14"/>
      <c r="B100" s="19"/>
      <c r="C100" s="13"/>
      <c r="D100" s="13"/>
      <c r="E100" s="13"/>
      <c r="F100" s="12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2.75" customHeight="1">
      <c r="A101" s="14"/>
      <c r="B101" s="19"/>
      <c r="C101" s="13"/>
      <c r="D101" s="13"/>
      <c r="E101" s="13"/>
      <c r="F101" s="12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2.75" customHeight="1">
      <c r="A102" s="14"/>
      <c r="B102" s="19"/>
      <c r="C102" s="13"/>
      <c r="D102" s="13"/>
      <c r="E102" s="13"/>
      <c r="F102" s="12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2.75" customHeight="1">
      <c r="A103" s="14"/>
      <c r="B103" s="19"/>
      <c r="C103" s="13"/>
      <c r="D103" s="13"/>
      <c r="E103" s="13"/>
      <c r="F103" s="12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2.75" customHeight="1">
      <c r="A104" s="14"/>
      <c r="B104" s="19"/>
      <c r="C104" s="13"/>
      <c r="D104" s="13"/>
      <c r="E104" s="13"/>
      <c r="F104" s="12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2.75" customHeight="1">
      <c r="A105" s="14"/>
      <c r="B105" s="19"/>
      <c r="C105" s="13"/>
      <c r="D105" s="13"/>
      <c r="E105" s="13"/>
      <c r="F105" s="12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2.75" customHeight="1">
      <c r="A106" s="14"/>
      <c r="B106" s="19"/>
      <c r="C106" s="13"/>
      <c r="D106" s="13"/>
      <c r="E106" s="13"/>
      <c r="F106" s="12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2.75" customHeight="1">
      <c r="A107" s="14"/>
      <c r="B107" s="19"/>
      <c r="C107" s="13"/>
      <c r="D107" s="13"/>
      <c r="E107" s="13"/>
      <c r="F107" s="12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2.75" customHeight="1">
      <c r="A108" s="14"/>
      <c r="B108" s="19"/>
      <c r="C108" s="13"/>
      <c r="D108" s="13"/>
      <c r="E108" s="13"/>
      <c r="F108" s="12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2.75" customHeight="1">
      <c r="A109" s="14"/>
      <c r="B109" s="19"/>
      <c r="C109" s="13"/>
      <c r="D109" s="13"/>
      <c r="E109" s="13"/>
      <c r="F109" s="12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2.75" customHeight="1">
      <c r="A110" s="14"/>
      <c r="B110" s="19"/>
      <c r="C110" s="13"/>
      <c r="D110" s="13"/>
      <c r="E110" s="13"/>
      <c r="F110" s="12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2.75" customHeight="1">
      <c r="A111" s="14"/>
      <c r="B111" s="19"/>
      <c r="C111" s="13"/>
      <c r="D111" s="13"/>
      <c r="E111" s="13"/>
      <c r="F111" s="12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2.75" customHeight="1">
      <c r="A112" s="14"/>
      <c r="B112" s="19"/>
      <c r="C112" s="13"/>
      <c r="D112" s="13"/>
      <c r="E112" s="13"/>
      <c r="F112" s="12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2.75" customHeight="1">
      <c r="A113" s="14"/>
      <c r="B113" s="19"/>
      <c r="C113" s="13"/>
      <c r="D113" s="13"/>
      <c r="E113" s="13"/>
      <c r="F113" s="12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2.75" customHeight="1">
      <c r="A114" s="14"/>
      <c r="B114" s="19"/>
      <c r="C114" s="13"/>
      <c r="D114" s="13"/>
      <c r="E114" s="13"/>
      <c r="F114" s="12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2.75" customHeight="1">
      <c r="A115" s="14"/>
      <c r="B115" s="19"/>
      <c r="C115" s="13"/>
      <c r="D115" s="13"/>
      <c r="E115" s="13"/>
      <c r="F115" s="12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2.75" customHeight="1">
      <c r="A116" s="14"/>
      <c r="B116" s="19"/>
      <c r="C116" s="13"/>
      <c r="D116" s="13"/>
      <c r="E116" s="13"/>
      <c r="F116" s="12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2.75" customHeight="1">
      <c r="A117" s="14"/>
      <c r="B117" s="19"/>
      <c r="C117" s="13"/>
      <c r="D117" s="13"/>
      <c r="E117" s="13"/>
      <c r="F117" s="12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2.75" customHeight="1">
      <c r="A118" s="14"/>
      <c r="B118" s="19"/>
      <c r="C118" s="13"/>
      <c r="D118" s="13"/>
      <c r="E118" s="13"/>
      <c r="F118" s="12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2.75" customHeight="1">
      <c r="A119" s="14"/>
      <c r="B119" s="19"/>
      <c r="C119" s="13"/>
      <c r="D119" s="13"/>
      <c r="E119" s="13"/>
      <c r="F119" s="12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2.75" customHeight="1">
      <c r="A120" s="14"/>
      <c r="B120" s="19"/>
      <c r="C120" s="13"/>
      <c r="D120" s="13"/>
      <c r="E120" s="13"/>
      <c r="F120" s="12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2.75" customHeight="1">
      <c r="A121" s="14"/>
      <c r="B121" s="19"/>
      <c r="C121" s="13"/>
      <c r="D121" s="13"/>
      <c r="E121" s="13"/>
      <c r="F121" s="12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2.75" customHeight="1">
      <c r="A122" s="14"/>
      <c r="B122" s="19"/>
      <c r="C122" s="13"/>
      <c r="D122" s="13"/>
      <c r="E122" s="13"/>
      <c r="F122" s="12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2.75" customHeight="1">
      <c r="A123" s="14"/>
      <c r="B123" s="19"/>
      <c r="C123" s="13"/>
      <c r="D123" s="13"/>
      <c r="E123" s="13"/>
      <c r="F123" s="12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2.75" customHeight="1">
      <c r="A124" s="14"/>
      <c r="B124" s="19"/>
      <c r="C124" s="13"/>
      <c r="D124" s="13"/>
      <c r="E124" s="13"/>
      <c r="F124" s="12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2.75" customHeight="1">
      <c r="A125" s="14"/>
      <c r="B125" s="19"/>
      <c r="C125" s="13"/>
      <c r="D125" s="13"/>
      <c r="E125" s="13"/>
      <c r="F125" s="12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2.75" customHeight="1">
      <c r="A126" s="14"/>
      <c r="B126" s="19"/>
      <c r="C126" s="13"/>
      <c r="D126" s="13"/>
      <c r="E126" s="13"/>
      <c r="F126" s="12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2.75" customHeight="1">
      <c r="A127" s="14"/>
      <c r="B127" s="19"/>
      <c r="C127" s="13"/>
      <c r="D127" s="13"/>
      <c r="E127" s="13"/>
      <c r="F127" s="12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2.75" customHeight="1">
      <c r="A128" s="14"/>
      <c r="B128" s="19"/>
      <c r="C128" s="13"/>
      <c r="D128" s="13"/>
      <c r="E128" s="13"/>
      <c r="F128" s="12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2.75" customHeight="1">
      <c r="A129" s="14"/>
      <c r="B129" s="19"/>
      <c r="C129" s="13"/>
      <c r="D129" s="13"/>
      <c r="E129" s="13"/>
      <c r="F129" s="12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2.75" customHeight="1">
      <c r="A130" s="14"/>
      <c r="B130" s="19"/>
      <c r="C130" s="13"/>
      <c r="D130" s="13"/>
      <c r="E130" s="13"/>
      <c r="F130" s="12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2.75" customHeight="1">
      <c r="A131" s="14"/>
      <c r="B131" s="19"/>
      <c r="C131" s="13"/>
      <c r="D131" s="13"/>
      <c r="E131" s="13"/>
      <c r="F131" s="12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2.75" customHeight="1">
      <c r="A132" s="14"/>
      <c r="B132" s="19"/>
      <c r="C132" s="13"/>
      <c r="D132" s="13"/>
      <c r="E132" s="13"/>
      <c r="F132" s="12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2.75" customHeight="1">
      <c r="A133" s="14"/>
      <c r="B133" s="19"/>
      <c r="C133" s="13"/>
      <c r="D133" s="13"/>
      <c r="E133" s="13"/>
      <c r="F133" s="12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2.75" customHeight="1">
      <c r="A134" s="14"/>
      <c r="B134" s="19"/>
      <c r="C134" s="13"/>
      <c r="D134" s="13"/>
      <c r="E134" s="13"/>
      <c r="F134" s="12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2.75" customHeight="1">
      <c r="A135" s="14"/>
      <c r="B135" s="19"/>
      <c r="C135" s="13"/>
      <c r="D135" s="13"/>
      <c r="E135" s="13"/>
      <c r="F135" s="12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2.75" customHeight="1">
      <c r="A136" s="14"/>
      <c r="B136" s="19"/>
      <c r="C136" s="13"/>
      <c r="D136" s="13"/>
      <c r="E136" s="13"/>
      <c r="F136" s="1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2.75" customHeight="1">
      <c r="A137" s="14"/>
      <c r="B137" s="19"/>
      <c r="C137" s="13"/>
      <c r="D137" s="13"/>
      <c r="E137" s="13"/>
      <c r="F137" s="12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2.75" customHeight="1">
      <c r="A138" s="14"/>
      <c r="B138" s="19"/>
      <c r="C138" s="13"/>
      <c r="D138" s="13"/>
      <c r="E138" s="13"/>
      <c r="F138" s="12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2.75" customHeight="1">
      <c r="A139" s="14"/>
      <c r="B139" s="19"/>
      <c r="C139" s="13"/>
      <c r="D139" s="13"/>
      <c r="E139" s="13"/>
      <c r="F139" s="12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2.75" customHeight="1">
      <c r="A140" s="14"/>
      <c r="B140" s="19"/>
      <c r="C140" s="13"/>
      <c r="D140" s="13"/>
      <c r="E140" s="13"/>
      <c r="F140" s="12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2.75" customHeight="1">
      <c r="A141" s="14"/>
      <c r="B141" s="19"/>
      <c r="C141" s="13"/>
      <c r="D141" s="13"/>
      <c r="E141" s="13"/>
      <c r="F141" s="12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2.75" customHeight="1">
      <c r="A142" s="14"/>
      <c r="B142" s="19"/>
      <c r="C142" s="13"/>
      <c r="D142" s="13"/>
      <c r="E142" s="13"/>
      <c r="F142" s="12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2.75" customHeight="1">
      <c r="A143" s="14"/>
      <c r="B143" s="19"/>
      <c r="C143" s="13"/>
      <c r="D143" s="13"/>
      <c r="E143" s="13"/>
      <c r="F143" s="12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2.75" customHeight="1">
      <c r="A144" s="14"/>
      <c r="B144" s="19"/>
      <c r="C144" s="13"/>
      <c r="D144" s="13"/>
      <c r="E144" s="13"/>
      <c r="F144" s="12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2.75" customHeight="1">
      <c r="A145" s="14"/>
      <c r="B145" s="19"/>
      <c r="C145" s="13"/>
      <c r="D145" s="13"/>
      <c r="E145" s="13"/>
      <c r="F145" s="12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2.75" customHeight="1">
      <c r="A146" s="14"/>
      <c r="B146" s="19"/>
      <c r="C146" s="13"/>
      <c r="D146" s="13"/>
      <c r="E146" s="13"/>
      <c r="F146" s="12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2.75" customHeight="1">
      <c r="A147" s="14"/>
      <c r="B147" s="19"/>
      <c r="C147" s="13"/>
      <c r="D147" s="13"/>
      <c r="E147" s="13"/>
      <c r="F147" s="12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2.75" customHeight="1">
      <c r="A148" s="14"/>
      <c r="B148" s="19"/>
      <c r="C148" s="13"/>
      <c r="D148" s="13"/>
      <c r="E148" s="13"/>
      <c r="F148" s="12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2.75" customHeight="1">
      <c r="A149" s="14"/>
      <c r="B149" s="19"/>
      <c r="C149" s="13"/>
      <c r="D149" s="13"/>
      <c r="E149" s="13"/>
      <c r="F149" s="12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2.75" customHeight="1">
      <c r="A150" s="14"/>
      <c r="B150" s="19"/>
      <c r="C150" s="13"/>
      <c r="D150" s="13"/>
      <c r="E150" s="13"/>
      <c r="F150" s="12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2.75" customHeight="1">
      <c r="A151" s="14"/>
      <c r="B151" s="19"/>
      <c r="C151" s="13"/>
      <c r="D151" s="13"/>
      <c r="E151" s="13"/>
      <c r="F151" s="12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2.75" customHeight="1">
      <c r="A152" s="14"/>
      <c r="B152" s="19"/>
      <c r="C152" s="13"/>
      <c r="D152" s="13"/>
      <c r="E152" s="13"/>
      <c r="F152" s="12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2.75" customHeight="1">
      <c r="A153" s="14"/>
      <c r="B153" s="19"/>
      <c r="C153" s="13"/>
      <c r="D153" s="13"/>
      <c r="E153" s="13"/>
      <c r="F153" s="12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2.75" customHeight="1">
      <c r="A154" s="14"/>
      <c r="B154" s="19"/>
      <c r="C154" s="13"/>
      <c r="D154" s="13"/>
      <c r="E154" s="13"/>
      <c r="F154" s="12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2.75" customHeight="1">
      <c r="A155" s="14"/>
      <c r="B155" s="19"/>
      <c r="C155" s="13"/>
      <c r="D155" s="13"/>
      <c r="E155" s="13"/>
      <c r="F155" s="12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2.75" customHeight="1">
      <c r="A156" s="14"/>
      <c r="B156" s="19"/>
      <c r="C156" s="13"/>
      <c r="D156" s="13"/>
      <c r="E156" s="13"/>
      <c r="F156" s="12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2.75" customHeight="1">
      <c r="A157" s="14"/>
      <c r="B157" s="19"/>
      <c r="C157" s="13"/>
      <c r="D157" s="13"/>
      <c r="E157" s="13"/>
      <c r="F157" s="12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2.75" customHeight="1">
      <c r="A158" s="14"/>
      <c r="B158" s="19"/>
      <c r="C158" s="13"/>
      <c r="D158" s="13"/>
      <c r="E158" s="13"/>
      <c r="F158" s="12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2.75" customHeight="1">
      <c r="A159" s="14"/>
      <c r="B159" s="19"/>
      <c r="C159" s="13"/>
      <c r="D159" s="13"/>
      <c r="E159" s="13"/>
      <c r="F159" s="12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2.75" customHeight="1">
      <c r="A160" s="14"/>
      <c r="B160" s="19"/>
      <c r="C160" s="13"/>
      <c r="D160" s="13"/>
      <c r="E160" s="13"/>
      <c r="F160" s="12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2.75" customHeight="1">
      <c r="A161" s="14"/>
      <c r="B161" s="19"/>
      <c r="C161" s="13"/>
      <c r="D161" s="13"/>
      <c r="E161" s="13"/>
      <c r="F161" s="12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2.75" customHeight="1">
      <c r="A162" s="14"/>
      <c r="B162" s="19"/>
      <c r="C162" s="13"/>
      <c r="D162" s="13"/>
      <c r="E162" s="13"/>
      <c r="F162" s="12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2.75" customHeight="1">
      <c r="A163" s="14"/>
      <c r="B163" s="19"/>
      <c r="C163" s="13"/>
      <c r="D163" s="13"/>
      <c r="E163" s="13"/>
      <c r="F163" s="12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2.75" customHeight="1">
      <c r="A164" s="14"/>
      <c r="B164" s="19"/>
      <c r="C164" s="13"/>
      <c r="D164" s="13"/>
      <c r="E164" s="13"/>
      <c r="F164" s="12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2.75" customHeight="1">
      <c r="A165" s="14"/>
      <c r="B165" s="19"/>
      <c r="C165" s="13"/>
      <c r="D165" s="13"/>
      <c r="E165" s="13"/>
      <c r="F165" s="12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2.75" customHeight="1">
      <c r="A166" s="14"/>
      <c r="B166" s="19"/>
      <c r="C166" s="13"/>
      <c r="D166" s="13"/>
      <c r="E166" s="13"/>
      <c r="F166" s="12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2.75" customHeight="1">
      <c r="A167" s="14"/>
      <c r="B167" s="19"/>
      <c r="C167" s="13"/>
      <c r="D167" s="13"/>
      <c r="E167" s="13"/>
      <c r="F167" s="12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2.75" customHeight="1">
      <c r="A168" s="14"/>
      <c r="B168" s="19"/>
      <c r="C168" s="13"/>
      <c r="D168" s="13"/>
      <c r="E168" s="13"/>
      <c r="F168" s="12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2.75" customHeight="1">
      <c r="A169" s="14"/>
      <c r="B169" s="19"/>
      <c r="C169" s="13"/>
      <c r="D169" s="13"/>
      <c r="E169" s="13"/>
      <c r="F169" s="12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2.75" customHeight="1">
      <c r="A170" s="14"/>
      <c r="B170" s="19"/>
      <c r="C170" s="13"/>
      <c r="D170" s="13"/>
      <c r="E170" s="13"/>
      <c r="F170" s="12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2.75" customHeight="1">
      <c r="A171" s="14"/>
      <c r="B171" s="19"/>
      <c r="C171" s="13"/>
      <c r="D171" s="13"/>
      <c r="E171" s="13"/>
      <c r="F171" s="12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2.75" customHeight="1">
      <c r="A172" s="14"/>
      <c r="B172" s="19"/>
      <c r="C172" s="13"/>
      <c r="D172" s="13"/>
      <c r="E172" s="13"/>
      <c r="F172" s="12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2.75" customHeight="1">
      <c r="A173" s="14"/>
      <c r="B173" s="19"/>
      <c r="C173" s="13"/>
      <c r="D173" s="13"/>
      <c r="E173" s="13"/>
      <c r="F173" s="12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2.75" customHeight="1">
      <c r="A174" s="14"/>
      <c r="B174" s="19"/>
      <c r="C174" s="13"/>
      <c r="D174" s="13"/>
      <c r="E174" s="13"/>
      <c r="F174" s="12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2.75" customHeight="1">
      <c r="A175" s="14"/>
      <c r="B175" s="19"/>
      <c r="C175" s="13"/>
      <c r="D175" s="13"/>
      <c r="E175" s="13"/>
      <c r="F175" s="12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2.75" customHeight="1">
      <c r="A176" s="14"/>
      <c r="B176" s="19"/>
      <c r="C176" s="13"/>
      <c r="D176" s="13"/>
      <c r="E176" s="13"/>
      <c r="F176" s="12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2.75" customHeight="1">
      <c r="A177" s="14"/>
      <c r="B177" s="19"/>
      <c r="C177" s="13"/>
      <c r="D177" s="13"/>
      <c r="E177" s="13"/>
      <c r="F177" s="12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2.75" customHeight="1">
      <c r="A178" s="14"/>
      <c r="B178" s="19"/>
      <c r="C178" s="13"/>
      <c r="D178" s="13"/>
      <c r="E178" s="13"/>
      <c r="F178" s="12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2.75" customHeight="1">
      <c r="A179" s="14"/>
      <c r="B179" s="19"/>
      <c r="C179" s="13"/>
      <c r="D179" s="13"/>
      <c r="E179" s="13"/>
      <c r="F179" s="12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2.75" customHeight="1">
      <c r="A180" s="14"/>
      <c r="B180" s="19"/>
      <c r="C180" s="13"/>
      <c r="D180" s="13"/>
      <c r="E180" s="13"/>
      <c r="F180" s="12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2.75" customHeight="1">
      <c r="A181" s="14"/>
      <c r="B181" s="19"/>
      <c r="C181" s="13"/>
      <c r="D181" s="13"/>
      <c r="E181" s="13"/>
      <c r="F181" s="12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2.75" customHeight="1">
      <c r="A182" s="14"/>
      <c r="B182" s="19"/>
      <c r="C182" s="13"/>
      <c r="D182" s="13"/>
      <c r="E182" s="13"/>
      <c r="F182" s="12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2.75" customHeight="1">
      <c r="A183" s="14"/>
      <c r="B183" s="19"/>
      <c r="C183" s="13"/>
      <c r="D183" s="13"/>
      <c r="E183" s="13"/>
      <c r="F183" s="12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2.75" customHeight="1">
      <c r="A184" s="14"/>
      <c r="B184" s="19"/>
      <c r="C184" s="13"/>
      <c r="D184" s="13"/>
      <c r="E184" s="13"/>
      <c r="F184" s="12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2.75" customHeight="1">
      <c r="A185" s="14"/>
      <c r="B185" s="19"/>
      <c r="C185" s="13"/>
      <c r="D185" s="13"/>
      <c r="E185" s="13"/>
      <c r="F185" s="12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2.75" customHeight="1">
      <c r="A186" s="14"/>
      <c r="B186" s="19"/>
      <c r="C186" s="13"/>
      <c r="D186" s="13"/>
      <c r="E186" s="13"/>
      <c r="F186" s="12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2.75" customHeight="1">
      <c r="A187" s="14"/>
      <c r="B187" s="19"/>
      <c r="C187" s="13"/>
      <c r="D187" s="13"/>
      <c r="E187" s="13"/>
      <c r="F187" s="12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2.75" customHeight="1">
      <c r="A188" s="14"/>
      <c r="B188" s="19"/>
      <c r="C188" s="13"/>
      <c r="D188" s="13"/>
      <c r="E188" s="13"/>
      <c r="F188" s="12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2.75" customHeight="1">
      <c r="A189" s="14"/>
      <c r="B189" s="19"/>
      <c r="C189" s="13"/>
      <c r="D189" s="13"/>
      <c r="E189" s="13"/>
      <c r="F189" s="12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2.75" customHeight="1">
      <c r="A190" s="14"/>
      <c r="B190" s="19"/>
      <c r="C190" s="13"/>
      <c r="D190" s="13"/>
      <c r="E190" s="13"/>
      <c r="F190" s="12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2.75" customHeight="1">
      <c r="A191" s="14"/>
      <c r="B191" s="19"/>
      <c r="C191" s="13"/>
      <c r="D191" s="13"/>
      <c r="E191" s="13"/>
      <c r="F191" s="12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2.75" customHeight="1">
      <c r="A192" s="14"/>
      <c r="B192" s="19"/>
      <c r="C192" s="13"/>
      <c r="D192" s="13"/>
      <c r="E192" s="13"/>
      <c r="F192" s="12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2.75" customHeight="1">
      <c r="A193" s="14"/>
      <c r="B193" s="19"/>
      <c r="C193" s="13"/>
      <c r="D193" s="13"/>
      <c r="E193" s="13"/>
      <c r="F193" s="12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2.75" customHeight="1">
      <c r="A194" s="14"/>
      <c r="B194" s="19"/>
      <c r="C194" s="13"/>
      <c r="D194" s="13"/>
      <c r="E194" s="13"/>
      <c r="F194" s="12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2.75" customHeight="1">
      <c r="A195" s="14"/>
      <c r="B195" s="19"/>
      <c r="C195" s="13"/>
      <c r="D195" s="13"/>
      <c r="E195" s="13"/>
      <c r="F195" s="12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2.75" customHeight="1">
      <c r="A196" s="14"/>
      <c r="B196" s="19"/>
      <c r="C196" s="13"/>
      <c r="D196" s="13"/>
      <c r="E196" s="13"/>
      <c r="F196" s="12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2.75" customHeight="1">
      <c r="A197" s="14"/>
      <c r="B197" s="19"/>
      <c r="C197" s="13"/>
      <c r="D197" s="13"/>
      <c r="E197" s="13"/>
      <c r="F197" s="12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2.75" customHeight="1">
      <c r="A198" s="14"/>
      <c r="B198" s="19"/>
      <c r="C198" s="13"/>
      <c r="D198" s="13"/>
      <c r="E198" s="13"/>
      <c r="F198" s="12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2.75" customHeight="1">
      <c r="A199" s="14"/>
      <c r="B199" s="19"/>
      <c r="C199" s="13"/>
      <c r="D199" s="13"/>
      <c r="E199" s="13"/>
      <c r="F199" s="12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2.75" customHeight="1">
      <c r="A200" s="14"/>
      <c r="B200" s="19"/>
      <c r="C200" s="13"/>
      <c r="D200" s="13"/>
      <c r="E200" s="13"/>
      <c r="F200" s="12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2.75" customHeight="1">
      <c r="A201" s="14"/>
      <c r="B201" s="19"/>
      <c r="C201" s="13"/>
      <c r="D201" s="13"/>
      <c r="E201" s="13"/>
      <c r="F201" s="12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2.75" customHeight="1">
      <c r="A202" s="14"/>
      <c r="B202" s="19"/>
      <c r="C202" s="13"/>
      <c r="D202" s="13"/>
      <c r="E202" s="13"/>
      <c r="F202" s="12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2.75" customHeight="1">
      <c r="A203" s="14"/>
      <c r="B203" s="19"/>
      <c r="C203" s="13"/>
      <c r="D203" s="13"/>
      <c r="E203" s="13"/>
      <c r="F203" s="12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2.75" customHeight="1">
      <c r="A204" s="14"/>
      <c r="B204" s="19"/>
      <c r="C204" s="13"/>
      <c r="D204" s="13"/>
      <c r="E204" s="13"/>
      <c r="F204" s="12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2.75" customHeight="1">
      <c r="A205" s="14"/>
      <c r="B205" s="19"/>
      <c r="C205" s="13"/>
      <c r="D205" s="13"/>
      <c r="E205" s="13"/>
      <c r="F205" s="12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2.75" customHeight="1">
      <c r="A206" s="14"/>
      <c r="B206" s="19"/>
      <c r="C206" s="13"/>
      <c r="D206" s="13"/>
      <c r="E206" s="13"/>
      <c r="F206" s="12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2.75" customHeight="1">
      <c r="A207" s="14"/>
      <c r="B207" s="19"/>
      <c r="C207" s="13"/>
      <c r="D207" s="13"/>
      <c r="E207" s="13"/>
      <c r="F207" s="12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2.75" customHeight="1">
      <c r="A208" s="14"/>
      <c r="B208" s="19"/>
      <c r="C208" s="13"/>
      <c r="D208" s="13"/>
      <c r="E208" s="13"/>
      <c r="F208" s="12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2.75" customHeight="1">
      <c r="A209" s="14"/>
      <c r="B209" s="19"/>
      <c r="C209" s="13"/>
      <c r="D209" s="13"/>
      <c r="E209" s="13"/>
      <c r="F209" s="12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2.75" customHeight="1">
      <c r="A210" s="14"/>
      <c r="B210" s="19"/>
      <c r="C210" s="13"/>
      <c r="D210" s="13"/>
      <c r="E210" s="13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2.75" customHeight="1">
      <c r="A211" s="14"/>
      <c r="B211" s="19"/>
      <c r="C211" s="13"/>
      <c r="D211" s="13"/>
      <c r="E211" s="13"/>
      <c r="F211" s="12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2.75" customHeight="1">
      <c r="A212" s="14"/>
      <c r="B212" s="19"/>
      <c r="C212" s="13"/>
      <c r="D212" s="13"/>
      <c r="E212" s="13"/>
      <c r="F212" s="12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2.75" customHeight="1">
      <c r="A213" s="14"/>
      <c r="B213" s="19"/>
      <c r="C213" s="13"/>
      <c r="D213" s="13"/>
      <c r="E213" s="13"/>
      <c r="F213" s="12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2.75" customHeight="1">
      <c r="A214" s="14"/>
      <c r="B214" s="19"/>
      <c r="C214" s="13"/>
      <c r="D214" s="13"/>
      <c r="E214" s="13"/>
      <c r="F214" s="12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2.75" customHeight="1">
      <c r="A215" s="14"/>
      <c r="B215" s="19"/>
      <c r="C215" s="13"/>
      <c r="D215" s="13"/>
      <c r="E215" s="13"/>
      <c r="F215" s="12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2.75" customHeight="1">
      <c r="A216" s="14"/>
      <c r="B216" s="19"/>
      <c r="C216" s="13"/>
      <c r="D216" s="13"/>
      <c r="E216" s="13"/>
      <c r="F216" s="12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2.75" customHeight="1">
      <c r="A217" s="14"/>
      <c r="B217" s="19"/>
      <c r="C217" s="13"/>
      <c r="D217" s="13"/>
      <c r="E217" s="13"/>
      <c r="F217" s="12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2.75" customHeight="1">
      <c r="A218" s="14"/>
      <c r="B218" s="19"/>
      <c r="C218" s="13"/>
      <c r="D218" s="13"/>
      <c r="E218" s="13"/>
      <c r="F218" s="12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2.75" customHeight="1">
      <c r="A219" s="14"/>
      <c r="B219" s="19"/>
      <c r="C219" s="13"/>
      <c r="D219" s="13"/>
      <c r="E219" s="13"/>
      <c r="F219" s="12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2.75" customHeight="1">
      <c r="A220" s="14"/>
      <c r="B220" s="19"/>
      <c r="C220" s="13"/>
      <c r="D220" s="13"/>
      <c r="E220" s="13"/>
      <c r="F220" s="12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2.75" customHeight="1">
      <c r="A221" s="14"/>
      <c r="B221" s="19"/>
      <c r="C221" s="13"/>
      <c r="D221" s="13"/>
      <c r="E221" s="13"/>
      <c r="F221" s="12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2.75" customHeight="1">
      <c r="A222" s="14"/>
      <c r="B222" s="19"/>
      <c r="C222" s="13"/>
      <c r="D222" s="13"/>
      <c r="E222" s="13"/>
      <c r="F222" s="12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2.75" customHeight="1">
      <c r="A223" s="14"/>
      <c r="B223" s="19"/>
      <c r="C223" s="13"/>
      <c r="D223" s="13"/>
      <c r="E223" s="13"/>
      <c r="F223" s="12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2.75" customHeight="1">
      <c r="A224" s="14"/>
      <c r="B224" s="19"/>
      <c r="C224" s="13"/>
      <c r="D224" s="13"/>
      <c r="E224" s="13"/>
      <c r="F224" s="12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2.75" customHeight="1">
      <c r="A225" s="14"/>
      <c r="B225" s="19"/>
      <c r="C225" s="13"/>
      <c r="D225" s="13"/>
      <c r="E225" s="13"/>
      <c r="F225" s="12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2.75" customHeight="1">
      <c r="A226" s="14"/>
      <c r="B226" s="19"/>
      <c r="C226" s="13"/>
      <c r="D226" s="13"/>
      <c r="E226" s="13"/>
      <c r="F226" s="12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2.75" customHeight="1">
      <c r="A227" s="14"/>
      <c r="B227" s="19"/>
      <c r="C227" s="13"/>
      <c r="D227" s="13"/>
      <c r="E227" s="13"/>
      <c r="F227" s="12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2.75" customHeight="1">
      <c r="A228" s="14"/>
      <c r="B228" s="19"/>
      <c r="C228" s="13"/>
      <c r="D228" s="13"/>
      <c r="E228" s="13"/>
      <c r="F228" s="12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2.75" customHeight="1">
      <c r="A229" s="14"/>
      <c r="B229" s="19"/>
      <c r="C229" s="13"/>
      <c r="D229" s="13"/>
      <c r="E229" s="13"/>
      <c r="F229" s="12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2.75" customHeight="1">
      <c r="A230" s="14"/>
      <c r="B230" s="19"/>
      <c r="C230" s="13"/>
      <c r="D230" s="13"/>
      <c r="E230" s="13"/>
      <c r="F230" s="12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2.75" customHeight="1">
      <c r="A231" s="14"/>
      <c r="B231" s="19"/>
      <c r="C231" s="13"/>
      <c r="D231" s="13"/>
      <c r="E231" s="13"/>
      <c r="F231" s="12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2.75" customHeight="1">
      <c r="A232" s="14"/>
      <c r="B232" s="19"/>
      <c r="C232" s="13"/>
      <c r="D232" s="13"/>
      <c r="E232" s="13"/>
      <c r="F232" s="12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2.75" customHeight="1">
      <c r="A233" s="14"/>
      <c r="B233" s="19"/>
      <c r="C233" s="13"/>
      <c r="D233" s="13"/>
      <c r="E233" s="13"/>
      <c r="F233" s="12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2.75" customHeight="1">
      <c r="A234" s="14"/>
      <c r="B234" s="19"/>
      <c r="C234" s="13"/>
      <c r="D234" s="13"/>
      <c r="E234" s="13"/>
      <c r="F234" s="12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2.75" customHeight="1">
      <c r="A235" s="14"/>
      <c r="B235" s="19"/>
      <c r="C235" s="13"/>
      <c r="D235" s="13"/>
      <c r="E235" s="13"/>
      <c r="F235" s="12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2.75" customHeight="1">
      <c r="A236" s="14"/>
      <c r="B236" s="19"/>
      <c r="C236" s="13"/>
      <c r="D236" s="13"/>
      <c r="E236" s="13"/>
      <c r="F236" s="12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2.75" customHeight="1">
      <c r="A237" s="14"/>
      <c r="B237" s="19"/>
      <c r="C237" s="13"/>
      <c r="D237" s="13"/>
      <c r="E237" s="13"/>
      <c r="F237" s="12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2.75" customHeight="1">
      <c r="A238" s="14"/>
      <c r="B238" s="19"/>
      <c r="C238" s="13"/>
      <c r="D238" s="13"/>
      <c r="E238" s="13"/>
      <c r="F238" s="12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2.75" customHeight="1">
      <c r="A239" s="14"/>
      <c r="B239" s="19"/>
      <c r="C239" s="13"/>
      <c r="D239" s="13"/>
      <c r="E239" s="13"/>
      <c r="F239" s="12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2.75" customHeight="1">
      <c r="A240" s="14"/>
      <c r="B240" s="19"/>
      <c r="C240" s="13"/>
      <c r="D240" s="13"/>
      <c r="E240" s="13"/>
      <c r="F240" s="12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2.75" customHeight="1">
      <c r="A241" s="14"/>
      <c r="B241" s="19"/>
      <c r="C241" s="13"/>
      <c r="D241" s="13"/>
      <c r="E241" s="13"/>
      <c r="F241" s="12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2.75" customHeight="1">
      <c r="A242" s="14"/>
      <c r="B242" s="19"/>
      <c r="C242" s="13"/>
      <c r="D242" s="13"/>
      <c r="E242" s="13"/>
      <c r="F242" s="12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2.75" customHeight="1">
      <c r="A243" s="14"/>
      <c r="B243" s="19"/>
      <c r="C243" s="13"/>
      <c r="D243" s="13"/>
      <c r="E243" s="13"/>
      <c r="F243" s="12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2.75" customHeight="1">
      <c r="A244" s="14"/>
      <c r="B244" s="19"/>
      <c r="C244" s="13"/>
      <c r="D244" s="13"/>
      <c r="E244" s="13"/>
      <c r="F244" s="12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2.75" customHeight="1">
      <c r="A245" s="14"/>
      <c r="B245" s="19"/>
      <c r="C245" s="13"/>
      <c r="D245" s="13"/>
      <c r="E245" s="13"/>
      <c r="F245" s="12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2.75" customHeight="1">
      <c r="A246" s="14"/>
      <c r="B246" s="19"/>
      <c r="C246" s="13"/>
      <c r="D246" s="13"/>
      <c r="E246" s="13"/>
      <c r="F246" s="12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2.75" customHeight="1">
      <c r="A247" s="14"/>
      <c r="B247" s="19"/>
      <c r="C247" s="13"/>
      <c r="D247" s="13"/>
      <c r="E247" s="13"/>
      <c r="F247" s="12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2.75" customHeight="1">
      <c r="A248" s="14"/>
      <c r="B248" s="19"/>
      <c r="C248" s="13"/>
      <c r="D248" s="13"/>
      <c r="E248" s="13"/>
      <c r="F248" s="12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2.75" customHeight="1">
      <c r="A249" s="14"/>
      <c r="B249" s="19"/>
      <c r="C249" s="13"/>
      <c r="D249" s="13"/>
      <c r="E249" s="13"/>
      <c r="F249" s="12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2.75" customHeight="1">
      <c r="A250" s="14"/>
      <c r="B250" s="19"/>
      <c r="C250" s="13"/>
      <c r="D250" s="13"/>
      <c r="E250" s="13"/>
      <c r="F250" s="12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2.75" customHeight="1">
      <c r="A251" s="14"/>
      <c r="B251" s="19"/>
      <c r="C251" s="13"/>
      <c r="D251" s="13"/>
      <c r="E251" s="13"/>
      <c r="F251" s="12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2.75" customHeight="1">
      <c r="A252" s="14"/>
      <c r="B252" s="19"/>
      <c r="C252" s="13"/>
      <c r="D252" s="13"/>
      <c r="E252" s="13"/>
      <c r="F252" s="12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2.75" customHeight="1">
      <c r="A253" s="14"/>
      <c r="B253" s="19"/>
      <c r="C253" s="13"/>
      <c r="D253" s="13"/>
      <c r="E253" s="13"/>
      <c r="F253" s="12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2.75" customHeight="1">
      <c r="A254" s="14"/>
      <c r="B254" s="19"/>
      <c r="C254" s="13"/>
      <c r="D254" s="13"/>
      <c r="E254" s="13"/>
      <c r="F254" s="12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2.75" customHeight="1">
      <c r="A255" s="14"/>
      <c r="B255" s="19"/>
      <c r="C255" s="13"/>
      <c r="D255" s="13"/>
      <c r="E255" s="13"/>
      <c r="F255" s="12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2.75" customHeight="1">
      <c r="A256" s="14"/>
      <c r="B256" s="19"/>
      <c r="C256" s="13"/>
      <c r="D256" s="13"/>
      <c r="E256" s="13"/>
      <c r="F256" s="12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2.75" customHeight="1">
      <c r="A257" s="14"/>
      <c r="B257" s="19"/>
      <c r="C257" s="13"/>
      <c r="D257" s="13"/>
      <c r="E257" s="13"/>
      <c r="F257" s="12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2.75" customHeight="1">
      <c r="A258" s="14"/>
      <c r="B258" s="19"/>
      <c r="C258" s="13"/>
      <c r="D258" s="13"/>
      <c r="E258" s="13"/>
      <c r="F258" s="12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2.75" customHeight="1">
      <c r="A259" s="14"/>
      <c r="B259" s="19"/>
      <c r="C259" s="13"/>
      <c r="D259" s="13"/>
      <c r="E259" s="13"/>
      <c r="F259" s="12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2.75" customHeight="1">
      <c r="A260" s="14"/>
      <c r="B260" s="19"/>
      <c r="C260" s="13"/>
      <c r="D260" s="13"/>
      <c r="E260" s="13"/>
      <c r="F260" s="12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2.75" customHeight="1">
      <c r="A261" s="14"/>
      <c r="B261" s="19"/>
      <c r="C261" s="13"/>
      <c r="D261" s="13"/>
      <c r="E261" s="13"/>
      <c r="F261" s="12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2.75" customHeight="1">
      <c r="A262" s="14"/>
      <c r="B262" s="19"/>
      <c r="C262" s="13"/>
      <c r="D262" s="13"/>
      <c r="E262" s="13"/>
      <c r="F262" s="12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2.75" customHeight="1">
      <c r="A263" s="14"/>
      <c r="B263" s="19"/>
      <c r="C263" s="13"/>
      <c r="D263" s="13"/>
      <c r="E263" s="13"/>
      <c r="F263" s="12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2.75" customHeight="1">
      <c r="A264" s="14"/>
      <c r="B264" s="19"/>
      <c r="C264" s="13"/>
      <c r="D264" s="13"/>
      <c r="E264" s="13"/>
      <c r="F264" s="12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2.75" customHeight="1">
      <c r="A265" s="14"/>
      <c r="B265" s="19"/>
      <c r="C265" s="13"/>
      <c r="D265" s="13"/>
      <c r="E265" s="13"/>
      <c r="F265" s="12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2.75" customHeight="1">
      <c r="A266" s="14"/>
      <c r="B266" s="19"/>
      <c r="C266" s="13"/>
      <c r="D266" s="13"/>
      <c r="E266" s="13"/>
      <c r="F266" s="12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2.75" customHeight="1">
      <c r="A267" s="14"/>
      <c r="B267" s="19"/>
      <c r="C267" s="13"/>
      <c r="D267" s="13"/>
      <c r="E267" s="13"/>
      <c r="F267" s="12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2.75" customHeight="1">
      <c r="A268" s="14"/>
      <c r="B268" s="19"/>
      <c r="C268" s="13"/>
      <c r="D268" s="13"/>
      <c r="E268" s="13"/>
      <c r="F268" s="12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2.75" customHeight="1">
      <c r="A269" s="14"/>
      <c r="B269" s="19"/>
      <c r="C269" s="13"/>
      <c r="D269" s="13"/>
      <c r="E269" s="13"/>
      <c r="F269" s="12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2.75" customHeight="1">
      <c r="A270" s="14"/>
      <c r="B270" s="19"/>
      <c r="C270" s="13"/>
      <c r="D270" s="13"/>
      <c r="E270" s="13"/>
      <c r="F270" s="12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2.75" customHeight="1">
      <c r="A271" s="14"/>
      <c r="B271" s="19"/>
      <c r="C271" s="13"/>
      <c r="D271" s="13"/>
      <c r="E271" s="13"/>
      <c r="F271" s="12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2.75" customHeight="1">
      <c r="A272" s="14"/>
      <c r="B272" s="19"/>
      <c r="C272" s="13"/>
      <c r="D272" s="13"/>
      <c r="E272" s="13"/>
      <c r="F272" s="12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2.75" customHeight="1">
      <c r="A273" s="14"/>
      <c r="B273" s="19"/>
      <c r="C273" s="13"/>
      <c r="D273" s="13"/>
      <c r="E273" s="13"/>
      <c r="F273" s="12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2.75" customHeight="1">
      <c r="A274" s="14"/>
      <c r="B274" s="19"/>
      <c r="C274" s="13"/>
      <c r="D274" s="13"/>
      <c r="E274" s="13"/>
      <c r="F274" s="12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2.75" customHeight="1">
      <c r="A275" s="14"/>
      <c r="B275" s="19"/>
      <c r="C275" s="13"/>
      <c r="D275" s="13"/>
      <c r="E275" s="13"/>
      <c r="F275" s="12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2.75" customHeight="1">
      <c r="A276" s="14"/>
      <c r="B276" s="19"/>
      <c r="C276" s="13"/>
      <c r="D276" s="13"/>
      <c r="E276" s="13"/>
      <c r="F276" s="12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2.75" customHeight="1">
      <c r="A277" s="14"/>
      <c r="B277" s="19"/>
      <c r="C277" s="13"/>
      <c r="D277" s="13"/>
      <c r="E277" s="13"/>
      <c r="F277" s="12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2.75" customHeight="1">
      <c r="A278" s="14"/>
      <c r="B278" s="19"/>
      <c r="C278" s="13"/>
      <c r="D278" s="13"/>
      <c r="E278" s="13"/>
      <c r="F278" s="12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2.75" customHeight="1">
      <c r="A279" s="14"/>
      <c r="B279" s="19"/>
      <c r="C279" s="13"/>
      <c r="D279" s="13"/>
      <c r="E279" s="13"/>
      <c r="F279" s="12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2.75" customHeight="1">
      <c r="A280" s="14"/>
      <c r="B280" s="19"/>
      <c r="C280" s="13"/>
      <c r="D280" s="13"/>
      <c r="E280" s="13"/>
      <c r="F280" s="12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2.75" customHeight="1">
      <c r="A281" s="14"/>
      <c r="B281" s="19"/>
      <c r="C281" s="13"/>
      <c r="D281" s="13"/>
      <c r="E281" s="13"/>
      <c r="F281" s="12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2.75" customHeight="1">
      <c r="A282" s="14"/>
      <c r="B282" s="19"/>
      <c r="C282" s="13"/>
      <c r="D282" s="13"/>
      <c r="E282" s="13"/>
      <c r="F282" s="12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2.75" customHeight="1">
      <c r="A283" s="14"/>
      <c r="B283" s="19"/>
      <c r="C283" s="13"/>
      <c r="D283" s="13"/>
      <c r="E283" s="13"/>
      <c r="F283" s="12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2.75" customHeight="1">
      <c r="A284" s="14"/>
      <c r="B284" s="19"/>
      <c r="C284" s="13"/>
      <c r="D284" s="13"/>
      <c r="E284" s="13"/>
      <c r="F284" s="12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27.25"/>
    <col customWidth="1" min="3" max="3" width="17.13"/>
    <col customWidth="1" min="4" max="4" width="37.25"/>
    <col customWidth="1" min="5" max="26" width="12.5"/>
  </cols>
  <sheetData>
    <row r="1" ht="12.75" customHeight="1">
      <c r="A1" s="5" t="s">
        <v>475</v>
      </c>
      <c r="B1" s="5" t="s">
        <v>476</v>
      </c>
      <c r="C1" s="5" t="s">
        <v>477</v>
      </c>
      <c r="D1" s="5" t="s">
        <v>478</v>
      </c>
      <c r="E1" s="48" t="s">
        <v>479</v>
      </c>
      <c r="F1" s="48" t="s">
        <v>480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>
      <c r="A2" s="13" t="s">
        <v>481</v>
      </c>
      <c r="B2" s="13" t="s">
        <v>482</v>
      </c>
      <c r="C2" s="13" t="s">
        <v>483</v>
      </c>
      <c r="D2" s="13" t="s">
        <v>484</v>
      </c>
      <c r="E2" s="13" t="s">
        <v>485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