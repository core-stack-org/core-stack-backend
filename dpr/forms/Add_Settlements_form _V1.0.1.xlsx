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choices" sheetId="2" r:id="rId5"/>
    <sheet state="visible" name="settings" sheetId="3" r:id="rId6"/>
  </sheets>
  <definedNames/>
  <calcPr/>
  <extLst>
    <ext uri="GoogleSheetsCustomDataVersion2">
      <go:sheetsCustomData xmlns:go="http://customooxmlschemas.google.com/" r:id="rId7" roundtripDataChecksum="MVw+itffJJj/LydU1TysDFHBxxyb+TRcZKVdWJdskw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ID#AAAB5nUj6Wo
    (2026-05-04 05:33:05)
[Threaded comment]
Your version of Excel allows you to read this threaded comment; however, any edits to it will get removed if the file is opened in a newer version of Excel. Learn more: https://go.microsoft.com/fwlink/?linkid=870924
Comment:
    This template only includes English columns. To add a second language, duplicate the columns with headers ending in “::English”, replacing “English” with the name of the new language. 
Reply:
    (Note, there must be 2 colons between the column header and language name)</t>
      </text>
    </comment>
  </commentList>
  <extLst>
    <ext uri="GoogleSheetsCustomDataVersion2">
      <go:sheetsCustomData xmlns:go="http://customooxmlschemas.google.com/" r:id="rId1" roundtripDataSignature="AMtx7mhtk6iJw87zZ08TTxgNdml63Iq2rA=="/>
    </ext>
  </extLst>
</comments>
</file>

<file path=xl/sharedStrings.xml><?xml version="1.0" encoding="utf-8"?>
<sst xmlns="http://schemas.openxmlformats.org/spreadsheetml/2006/main" count="668" uniqueCount="503">
  <si>
    <t>type</t>
  </si>
  <si>
    <t>name</t>
  </si>
  <si>
    <t>label::English(en)</t>
  </si>
  <si>
    <t>label::Hindi(hi)</t>
  </si>
  <si>
    <t>label::Gujarati(gu)</t>
  </si>
  <si>
    <t>label::Kannada(kn)</t>
  </si>
  <si>
    <t>label::Odia(or)</t>
  </si>
  <si>
    <t>calculation</t>
  </si>
  <si>
    <t>read_only</t>
  </si>
  <si>
    <t>required</t>
  </si>
  <si>
    <t>hint::English(en)</t>
  </si>
  <si>
    <t>hint::Hindi(hi)</t>
  </si>
  <si>
    <t>hint::Gujarati(gu)</t>
  </si>
  <si>
    <t>hint::Kannada(kn)</t>
  </si>
  <si>
    <t>hint::Odia(or)</t>
  </si>
  <si>
    <t>appearance</t>
  </si>
  <si>
    <t>relevant</t>
  </si>
  <si>
    <t>constraint</t>
  </si>
  <si>
    <t>constraint_message::English(en)</t>
  </si>
  <si>
    <t>constraint_message::Hindi(hi)</t>
  </si>
  <si>
    <t>constraint_message::Gujarati(gu)</t>
  </si>
  <si>
    <t>constraint_message::Odia(or)</t>
  </si>
  <si>
    <t>start</t>
  </si>
  <si>
    <t>end</t>
  </si>
  <si>
    <t>today</t>
  </si>
  <si>
    <t>deviceid</t>
  </si>
  <si>
    <t>text</t>
  </si>
  <si>
    <t>Settlements_id</t>
  </si>
  <si>
    <t>Settlement's  ID</t>
  </si>
  <si>
    <t xml:space="preserve">बस्ती का आईडी </t>
  </si>
  <si>
    <t>once(uuid(10))</t>
  </si>
  <si>
    <t>yes</t>
  </si>
  <si>
    <t>Settlements_name</t>
  </si>
  <si>
    <t xml:space="preserve">Settlement's  name </t>
  </si>
  <si>
    <t>बस्ती का नाम</t>
  </si>
  <si>
    <t xml:space="preserve">ಬಡಾನಣೆ ಹೆಸರು </t>
  </si>
  <si>
    <t>integer</t>
  </si>
  <si>
    <t>number_households</t>
  </si>
  <si>
    <t>How many households are there in this settlement?</t>
  </si>
  <si>
    <t>इस बस्ती में कितने घर हैं?</t>
  </si>
  <si>
    <t>ಈ ಬಡಾವಣೆಯಲ್ಲಿ ಎಷ್ಟು ಕುಟುಂಬಗಳಿವೆ?</t>
  </si>
  <si>
    <t>.&gt;=1</t>
  </si>
  <si>
    <t xml:space="preserve">Must be greater than or equal to 1 </t>
  </si>
  <si>
    <t>1 से बड़ा या बराबर होना चाहिए</t>
  </si>
  <si>
    <t>୧ ଠାରୁ ବଡ କିମ୍ବା ସମାନ ହେବା ଆବଶ୍ୟକ</t>
  </si>
  <si>
    <t>select_one type</t>
  </si>
  <si>
    <t>select_one_type</t>
  </si>
  <si>
    <t>Settlement type</t>
  </si>
  <si>
    <t>false()</t>
  </si>
  <si>
    <t xml:space="preserve">select_one caste  </t>
  </si>
  <si>
    <t>caste_group_single</t>
  </si>
  <si>
    <t>Select the caste group</t>
  </si>
  <si>
    <t xml:space="preserve">select_multiple caste </t>
  </si>
  <si>
    <t>caste_group_mixed</t>
  </si>
  <si>
    <t xml:space="preserve">For which caste group are you filling the survey in the multi caste settlement?
</t>
  </si>
  <si>
    <t>count_sc</t>
  </si>
  <si>
    <t>Total Households count  under SC Category</t>
  </si>
  <si>
    <t xml:space="preserve">ಈ ಎಸ್‌ ಸಿ ವರ್ಗದ ಅಡಿಯಲ್ಲಿ ಒಟ್ಟು ಎಷ್ಡು ಕುಟುಂಬಗಳು ಬರುತ್ತವೆ. </t>
  </si>
  <si>
    <t xml:space="preserve">. &gt;= 0 and . &lt;= ${number_households} and (. + coalesce(${count_st},0) + coalesce(${count_obc},0) + coalesce(${count_general},0) &lt;= ${number_households})
</t>
  </si>
  <si>
    <t>Must not exceed the total number of households</t>
  </si>
  <si>
    <t>ପରିବାରର ମୋଟ ସଂଖ୍ୟା ଅତିକ୍ରମ କରିବା ଉଚିତ୍ ନୁହେଁ</t>
  </si>
  <si>
    <t>count_st</t>
  </si>
  <si>
    <t>Total Households count  under ST Category</t>
  </si>
  <si>
    <t>ಒಟ್ಟು ಕುಟುಂಬಗಳು ST ವರ್ಗದ ಅಡಿಯಲ್ಲಿ ಎಣಿಕೆಯಾಗುತ್ತವೆ</t>
  </si>
  <si>
    <t xml:space="preserve">. &gt;= 0 and . &lt;= ${number_households} and (. + coalesce(${count_sc},0) + coalesce(${count_obc},0) + coalesce(${count_general},0) &lt;= ${number_households})
</t>
  </si>
  <si>
    <t>count_obc</t>
  </si>
  <si>
    <t>Total Households count  under  OBC Category</t>
  </si>
  <si>
    <t>ಒಟ್ಟು ಕುಟುಂಬಗಳು OBC ವರ್ಗದ ಅಡಿಯಲ್ಲಿ ಎಣಿಕೆಯಾಗುತ್ತವೆ</t>
  </si>
  <si>
    <t xml:space="preserve">. &gt;= 0 and . &lt;= ${number_households} and (. + coalesce(${count_sc},0) + coalesce(${count_st},0) + coalesce(${count_general},0) &lt;= ${number_households})
</t>
  </si>
  <si>
    <t>count_general</t>
  </si>
  <si>
    <t>Total Households count  under  General  Category</t>
  </si>
  <si>
    <t>ಒಟ್ಟು ಕುಟುಂಬಗಳು ಸಾಮಾನ್ಯ ವರ್ಗದ ಅಡಿಯಲ್ಲಿ ಎಣಿಕೆಯಾಗುತ್ತವೆ</t>
  </si>
  <si>
    <t xml:space="preserve">. &gt;= 0 and . &lt;= ${number_households} and (. + coalesce(${count_sc},0) + coalesce(${count_st},0) + coalesce(${count_obc},0) &lt;= ${number_households})
</t>
  </si>
  <si>
    <t>BPL_households</t>
  </si>
  <si>
    <t>Total number of households with BPL cards in this settlement</t>
  </si>
  <si>
    <t>बस्ती में कुल कितने ऐसे परिवार है जिनके पास बीपीएल कार्ड है ?</t>
  </si>
  <si>
    <t>ಈ ವಸಾಹತುವಿನಲ್ಲಿ ಬಿಪಿಎಲ್ ಕಾರ್ಡ್‌ಗಳನ್ನು ಹೊಂದಿರುವ ಒಟ್ಟು ಮನೆಗಳ ಸಂಖ್ಯೆ</t>
  </si>
  <si>
    <t>Cannot exceed the total number of households</t>
  </si>
  <si>
    <t>(नोट: परिवारों के कुल सदस्यों की संख्या से अधिक नहीं हो सकता)</t>
  </si>
  <si>
    <t>distance_settlement_block</t>
  </si>
  <si>
    <t>Distance of the settlement from the block headquarters (in kilometers)</t>
  </si>
  <si>
    <t>ब्लॉक मुख्यालय से बस्ती की दूरी कितनी है (किलोमीटर में)</t>
  </si>
  <si>
    <t>ಬ್ಲಾಕ್ ಪ್ರಧಾನ ಕಛೇರಿಯಿಂದ ವಸಾಹತು ದೂರ (ಕಿಲೋಮೀಟರ್‌ಗಳಲ್ಲಿ)</t>
  </si>
  <si>
    <t>decimal</t>
  </si>
  <si>
    <t>distance_settlement</t>
  </si>
  <si>
    <t xml:space="preserve">Distance of the settlement from the block headquarters </t>
  </si>
  <si>
    <t>In kilometers (kms)</t>
  </si>
  <si>
    <t>किलोमीटर में</t>
  </si>
  <si>
    <t>કિલોમીટરમાં</t>
  </si>
  <si>
    <t>ಕಿಲೋಮೀಟರ್‌ಗಳಲ್ಲಿ</t>
  </si>
  <si>
    <t>କିଲୋମିଟରରେ |</t>
  </si>
  <si>
    <t>select_one Y_N</t>
  </si>
  <si>
    <t>road_connected</t>
  </si>
  <si>
    <t xml:space="preserve">Is the settlement connected by road throughout the year?
</t>
  </si>
  <si>
    <t>क्या यह बस्ती सालों भर सड़क मार्ग से जुड़ी रहती है?</t>
  </si>
  <si>
    <t xml:space="preserve">ವಸಾಹತು ವರ್ಷವಿಡೀ ರಸ್ತೆಯ ಮೂಲಕ ಸಂಪರ್ಕ ಹೊಂದಿದೆಯೇ?
</t>
  </si>
  <si>
    <t>settlement_electricity</t>
  </si>
  <si>
    <t>Does the settlement have access to electricity?</t>
  </si>
  <si>
    <t>क्या बस्ती में बिजली की सुविधा है ?</t>
  </si>
  <si>
    <t xml:space="preserve"> ವಸಾಹತು ವಿದ್ಯುತ್ ಪ್ರವೇಶವನ್ನು ಹೊಂದಿದೆಯೇ?</t>
  </si>
  <si>
    <t>begin_group</t>
  </si>
  <si>
    <t>farmer_family</t>
  </si>
  <si>
    <t>Number of farmer families based on land ownership in this settlement</t>
  </si>
  <si>
    <t>इस बस्ती में जमींदारी के आधार पर किसान परिवारों की संख्या</t>
  </si>
  <si>
    <t>ಈ ವಸಾಹತಿನಲ್ಲಿ ಭೂ ಮಾಲೀಕತ್ವದ ಆಧಾರದ ಮೇಲೆ ರೈತ ಕುಟುಂಬಗಳ ಸಂಖ್ಯೆ</t>
  </si>
  <si>
    <t>landless_farmers</t>
  </si>
  <si>
    <t>Number of farmers with no land</t>
  </si>
  <si>
    <t>भूमिहीन किसान</t>
  </si>
  <si>
    <t>ಭೂರಹಿತ ರೈತರು</t>
  </si>
  <si>
    <t>(. &gt;= 0 and . &lt;= ${number_households}) and (coalesce(${landless_farmers},0) + coalesce(${marginal_farmers},0) + coalesce(${small_farmers},0) + coalesce(${medium_farmers},0) + coalesce(${big_farmers},0)) &lt;= ${number_households}</t>
  </si>
  <si>
    <t>marginal_farmers</t>
  </si>
  <si>
    <t xml:space="preserve">Number of farmers with land &lt; 2.5 acres </t>
  </si>
  <si>
    <t>सीमांत किसान (&lt;2.5 एकड़ से कम )</t>
  </si>
  <si>
    <t xml:space="preserve">ಕನಿಷ್ಠ ರೈತರು (&lt;2.5 ಎಕರೆ) </t>
  </si>
  <si>
    <t>small_farmers</t>
  </si>
  <si>
    <t xml:space="preserve">Number of farmers with small land holdings (2.5 to 5 acres) </t>
  </si>
  <si>
    <t>छोटे किसान (2.5 से 5 एकड़)</t>
  </si>
  <si>
    <t xml:space="preserve">ಸಣ್ಣ ರೈತರು (2.5 ರಿಂದ 5 ಎಕರೆ) </t>
  </si>
  <si>
    <t>medium_farmers</t>
  </si>
  <si>
    <t xml:space="preserve">Number of farmers with medium land holding (5 to 10 acres) </t>
  </si>
  <si>
    <t>मध्यम किसान (5 से 10 एकड़)</t>
  </si>
  <si>
    <t xml:space="preserve">ಮಧ್ಯಮ ರೈತರು (5 ರಿಂದ 10 ಎಕರೆ) </t>
  </si>
  <si>
    <t>big_farmers</t>
  </si>
  <si>
    <t>Number of farmers with large land holdings (&gt; 10 acres)</t>
  </si>
  <si>
    <t>बड़े किसान (&gt;10 एकड़ से ज्यादा)</t>
  </si>
  <si>
    <t>ದೊಡ್ಡ ರೈತರು (&gt; 10 ಎಕರೆ)</t>
  </si>
  <si>
    <t>end_group</t>
  </si>
  <si>
    <t xml:space="preserve">Livestock_Census
</t>
  </si>
  <si>
    <t>Livestock Census in this settlement</t>
  </si>
  <si>
    <t>पशुधन जनगणना</t>
  </si>
  <si>
    <t>ಈ ವಸಾಹತುವಿನಲ್ಲಿ ಜಾನುವಾರು ಗಣತಿ</t>
  </si>
  <si>
    <t>Cattle</t>
  </si>
  <si>
    <t xml:space="preserve">गाय/भैंस </t>
  </si>
  <si>
    <t>ದನಗಳು</t>
  </si>
  <si>
    <t>Goats</t>
  </si>
  <si>
    <t>बकरी</t>
  </si>
  <si>
    <t>ಆಡುಗಳು</t>
  </si>
  <si>
    <t xml:space="preserve">Sheep </t>
  </si>
  <si>
    <t>भेड़</t>
  </si>
  <si>
    <t>ಕುರಿಗಳು</t>
  </si>
  <si>
    <t>Poultry</t>
  </si>
  <si>
    <t xml:space="preserve">मुर्गी </t>
  </si>
  <si>
    <t>ಕೋಳಿ ಸಾಕಣೆ</t>
  </si>
  <si>
    <t>Piggery</t>
  </si>
  <si>
    <t xml:space="preserve">Piggery </t>
  </si>
  <si>
    <t>शूकर पालन</t>
  </si>
  <si>
    <t>ಹಂದಿ ಸಾಕಣೆ</t>
  </si>
  <si>
    <t>Bail</t>
  </si>
  <si>
    <t>Ox</t>
  </si>
  <si>
    <t>बैल</t>
  </si>
  <si>
    <t>ಆಕ್ಸ್</t>
  </si>
  <si>
    <t>MNREGA_INFORMATION</t>
  </si>
  <si>
    <t xml:space="preserve">MGNREGA INFORMATION </t>
  </si>
  <si>
    <t xml:space="preserve">मनरेगा की जानकारी </t>
  </si>
  <si>
    <t>ಎಂಜಿಎನ್‌ಆರ್‌ಇಜಿಎ ಮಾಹಿತಿ</t>
  </si>
  <si>
    <t>Households_BPL_cards</t>
  </si>
  <si>
    <t>Total number of households with BPL / PDS cards in this settlement</t>
  </si>
  <si>
    <t xml:space="preserve">Cannot exceed the total number of households
</t>
  </si>
  <si>
    <t>घरों की कुल संख्या से अधिक नहीं हो सकती</t>
  </si>
  <si>
    <t>કુલ ઘરોની સંખ્યા કરતાં વધુ ન હોઈ શકે</t>
  </si>
  <si>
    <t>ಒಟ್ಟು ಮನೆಗಳ ಸಂಖ್ಯೆಯನ್ನು ಮೀರಬಾರದು</t>
  </si>
  <si>
    <t>. &lt;= ${number_households}</t>
  </si>
  <si>
    <t>NREGA_applied</t>
  </si>
  <si>
    <t xml:space="preserve">How many households have applied for NREGA Job cards in this settlement?
</t>
  </si>
  <si>
    <t>इस बस्ती में कितने परिवारों ने मनरेगा जॉब कार्ड के लिए आवेदन किया है ?</t>
  </si>
  <si>
    <t xml:space="preserve">ಈ ವಸಾಹತಿನಲ್ಲಿ ಎಷ್ಟು ಕುಟುಂಬಗಳು NREGA ಜಾಬ್ ಕಾರ್ಡ್‌ಗಳಿಗೆ ಅರ್ಜಿ ಸಲ್ಲಿಸಿವೆ?
</t>
  </si>
  <si>
    <t>NREGA_have_job_card</t>
  </si>
  <si>
    <t>How many households have NREGA job cards in this settlement?</t>
  </si>
  <si>
    <t>बस्ती में कितने परिवारों के पास मनरेगा जॉब कार्ड है ?</t>
  </si>
  <si>
    <t>ಈ ವಸಾಹತಿನಲ್ಲಿ ಎಷ್ಟು ಕುಟುಂಬಗಳು NREGA ಜಾಬ್ ಕಾರ್ಡ್‌ಗಳನ್ನು ಹೊಂದಿವೆ?</t>
  </si>
  <si>
    <t>NREGA_work_days</t>
  </si>
  <si>
    <t>On average, how many work days did a NREGA card holder get in the previous year?</t>
  </si>
  <si>
    <t>इस बस्ती के परिवारों को पिछले साल मनरेगा के तहत कितने दिनों का काम मिला था ?</t>
  </si>
  <si>
    <t xml:space="preserve"> ಈ ವಸಾಹತಿನಲ್ಲಿ ಹಿಂದಿನ ವರ್ಷದಲ್ಲಿ ಎನ್‌ಆರ್‌ಇಜಿಎ ಅಡಿಯಲ್ಲಿ ಕುಟುಂಬಗಳು ಎಷ್ಟು ದಿನಗಳ ಕೆಲಸವನ್ನು ಪಡೆದಿವೆ?</t>
  </si>
  <si>
    <t>.&gt;= 0 and .&lt;= 100</t>
  </si>
  <si>
    <t>NREGA job cards must be greater than or equal to zero</t>
  </si>
  <si>
    <t>NREGA ଜବ୍ କାର୍ଡଗୁଡ଼ିକ ଶୂନ୍ୟ ଠାରୁ ବଡ଼ କିମ୍ବା ସମାନ ହେବା ଆବଶ୍ୟକ।</t>
  </si>
  <si>
    <t>note</t>
  </si>
  <si>
    <t>sett_note_2</t>
  </si>
  <si>
    <t xml:space="preserve">&lt;span style="color:red"&gt;To calculate the total days of work, add up the workdays provided to all households with job cards as recorded in the MGNREGA database&lt;/span&gt;
</t>
  </si>
  <si>
    <t>&lt;span style="color:red"&gt;काम के पुरे दिनों को जोड़ने के लिए, मनरेगा डेटाबेस में शामिल जॉब कार्ड वाले सभी परिवारों को दिए गए कामों का दिन जोड़ें &lt;/span&gt;</t>
  </si>
  <si>
    <t xml:space="preserve">&lt;span style="color:red"&gt;ಒಟ್ಟು ಕೆಲಸದ ದಿನಗಳನ್ನು ಲೆಕ್ಕಾಚಾರ ಮಾಡಲು, MGNREGA ಡೇಟಾಬೇಸ್‌ನಲ್ಲಿ ದಾಖಲಾದ ಉದ್ಯೋಗ ಕಾರ್ಡ್‌ಗಳನ್ನು ಹೊಂದಿರುವ ಎಲ್ಲಾ ಮನೆಗಳಿಗೆ ಒದಗಿಸಲಾದ ಕೆಲಸದ ದಿನಗಳನ್ನು ಸೇರಿಸಿ&lt;/span&gt;
</t>
  </si>
  <si>
    <t>select_multiple low_work or_other</t>
  </si>
  <si>
    <t>reason_low_work</t>
  </si>
  <si>
    <t>What were the reasons for low work uptake under NREGA?</t>
  </si>
  <si>
    <t>नरेगा के अंतर्गत कम कार्य प्राप्ति के क्या कारण थे?</t>
  </si>
  <si>
    <t>NREGA હેઠળ કામ ઓછું થવાના કારણો શું હતા?</t>
  </si>
  <si>
    <t>NREGA ಅಡಿಯಲ್ಲಿ ಕೆಲಸ ಕಡಿಮೆ ಆಗಲು ಕಾರಣಗಳೇನು?</t>
  </si>
  <si>
    <t>${NREGA_work_days}&lt;50</t>
  </si>
  <si>
    <t xml:space="preserve">select_one demands </t>
  </si>
  <si>
    <t>select_one_demands</t>
  </si>
  <si>
    <t xml:space="preserve">Were the households involved in the demand planning and were demands put up for new NRM works in this settlement?
</t>
  </si>
  <si>
    <t>क्या डिमांड प्लानिंग के समय सभी परिवार शामिल थे और क्या नए एनआरएम कार्यों के लिए माँगे रखी गई थी ?</t>
  </si>
  <si>
    <t>ಬೇಡಿಕೆ ಯೋಜನೆಯಲ್ಲಿ ಮನೆಗಳು ಭಾಗಿಯಾಗಿವೆಯೇ ಮತ್ತು ಈ ವಸಾಹತುವಿನಲ್ಲಿ ಹೊಸ NRM ಕೆಲಸಗಳಿಗಾಗಿ ಬೇಡಿಕೆಗಳನ್ನು ಸಲ್ಲಿಸಲಾಗಿದೆಯೇ?</t>
  </si>
  <si>
    <t>select_multiple work_demands or_other</t>
  </si>
  <si>
    <t>work_demands</t>
  </si>
  <si>
    <t xml:space="preserve">What kind of work demands  did the settlement proposed in the past ?
</t>
  </si>
  <si>
    <t>इसके पहले प्रस्तावित समझौते में किस तरह के कार्यों की मांग की गई थी ?</t>
  </si>
  <si>
    <t>ಹಿಂದೆ ಇತ್ಯರ್ಥ ಪ್ರಸ್ತಾವನೆಯಲ್ಲಿ ಯಾವ ರೀತಿಯ ಕೆಲಸಗಳ ಬೇಡಿಕೆಯಿತ್ತು?</t>
  </si>
  <si>
    <t xml:space="preserve">select_multiple issues </t>
  </si>
  <si>
    <t xml:space="preserve">select_multiple_issues </t>
  </si>
  <si>
    <t>What are the three main issues with NREGA?</t>
  </si>
  <si>
    <t>मनरेगा में तीन मुख्य समस्याएं क्या है?</t>
  </si>
  <si>
    <t>NREGA ಯ ಮೂರು ಮುಖ್ಯ ಸಮಸ್ಯೆಗಳು ಯಾವುವು?</t>
  </si>
  <si>
    <t>other_issue</t>
  </si>
  <si>
    <t>Please specify other issue</t>
  </si>
  <si>
    <t>कृपया अन्य मुद्दा निर्दिष्ट करें</t>
  </si>
  <si>
    <t>કૃપા કરીને અન્ય સમસ્યાનો ઉલ્લેખ કરો</t>
  </si>
  <si>
    <t>ದಯವಿಟ್ಟು ಇತರ ಸಮಸ್ಯೆಯನ್ನು ನಿರ್ದಿಷ್ಟಪಡಿಸಿ</t>
  </si>
  <si>
    <t>selected(${select_multiple_issues}, 'other')</t>
  </si>
  <si>
    <t>select_one contributions</t>
  </si>
  <si>
    <t>select_one_contributions</t>
  </si>
  <si>
    <t xml:space="preserve">Is the community willing to come together collectively to raise the work demands such as water structures
</t>
  </si>
  <si>
    <t xml:space="preserve">क्या समुदाय के लोग जल स्रोत जैसी कार्यों की मांग सामूहिक रूप से करते हैं </t>
  </si>
  <si>
    <t xml:space="preserve">ನೀರಿನ ರಚನೆಗಳಂತಹ ಕೆಲಸದ ಬೇಡಿಕೆಗಳನ್ನು ಹೆಚ್ಚಿಸಲು ಸಮುದಾಯವು ಸಾಮೂಹಿಕವಾಗಿ ಒಗ್ಗೂಡಲು ಸಿದ್ಧರಿದೆಯೇ?
</t>
  </si>
  <si>
    <t>Other_information</t>
  </si>
  <si>
    <t>Any Other Information</t>
  </si>
  <si>
    <t>अन्य जानकारी</t>
  </si>
  <si>
    <t>ಯಾವುದೇ ಇತರ ಮಾಹಿತಿ</t>
  </si>
  <si>
    <t>sett_note_3</t>
  </si>
  <si>
    <t>&lt;span style="font-size: large; font-weight: bold; color:red;"&gt; DO NOT MODIFY ANYTHING BEYOND THIS POINT AND SUBMIT YOUR FORM DATA&lt;/span&gt;</t>
  </si>
  <si>
    <t>&lt;span style="color:red"&gt;इससे परे कुछ भी संशोधित न करें और अपना फॉर्म डेटा सबमिट करें&lt;/span&gt;</t>
  </si>
  <si>
    <t>&lt;span style="font-size: large; font-weight: bold; color:red;"&gt; ಈ ಅಂಶವನ್ನು ಮೀರಿ ಏನನ್ನೂ ಮಾರ್ಪಡಿಸಬೇಡಿ ಮತ್ತು ನಿಮ್ಮ ಫಾರ್ಮ್ ಡೇಟಾವನ್ನು ಸಲ್ಲಿಸಿ&lt;/span&gt;</t>
  </si>
  <si>
    <t>GPS_point</t>
  </si>
  <si>
    <t>Lat/Lon</t>
  </si>
  <si>
    <t>अक्षांश/देशांतर</t>
  </si>
  <si>
    <t>ಲ್ಯಾಟ್/ಲೋನ್</t>
  </si>
  <si>
    <t>compact</t>
  </si>
  <si>
    <t>sett_note_4</t>
  </si>
  <si>
    <t>&lt;span style="color:red"&gt;PLEASE DO NOT SPAN AROUND IN THE MAP BELOW&lt;/span&gt;</t>
  </si>
  <si>
    <t>&lt;span style="color:red"&gt;कृपया नीचे दिए गए नक्शे में इधर-उधर न घूमें&lt;/span&gt;</t>
  </si>
  <si>
    <t>&lt;span style="color:red"&gt;ದಯವಿಟ್ಟು ಕೆಳಗಿನ ನಕ್ಷೆಯಲ್ಲಿ ಹರಡಬೇಡಿ&lt;/span&gt;</t>
  </si>
  <si>
    <t>geopoint</t>
  </si>
  <si>
    <t>point_mapsappearance</t>
  </si>
  <si>
    <t>जियोपॉइंट</t>
  </si>
  <si>
    <t>block_name</t>
  </si>
  <si>
    <t xml:space="preserve">Block name </t>
  </si>
  <si>
    <t>ब्लॉक का नाम</t>
  </si>
  <si>
    <t>ಬ್ಲಾಕ್ ಹೆಸರು</t>
  </si>
  <si>
    <t>plan_id</t>
  </si>
  <si>
    <t>Plan ID</t>
  </si>
  <si>
    <t xml:space="preserve">योजना आईडी </t>
  </si>
  <si>
    <t>યોજનાનું ID</t>
  </si>
  <si>
    <t>ಯೋಜನೆ ಐಡಿ</t>
  </si>
  <si>
    <t>plan_name</t>
  </si>
  <si>
    <t>Plan name</t>
  </si>
  <si>
    <t xml:space="preserve">योजना का नाम </t>
  </si>
  <si>
    <t>ಯೋಜನೆಯ ಹೆಸರು</t>
  </si>
  <si>
    <t>user_latlon</t>
  </si>
  <si>
    <t>Current location of the user</t>
  </si>
  <si>
    <t>उपयोगकर्ता का वर्तमान स्थान</t>
  </si>
  <si>
    <t>ಬಳಕೆದಾರರ ಪ್ರಸ್ತುತ ಸ್ಥಳ</t>
  </si>
  <si>
    <t>list_name</t>
  </si>
  <si>
    <t>caste</t>
  </si>
  <si>
    <t>GC</t>
  </si>
  <si>
    <t xml:space="preserve">GC </t>
  </si>
  <si>
    <t xml:space="preserve">सामान्य वर्ग </t>
  </si>
  <si>
    <t>ಜಿಸಿ</t>
  </si>
  <si>
    <t>ସାଧାରଣ ବର୍ଗ</t>
  </si>
  <si>
    <t>SC</t>
  </si>
  <si>
    <t>अनुसूचित जाति</t>
  </si>
  <si>
    <t>ಎಸ್‌ಸಿ</t>
  </si>
  <si>
    <t>ଅନୁସୂଚିତ ଜାତି</t>
  </si>
  <si>
    <t>ST</t>
  </si>
  <si>
    <t>अनुसूचित जनजाति</t>
  </si>
  <si>
    <t>ಎಸ್‌ಟಿ</t>
  </si>
  <si>
    <t>ଅନୁସୂଚିତ ଜନଜାତି</t>
  </si>
  <si>
    <t>OBC</t>
  </si>
  <si>
    <t xml:space="preserve">OBC </t>
  </si>
  <si>
    <t xml:space="preserve">अन्य पिछड़ा वर्ग </t>
  </si>
  <si>
    <t>ಒಬಿಸಿ</t>
  </si>
  <si>
    <t>ଅନ୍ୟାନ୍ୟ ପଛୁଆ ବର୍ଗ</t>
  </si>
  <si>
    <t>assets</t>
  </si>
  <si>
    <t>motorbikes</t>
  </si>
  <si>
    <t>Motorbikes</t>
  </si>
  <si>
    <t>मोटर-साइकिल</t>
  </si>
  <si>
    <t>ಮೋಟಾರ್‌ಬೈಕ್‌ಗಳು</t>
  </si>
  <si>
    <t>car</t>
  </si>
  <si>
    <t xml:space="preserve">Car </t>
  </si>
  <si>
    <t>कार</t>
  </si>
  <si>
    <t>ಕಾರು</t>
  </si>
  <si>
    <t>kaccha_house</t>
  </si>
  <si>
    <t>Kaccha House</t>
  </si>
  <si>
    <t>कच्चा मकान</t>
  </si>
  <si>
    <t>ಕಚ್ಚಾ ಹೌಸ್</t>
  </si>
  <si>
    <t>cemented_house</t>
  </si>
  <si>
    <t>Cemented House</t>
  </si>
  <si>
    <t xml:space="preserve">पक्का मकान </t>
  </si>
  <si>
    <t>ಸಿಮೆಂಟ್ ಮನೆ</t>
  </si>
  <si>
    <t>landless</t>
  </si>
  <si>
    <t>Landless</t>
  </si>
  <si>
    <t>भूमिहीन</t>
  </si>
  <si>
    <t>ಭೂರಹಿತ</t>
  </si>
  <si>
    <t>status</t>
  </si>
  <si>
    <t xml:space="preserve">Ultra Poor
</t>
  </si>
  <si>
    <t xml:space="preserve">अत्यंत गरीब </t>
  </si>
  <si>
    <t xml:space="preserve">ಅತಿ ಕಳಪೆ
</t>
  </si>
  <si>
    <t>poor</t>
  </si>
  <si>
    <t>Poor</t>
  </si>
  <si>
    <t>गरीब</t>
  </si>
  <si>
    <t>ಕಳಪೆ</t>
  </si>
  <si>
    <t>middle</t>
  </si>
  <si>
    <t>Middle</t>
  </si>
  <si>
    <t xml:space="preserve">मध्यम </t>
  </si>
  <si>
    <t>ಮಧ್ಯಮ</t>
  </si>
  <si>
    <t>rich</t>
  </si>
  <si>
    <t>Rich</t>
  </si>
  <si>
    <t xml:space="preserve">संपन्न </t>
  </si>
  <si>
    <t>ಶ್ರೀಮಂತ</t>
  </si>
  <si>
    <t>demands</t>
  </si>
  <si>
    <t>yes, and many demands were fullfilled</t>
  </si>
  <si>
    <t>Yes, and many demands were fulfilled</t>
  </si>
  <si>
    <t>हाँ, और कई माँगें पूरी की गईं</t>
  </si>
  <si>
    <t>ಹೌದು, ಮತ್ತು ಅನೇಕ ಬೇಡಿಕೆಗಳನ್ನು ಪೂರೈಸಲಾಯಿತು.</t>
  </si>
  <si>
    <t>yes, but most of demands were not met</t>
  </si>
  <si>
    <t>Yes, but most of demands were not met</t>
  </si>
  <si>
    <t>हाँ, लेकिन अधिकांश माँगें पूरी नहीं हुईं</t>
  </si>
  <si>
    <t>ಹೌದು, ಆದರೆ ಹೆಚ್ಚಿನ ಬೇಡಿಕೆಗಳು ಈಡೇರಿಲ್ಲ.</t>
  </si>
  <si>
    <t>No, did not make demands</t>
  </si>
  <si>
    <t xml:space="preserve">नहीं, कोई मांग नहीं की गई </t>
  </si>
  <si>
    <t>ಇಲ್ಲ, ಬೇಡಿಕೆಗಳನ್ನು ಮಾಡಲಿಲ್ಲ.</t>
  </si>
  <si>
    <t xml:space="preserve">work_demands </t>
  </si>
  <si>
    <t>Farm_pond</t>
  </si>
  <si>
    <t>Farm pond</t>
  </si>
  <si>
    <t xml:space="preserve">खेत तालाब/ डोभा </t>
  </si>
  <si>
    <t>ಕೃಷಿ ಹೊಂಡ</t>
  </si>
  <si>
    <t>Canal</t>
  </si>
  <si>
    <t>नहर</t>
  </si>
  <si>
    <t>ಕಾಲುವೆ</t>
  </si>
  <si>
    <t>Check_dam</t>
  </si>
  <si>
    <t>Check dam</t>
  </si>
  <si>
    <t>चेक डैम</t>
  </si>
  <si>
    <t>ಚೆಕ್ ಡ್ಯಾಮ್</t>
  </si>
  <si>
    <t>Percolation_tank</t>
  </si>
  <si>
    <t>Percolation Tank</t>
  </si>
  <si>
    <t xml:space="preserve">परकोलेशन टैंक </t>
  </si>
  <si>
    <t>ಪರ್ಕೋಲೇಷನ್ ಟ್ಯಾಂಕ್</t>
  </si>
  <si>
    <t>Earthern_gully_plugs</t>
  </si>
  <si>
    <t>Earthern Gully plugs</t>
  </si>
  <si>
    <t>एर्थन गली प्लग</t>
  </si>
  <si>
    <t>ಅರ್ಥರ್ನ್ ಗಲ್ಲಿ ಪ್ಲಗ್‌ಗಳು</t>
  </si>
  <si>
    <t>Tree_plantations</t>
  </si>
  <si>
    <t>Tree plantations</t>
  </si>
  <si>
    <t>वृक्षारोपण</t>
  </si>
  <si>
    <t>ಮರಗಳ ನೆಡುತೋಪುಗಳು</t>
  </si>
  <si>
    <t>goat_and_cow_shelters</t>
  </si>
  <si>
    <t>Goat and Cow shelters</t>
  </si>
  <si>
    <t xml:space="preserve">बकरी एवं गौ शेड </t>
  </si>
  <si>
    <t>ಮೇಕೆ ಮತ್ತು ಹಸು ಆಶ್ರಯಗಳು</t>
  </si>
  <si>
    <t>Drainage_Soakage_channels</t>
  </si>
  <si>
    <t>Drainage/ Soakage channels</t>
  </si>
  <si>
    <t xml:space="preserve">नाली /सोख्ता नाली </t>
  </si>
  <si>
    <t>ಒಳಚರಂಡಿ/ಸೋಕೇಜ್ ಕಾಲುವೆಗಳು</t>
  </si>
  <si>
    <t>Recharge_pits</t>
  </si>
  <si>
    <t>Recharge pits</t>
  </si>
  <si>
    <t xml:space="preserve">रिचार्ज पिट्स </t>
  </si>
  <si>
    <t>ರೀಚಾರ್ಜ್ ಪಿಟ್‌ಗಳು</t>
  </si>
  <si>
    <t>Sokage_pits</t>
  </si>
  <si>
    <t>Sokage pits</t>
  </si>
  <si>
    <t>सोख्ता गड्ढे</t>
  </si>
  <si>
    <t>ಸೋಕೇಜ್ ಪಿಟ್‌ಗಳು</t>
  </si>
  <si>
    <t>Trench_cum_bund_network</t>
  </si>
  <si>
    <t>Trench  cum bund Network</t>
  </si>
  <si>
    <t xml:space="preserve">ट्रेंच/बाँध </t>
  </si>
  <si>
    <t>ಕಂದಕ ಕಮ್ ಬಂದ್ ಜಾಲ</t>
  </si>
  <si>
    <t>Large_water_bodies</t>
  </si>
  <si>
    <t>Large Water bodies</t>
  </si>
  <si>
    <t xml:space="preserve">बड़े जल स्रोत </t>
  </si>
  <si>
    <t>ದೊಡ್ಡ ಜಲಮೂಲಗಳು</t>
  </si>
  <si>
    <t>Irrigation_channel</t>
  </si>
  <si>
    <t>Irrigation Channel</t>
  </si>
  <si>
    <t>सिंचाई चैनल</t>
  </si>
  <si>
    <t>ನೀರಾವರಿ ಕಾಲುವೆ</t>
  </si>
  <si>
    <t>Continuous_contour_trenches</t>
  </si>
  <si>
    <t>Continuous contour trenches (CCT)</t>
  </si>
  <si>
    <t>कन्टिन्यूवस कंटूर ट्रेंच (CCT )</t>
  </si>
  <si>
    <t>ನಿರಂತರ ಕಾಂಟೂರ್ ಕಂದಕಗಳು (CCT)</t>
  </si>
  <si>
    <t>Staggered_contour_trenches(SCT)</t>
  </si>
  <si>
    <t>Staggered Contour trenches (SCT)</t>
  </si>
  <si>
    <t>स्टैगर्ड कंटूर ट्रेंच (SCT )</t>
  </si>
  <si>
    <t>ಅಡ್ಡಾದಿಡ್ಡಿಯಾಗಿ ರೂಪುಗೊಂಡ ಬಾಹ್ಯರೇಖೆ ಕಂದಕಗಳು (SCT)</t>
  </si>
  <si>
    <t>Water_absorption_trenches(WAT)</t>
  </si>
  <si>
    <t>Water absorption trenches (WAT)</t>
  </si>
  <si>
    <t>वॉटर ऑब्जॉप्सन ट्रेंच (WAT)</t>
  </si>
  <si>
    <t>ನೀರು ಹೀರಿಕೊಳ್ಳುವ ಕಂದಕಗಳು (WAT)</t>
  </si>
  <si>
    <t>Rock_fill_dam</t>
  </si>
  <si>
    <t>Rock fill Dam</t>
  </si>
  <si>
    <t>रॉक फिल डैम</t>
  </si>
  <si>
    <t>ರಾಕ್ ಫಿಲ್ ಅಣೆಕಟ್ಟು</t>
  </si>
  <si>
    <t>Loose_boulder_structure</t>
  </si>
  <si>
    <t>Loose Boulder Structure</t>
  </si>
  <si>
    <t xml:space="preserve">लूज बोल्डर स्ट्रक्चर </t>
  </si>
  <si>
    <t>ಸಡಿಲವಾದ ಬೌಲ್ಡರ್ ರಚನೆ</t>
  </si>
  <si>
    <t>Stone_bunding</t>
  </si>
  <si>
    <t>Stone bunding</t>
  </si>
  <si>
    <t xml:space="preserve">पत्थर बांध </t>
  </si>
  <si>
    <t>ಕಲ್ಲು ಬದು ಹಾಕುವುದು</t>
  </si>
  <si>
    <t>Diversion_drains</t>
  </si>
  <si>
    <t>Diversion drains</t>
  </si>
  <si>
    <t>डायवर्जन नालियाँ</t>
  </si>
  <si>
    <t>ತಿರುವು ಚರಂಡಿಗಳು</t>
  </si>
  <si>
    <t>Bunding</t>
  </si>
  <si>
    <t>Bunding: Contour bunds / graded bunds</t>
  </si>
  <si>
    <t>मेड़बंदी: कंटूर बांध/ग्रेड बांध</t>
  </si>
  <si>
    <t>ಬದು ಕಟ್ಟುವುದು: ಬಾಹ್ಯರೇಖೆ ಬದುಗಳು / ಶ್ರೇಣೀಕೃತ ಬದುಗಳು</t>
  </si>
  <si>
    <t>Farm_bund</t>
  </si>
  <si>
    <t>Farm bund</t>
  </si>
  <si>
    <t>खेत का मेड़</t>
  </si>
  <si>
    <t>ಫಾರ್ಮ್ ಬಂಡ್</t>
  </si>
  <si>
    <t>Well</t>
  </si>
  <si>
    <t>कुंआ</t>
  </si>
  <si>
    <t>ಸರಿ</t>
  </si>
  <si>
    <t>5%_Model</t>
  </si>
  <si>
    <t>5% Model</t>
  </si>
  <si>
    <t>5% मॉडल</t>
  </si>
  <si>
    <t>5% ಮಾದರಿ</t>
  </si>
  <si>
    <t>30-40_Model</t>
  </si>
  <si>
    <t>30-40 Model</t>
  </si>
  <si>
    <t>30-40 मॉडल</t>
  </si>
  <si>
    <t>30-40 ಮಾದರಿ</t>
  </si>
  <si>
    <t>no_demands</t>
  </si>
  <si>
    <t>No demands were raised</t>
  </si>
  <si>
    <t>Y_N</t>
  </si>
  <si>
    <t>Yes</t>
  </si>
  <si>
    <t xml:space="preserve">हां </t>
  </si>
  <si>
    <t>ಹೌದು</t>
  </si>
  <si>
    <t>No</t>
  </si>
  <si>
    <t xml:space="preserve">नहीं </t>
  </si>
  <si>
    <t>ಸಂ</t>
  </si>
  <si>
    <t>contributions</t>
  </si>
  <si>
    <t>yes,almost all</t>
  </si>
  <si>
    <t>Yes, almost all</t>
  </si>
  <si>
    <t xml:space="preserve">हां , लगभग सभी लोग </t>
  </si>
  <si>
    <t>ಹೌದು, ಬಹುತೇಕ ಎಲ್ಲಾ</t>
  </si>
  <si>
    <t>some</t>
  </si>
  <si>
    <t>Some</t>
  </si>
  <si>
    <t xml:space="preserve">कुछ लोग </t>
  </si>
  <si>
    <t>ಕೆಲವು</t>
  </si>
  <si>
    <t>Mostly none</t>
  </si>
  <si>
    <t xml:space="preserve">अधिकतर लोग नहीं </t>
  </si>
  <si>
    <t>ಹೆಚ್ಚಾಗಿ ಯಾವುದೂ ಇಲ್ಲ</t>
  </si>
  <si>
    <t>issues</t>
  </si>
  <si>
    <t>Delayed_reimbursements_for_expenses_made</t>
  </si>
  <si>
    <t>Delayed reimbursements for expenses made</t>
  </si>
  <si>
    <t xml:space="preserve">किये गए ख़र्चे की रिबरस्मेंट में देरी </t>
  </si>
  <si>
    <t>ಮಾಡಿದ ವೆಚ್ಚಗಳಿಗೆ ಮರುಪಾವತಿ ವಿಳಂಬವಾಗಿದೆ</t>
  </si>
  <si>
    <t>finding_labour_for_NREGA</t>
  </si>
  <si>
    <t xml:space="preserve">Finding labour for NREGA </t>
  </si>
  <si>
    <t xml:space="preserve">मनरेगा के लिए श्रमिक ढूँढना </t>
  </si>
  <si>
    <t>NREGA ಗಾಗಿ ಕಾರ್ಮಿಕರನ್ನು ಹುಡುಕುವುದು</t>
  </si>
  <si>
    <t>demands_for_new_works_are_not_met</t>
  </si>
  <si>
    <t>Demands for new works are not met</t>
  </si>
  <si>
    <t xml:space="preserve">नए काम की मांग पूरी नहीं होती है </t>
  </si>
  <si>
    <t>ಹೊಸ ಕಾಮಗಾರಿಗಳ ಬೇಡಿಕೆ ಈಡೇರಿಲ್ಲ</t>
  </si>
  <si>
    <t>not_aware_of_NREGA_details_and_how_to_get_work</t>
  </si>
  <si>
    <t>Not aware of NREGA details and how to get work</t>
  </si>
  <si>
    <t xml:space="preserve">मनरेगा में कैसे काम मिलेगा इसके बारे में विस्तृत जानकारी नहीं है </t>
  </si>
  <si>
    <t>NREGA ವಿವರಗಳು ಮತ್ತು ಕೆಲಸವನ್ನು ಹೇಗೆ ಪಡೆಯುವುದು ಎಂಬುದರ ಬಗ್ಗೆ ತಿಳಿದಿಲ್ಲ</t>
  </si>
  <si>
    <t>want_work_but_do_not_get_support_to_register_demands</t>
  </si>
  <si>
    <t>Want work but do not get support to register demands</t>
  </si>
  <si>
    <t xml:space="preserve">काम चाहिए लेकिन काम की मांग करने के लिए सहयोग नहीं मिलता है </t>
  </si>
  <si>
    <t>ಕೆಲಸ ಬೇಕು ಆದರೆ ಬೇಡಿಕೆಗಳನ್ನು ನೋಂದಾಯಿಸಲು ಬೆಂಬಲ ಸಿಗುವುದಿಲ್ಲ</t>
  </si>
  <si>
    <t xml:space="preserve">Mismatch_in_the_online_attendance_due_to_lack_of_internet_or_no_smart_phones
</t>
  </si>
  <si>
    <t xml:space="preserve">Mismatch in the online attendance due to lack of internet or no smart phones
</t>
  </si>
  <si>
    <t xml:space="preserve">इंटरनेट की कमी या स्मार्ट फोन न होने के कारण ऑनलाइन हाजरी बनाने में गड़बड़ियां </t>
  </si>
  <si>
    <t xml:space="preserve">ಇಂಟರ್ನೆಟ್ ಕೊರತೆ ಅಥವಾ ಸ್ಮಾರ್ಟ್ ಫೋನ್ ಇಲ್ಲದ ಕಾರಣ ಆನ್‌ಲೈನ್ ಹಾಜರಾತಿಯಲ್ಲಿ ಹೊಂದಾಣಿಕೆಯಾಗುತ್ತಿಲ್ಲ
</t>
  </si>
  <si>
    <t>other</t>
  </si>
  <si>
    <t>Other</t>
  </si>
  <si>
    <t>अन्य</t>
  </si>
  <si>
    <t>અન્ય</t>
  </si>
  <si>
    <t>ಇತರೆ</t>
  </si>
  <si>
    <t>Single Caste group</t>
  </si>
  <si>
    <t xml:space="preserve">एकल जातीय  समूह </t>
  </si>
  <si>
    <t>ಏಕ ಜಾತಿ ಗುಂಪು</t>
  </si>
  <si>
    <t>Mixed Caste group</t>
  </si>
  <si>
    <t xml:space="preserve">मिश्रित जातीय समूह </t>
  </si>
  <si>
    <t>ಮಿಶ್ರ ಜಾತಿ ಗುಂಪು</t>
  </si>
  <si>
    <t>low_work</t>
  </si>
  <si>
    <t>Migration</t>
  </si>
  <si>
    <t>प्रवासन</t>
  </si>
  <si>
    <t>સ્થળાંતર</t>
  </si>
  <si>
    <t>ವಲಸೆ</t>
  </si>
  <si>
    <t>Poor_wages</t>
  </si>
  <si>
    <t>Poor wages</t>
  </si>
  <si>
    <t>कम वेतन</t>
  </si>
  <si>
    <t>ઓછું વેતન</t>
  </si>
  <si>
    <t>ಕಳಪೆ ವೇತನ</t>
  </si>
  <si>
    <t xml:space="preserve">
Saturation_works
</t>
  </si>
  <si>
    <t>Saturation of works</t>
  </si>
  <si>
    <t>कार्यों की संतृप्ति</t>
  </si>
  <si>
    <t>કામની સંતૃપ્તિ</t>
  </si>
  <si>
    <t>ಕೆಲಸದ ಶುದ್ಧತ್ವ</t>
  </si>
  <si>
    <t>form_title</t>
  </si>
  <si>
    <t>form_id</t>
  </si>
  <si>
    <t>default_language</t>
  </si>
  <si>
    <t>instanceID</t>
  </si>
  <si>
    <t>version</t>
  </si>
  <si>
    <t>style</t>
  </si>
  <si>
    <t>Settlement Form</t>
  </si>
  <si>
    <t>Add_Settlements_form _V1.0.1</t>
  </si>
  <si>
    <t>Hindi(hi)</t>
  </si>
  <si>
    <t>’’uuid:’,uuid(Settlements_id)’</t>
  </si>
  <si>
    <t>2.1.9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</si>
</sst>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rgb="FF000000"/>
      <name val="Calibri"/>
      <scheme val="minor"/>
    </font>
    <font>
      <b/>
      <sz val="10.0"/>
      <color theme="1"/>
      <name val="Courier New"/>
    </font>
    <font>
      <b/>
      <sz val="10.0"/>
      <color rgb="FF000000"/>
      <name val="Arial"/>
    </font>
    <font>
      <b/>
      <sz val="10.0"/>
      <color theme="1"/>
      <name val="Arial"/>
    </font>
    <font>
      <b/>
      <sz val="11.0"/>
      <color theme="1"/>
      <name val="Calibri"/>
    </font>
    <font>
      <i/>
      <sz val="10.0"/>
      <color rgb="FF000000"/>
      <name val="Courier New"/>
    </font>
    <font>
      <sz val="10.0"/>
      <color rgb="FF000000"/>
      <name val="Courier New"/>
    </font>
    <font>
      <sz val="10.0"/>
      <color rgb="FF000000"/>
      <name val="Arial"/>
    </font>
    <font>
      <sz val="10.0"/>
      <color theme="1"/>
      <name val="Courier New"/>
    </font>
    <font>
      <sz val="10.0"/>
      <color theme="1"/>
      <name val="Arial"/>
    </font>
    <font>
      <color theme="1"/>
      <name val="Arial"/>
    </font>
    <font>
      <color theme="1"/>
      <name val="Calibri"/>
    </font>
    <font>
      <color rgb="FF000000"/>
      <name val="Arial"/>
    </font>
    <font>
      <color rgb="FF000000"/>
      <name val="Verdana"/>
    </font>
    <font>
      <sz val="10.0"/>
      <color theme="1"/>
      <name val="Calibri"/>
    </font>
    <font>
      <color rgb="FF000000"/>
      <name val="Inconsolata"/>
    </font>
    <font>
      <sz val="11.0"/>
      <color theme="1"/>
      <name val="Calibri"/>
    </font>
    <font>
      <sz val="10.0"/>
      <color rgb="FF000000"/>
      <name val="Calibri"/>
    </font>
    <font>
      <color theme="1"/>
      <name val="Calibri"/>
      <scheme val="minor"/>
    </font>
    <font>
      <b/>
      <color theme="1"/>
      <name val="Arial"/>
    </font>
    <font>
      <sz val="10.0"/>
      <color rgb="FF1F1F1F"/>
      <name val="Inherit"/>
    </font>
  </fonts>
  <fills count="9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2F2F2"/>
        <bgColor rgb="FFF2F2F2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8DB3E2"/>
        <bgColor rgb="FF8DB3E2"/>
      </patternFill>
    </fill>
    <fill>
      <patternFill patternType="solid">
        <fgColor rgb="FFF8F9FA"/>
        <bgColor rgb="FFF8F9FA"/>
      </patternFill>
    </fill>
  </fills>
  <borders count="3">
    <border/>
    <border>
      <left/>
      <right/>
      <top/>
      <bottom/>
    </border>
    <border>
      <left/>
      <right/>
      <top/>
      <bottom style="thick">
        <color rgb="FFA6BFDD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0" fillId="2" fontId="2" numFmtId="0" xfId="0" applyAlignment="1" applyFont="1">
      <alignment shrinkToFit="0" vertical="bottom" wrapText="1"/>
    </xf>
    <xf borderId="0" fillId="2" fontId="2" numFmtId="0" xfId="0" applyAlignment="1" applyFont="1">
      <alignment readingOrder="0" shrinkToFit="0" vertical="bottom" wrapText="1"/>
    </xf>
    <xf borderId="1" fillId="2" fontId="3" numFmtId="0" xfId="0" applyAlignment="1" applyBorder="1" applyFont="1">
      <alignment shrinkToFit="0" vertical="bottom" wrapText="1"/>
    </xf>
    <xf borderId="1" fillId="2" fontId="3" numFmtId="0" xfId="0" applyAlignment="1" applyBorder="1" applyFont="1">
      <alignment readingOrder="0" shrinkToFit="0" vertical="bottom" wrapText="1"/>
    </xf>
    <xf borderId="0" fillId="2" fontId="4" numFmtId="0" xfId="0" applyAlignment="1" applyFont="1">
      <alignment shrinkToFit="0" vertical="bottom" wrapText="1"/>
    </xf>
    <xf borderId="0" fillId="2" fontId="3" numFmtId="0" xfId="0" applyAlignment="1" applyFont="1">
      <alignment readingOrder="0" shrinkToFit="0" vertical="bottom" wrapText="1"/>
    </xf>
    <xf borderId="0" fillId="2" fontId="3" numFmtId="0" xfId="0" applyAlignment="1" applyFont="1">
      <alignment shrinkToFit="0" vertical="bottom" wrapText="1"/>
    </xf>
    <xf borderId="1" fillId="3" fontId="5" numFmtId="0" xfId="0" applyAlignment="1" applyBorder="1" applyFill="1" applyFont="1">
      <alignment shrinkToFit="0" vertical="center" wrapText="1"/>
    </xf>
    <xf borderId="0" fillId="0" fontId="6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0" fontId="9" numFmtId="0" xfId="0" applyFont="1"/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shrinkToFit="0" wrapText="1"/>
    </xf>
    <xf borderId="0" fillId="0" fontId="8" numFmtId="0" xfId="0" applyFont="1"/>
    <xf borderId="0" fillId="0" fontId="10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vertical="bottom" wrapText="1"/>
    </xf>
    <xf borderId="0" fillId="4" fontId="8" numFmtId="0" xfId="0" applyFill="1" applyFont="1"/>
    <xf borderId="0" fillId="4" fontId="7" numFmtId="0" xfId="0" applyAlignment="1" applyFont="1">
      <alignment shrinkToFit="0" vertical="bottom" wrapText="1"/>
    </xf>
    <xf borderId="0" fillId="4" fontId="9" numFmtId="0" xfId="0" applyAlignment="1" applyFont="1">
      <alignment shrinkToFit="0" vertical="bottom" wrapText="1"/>
    </xf>
    <xf borderId="0" fillId="4" fontId="9" numFmtId="0" xfId="0" applyFont="1"/>
    <xf borderId="0" fillId="4" fontId="11" numFmtId="0" xfId="0" applyFont="1"/>
    <xf borderId="0" fillId="4" fontId="8" numFmtId="0" xfId="0" applyAlignment="1" applyFont="1">
      <alignment shrinkToFit="0" vertical="bottom" wrapText="1"/>
    </xf>
    <xf borderId="0" fillId="4" fontId="8" numFmtId="0" xfId="0" applyAlignment="1" applyFont="1">
      <alignment vertical="bottom"/>
    </xf>
    <xf borderId="0" fillId="4" fontId="6" numFmtId="0" xfId="0" applyAlignment="1" applyFont="1">
      <alignment shrinkToFit="0" vertical="bottom" wrapText="1"/>
    </xf>
    <xf borderId="0" fillId="0" fontId="11" numFmtId="0" xfId="0" applyAlignment="1" applyFont="1">
      <alignment shrinkToFit="0" wrapText="1"/>
    </xf>
    <xf borderId="0" fillId="5" fontId="12" numFmtId="0" xfId="0" applyAlignment="1" applyFill="1" applyFont="1">
      <alignment horizontal="left" shrinkToFit="0" vertical="bottom" wrapText="1"/>
    </xf>
    <xf borderId="0" fillId="5" fontId="7" numFmtId="0" xfId="0" applyAlignment="1" applyFont="1">
      <alignment shrinkToFit="0" vertical="bottom" wrapText="1"/>
    </xf>
    <xf borderId="0" fillId="6" fontId="8" numFmtId="0" xfId="0" applyFill="1" applyFont="1"/>
    <xf borderId="0" fillId="6" fontId="6" numFmtId="0" xfId="0" applyAlignment="1" applyFont="1">
      <alignment shrinkToFit="0" vertical="bottom" wrapText="1"/>
    </xf>
    <xf borderId="0" fillId="6" fontId="7" numFmtId="0" xfId="0" applyAlignment="1" applyFont="1">
      <alignment shrinkToFit="0" vertical="bottom" wrapText="1"/>
    </xf>
    <xf borderId="0" fillId="6" fontId="9" numFmtId="0" xfId="0" applyAlignment="1" applyFont="1">
      <alignment shrinkToFit="0" vertical="bottom" wrapText="1"/>
    </xf>
    <xf borderId="0" fillId="6" fontId="10" numFmtId="0" xfId="0" applyAlignment="1" applyFont="1">
      <alignment shrinkToFit="0" vertical="bottom" wrapText="1"/>
    </xf>
    <xf borderId="0" fillId="6" fontId="9" numFmtId="0" xfId="0" applyFont="1"/>
    <xf borderId="0" fillId="4" fontId="10" numFmtId="0" xfId="0" applyAlignment="1" applyFont="1">
      <alignment shrinkToFit="0" vertical="bottom" wrapText="1"/>
    </xf>
    <xf borderId="0" fillId="0" fontId="10" numFmtId="0" xfId="0" applyAlignment="1" applyFont="1">
      <alignment vertical="bottom"/>
    </xf>
    <xf borderId="0" fillId="5" fontId="6" numFmtId="0" xfId="0" applyAlignment="1" applyFont="1">
      <alignment shrinkToFit="0" vertical="bottom" wrapText="1"/>
    </xf>
    <xf borderId="0" fillId="5" fontId="9" numFmtId="0" xfId="0" applyAlignment="1" applyFont="1">
      <alignment shrinkToFit="0" vertical="bottom" wrapText="1"/>
    </xf>
    <xf borderId="0" fillId="5" fontId="10" numFmtId="0" xfId="0" applyAlignment="1" applyFont="1">
      <alignment shrinkToFit="0" vertical="bottom" wrapText="1"/>
    </xf>
    <xf borderId="0" fillId="5" fontId="7" numFmtId="0" xfId="0" applyAlignment="1" applyFont="1">
      <alignment readingOrder="0" shrinkToFit="0" vertical="bottom" wrapText="1"/>
    </xf>
    <xf borderId="0" fillId="5" fontId="7" numFmtId="0" xfId="0" applyAlignment="1" applyFont="1">
      <alignment shrinkToFit="0" vertical="bottom" wrapText="0"/>
    </xf>
    <xf borderId="0" fillId="5" fontId="10" numFmtId="0" xfId="0" applyAlignment="1" applyFont="1">
      <alignment vertical="bottom"/>
    </xf>
    <xf borderId="0" fillId="0" fontId="9" numFmtId="0" xfId="0" applyAlignment="1" applyFont="1">
      <alignment readingOrder="0"/>
    </xf>
    <xf borderId="0" fillId="0" fontId="13" numFmtId="0" xfId="0" applyAlignment="1" applyFont="1">
      <alignment horizontal="left" shrinkToFit="0" vertical="bottom" wrapText="1"/>
    </xf>
    <xf borderId="0" fillId="6" fontId="8" numFmtId="0" xfId="0" applyAlignment="1" applyFont="1">
      <alignment shrinkToFit="0" vertical="bottom" wrapText="0"/>
    </xf>
    <xf borderId="0" fillId="6" fontId="8" numFmtId="0" xfId="0" applyAlignment="1" applyFont="1">
      <alignment shrinkToFit="0" vertical="bottom" wrapText="1"/>
    </xf>
    <xf borderId="0" fillId="6" fontId="9" numFmtId="0" xfId="0" applyAlignment="1" applyFont="1">
      <alignment shrinkToFit="0" vertical="bottom" wrapText="0"/>
    </xf>
    <xf borderId="0" fillId="6" fontId="9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14" numFmtId="0" xfId="0" applyFont="1"/>
    <xf borderId="0" fillId="5" fontId="15" numFmtId="0" xfId="0" applyAlignment="1" applyFont="1">
      <alignment shrinkToFit="0" wrapText="0"/>
    </xf>
    <xf borderId="0" fillId="0" fontId="11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shrinkToFit="0" vertical="bottom" wrapText="1"/>
    </xf>
    <xf borderId="0" fillId="0" fontId="17" numFmtId="0" xfId="0" applyAlignment="1" applyFont="1">
      <alignment shrinkToFit="0" vertical="bottom" wrapText="1"/>
    </xf>
    <xf borderId="0" fillId="0" fontId="18" numFmtId="0" xfId="0" applyFont="1"/>
    <xf borderId="1" fillId="7" fontId="2" numFmtId="0" xfId="0" applyAlignment="1" applyBorder="1" applyFill="1" applyFont="1">
      <alignment horizontal="left" shrinkToFit="0" vertical="center" wrapText="1"/>
    </xf>
    <xf borderId="2" fillId="7" fontId="2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8" fontId="20" numFmtId="0" xfId="0" applyAlignment="1" applyFill="1" applyFont="1">
      <alignment horizontal="left" readingOrder="0" shrinkToFit="0" wrapText="1"/>
    </xf>
    <xf borderId="0" fillId="2" fontId="2" numFmtId="0" xfId="0" applyAlignment="1" applyFont="1">
      <alignment shrinkToFit="0" vertical="bottom" wrapText="0"/>
    </xf>
    <xf borderId="0" fillId="2" fontId="3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1.14"/>
    <col customWidth="1" min="2" max="2" width="44.0"/>
    <col customWidth="1" min="3" max="3" width="65.86"/>
    <col customWidth="1" min="4" max="7" width="66.14"/>
    <col customWidth="1" min="8" max="8" width="67.86"/>
    <col customWidth="1" min="9" max="9" width="38.71"/>
    <col customWidth="1" min="10" max="10" width="24.14"/>
    <col customWidth="1" min="11" max="11" width="30.0"/>
    <col customWidth="1" min="12" max="15" width="46.14"/>
    <col customWidth="1" min="16" max="16" width="19.71"/>
    <col customWidth="1" min="17" max="17" width="37.0"/>
    <col customWidth="1" min="18" max="18" width="76.86"/>
    <col customWidth="1" min="19" max="19" width="51.0"/>
    <col customWidth="1" min="20" max="20" width="43.86"/>
    <col customWidth="1" min="21" max="21" width="49.86"/>
    <col customWidth="1" min="22" max="22" width="31.14"/>
    <col customWidth="1" min="23" max="41" width="8.86"/>
  </cols>
  <sheetData>
    <row r="1" ht="13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4" t="s">
        <v>16</v>
      </c>
      <c r="R1" s="4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</row>
    <row r="2" ht="13.5" customHeight="1">
      <c r="A2" s="9" t="s">
        <v>22</v>
      </c>
      <c r="B2" s="9" t="s">
        <v>22</v>
      </c>
      <c r="C2" s="10"/>
      <c r="D2" s="11"/>
      <c r="E2" s="11"/>
      <c r="F2" s="11"/>
      <c r="G2" s="11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ht="13.5" customHeight="1">
      <c r="A3" s="9" t="s">
        <v>23</v>
      </c>
      <c r="B3" s="9" t="s">
        <v>23</v>
      </c>
      <c r="C3" s="10"/>
      <c r="D3" s="11"/>
      <c r="E3" s="11"/>
      <c r="F3" s="11"/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 ht="13.5" customHeight="1">
      <c r="A4" s="9" t="s">
        <v>24</v>
      </c>
      <c r="B4" s="9" t="s">
        <v>24</v>
      </c>
      <c r="C4" s="10"/>
      <c r="D4" s="11"/>
      <c r="E4" s="11"/>
      <c r="F4" s="11"/>
      <c r="G4" s="11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</row>
    <row r="5" ht="13.5" customHeight="1">
      <c r="A5" s="9" t="s">
        <v>25</v>
      </c>
      <c r="B5" s="9" t="s">
        <v>25</v>
      </c>
      <c r="C5" s="10"/>
      <c r="D5" s="11"/>
      <c r="E5" s="11"/>
      <c r="F5" s="11"/>
      <c r="G5" s="11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</row>
    <row r="6" ht="13.5" customHeight="1">
      <c r="A6" s="13"/>
      <c r="B6" s="13"/>
      <c r="C6" s="14"/>
      <c r="D6" s="15"/>
      <c r="E6" s="15"/>
      <c r="F6" s="15"/>
      <c r="G6" s="15"/>
      <c r="H6" s="15"/>
      <c r="I6" s="16"/>
      <c r="J6" s="17"/>
      <c r="K6" s="16"/>
      <c r="L6" s="17"/>
      <c r="M6" s="17"/>
      <c r="N6" s="17"/>
      <c r="O6" s="17"/>
      <c r="P6" s="16"/>
      <c r="Q6" s="16"/>
      <c r="R6" s="18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</row>
    <row r="7" ht="13.5" customHeight="1">
      <c r="A7" s="19" t="s">
        <v>26</v>
      </c>
      <c r="B7" s="19" t="s">
        <v>27</v>
      </c>
      <c r="C7" s="19" t="s">
        <v>28</v>
      </c>
      <c r="D7" s="12" t="s">
        <v>29</v>
      </c>
      <c r="E7" s="15" t="str">
        <f>IFERROR(__xludf.DUMMYFUNCTION("GOOGLETRANSLATE(D7, ""hi"", ""gu"")"),"સમાધાન ID")</f>
        <v>સમાધાન ID</v>
      </c>
      <c r="F7" s="20" t="str">
        <f>IFERROR(__xludf.DUMMYFUNCTION("GOOGLETRANSLATE(E7, ""en"", ""kn"")"),"ಸಮಾಧಾನ್ ಐಡಿ")</f>
        <v>ಸಮಾಧಾನ್ ಐಡಿ</v>
      </c>
      <c r="G7" s="20" t="str">
        <f>IFERROR(__xludf.DUMMYFUNCTION("GOOGLETRANSLATE(C7, ""en"", ""or"")"),"ବନ୍ଦୋବସ୍ତ ପରିଚୟପତ୍ର")</f>
        <v>ବନ୍ଦୋବସ୍ତ ପରିଚୟପତ୍ର</v>
      </c>
      <c r="H7" s="16" t="s">
        <v>30</v>
      </c>
      <c r="I7" s="16" t="s">
        <v>31</v>
      </c>
      <c r="J7" s="16"/>
      <c r="K7" s="12"/>
      <c r="L7" s="12"/>
      <c r="M7" s="12"/>
      <c r="N7" s="12"/>
      <c r="O7" s="12"/>
      <c r="P7" s="12"/>
      <c r="Q7" s="16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</row>
    <row r="8" ht="13.5" customHeight="1">
      <c r="A8" s="19" t="s">
        <v>26</v>
      </c>
      <c r="B8" s="10" t="s">
        <v>32</v>
      </c>
      <c r="C8" s="19" t="s">
        <v>33</v>
      </c>
      <c r="D8" s="12" t="s">
        <v>34</v>
      </c>
      <c r="E8" s="15" t="str">
        <f>IFERROR(__xludf.DUMMYFUNCTION("GOOGLETRANSLATE(D8, ""hi"", ""gu"")"),"વસાહતનું નામ")</f>
        <v>વસાહતનું નામ</v>
      </c>
      <c r="F8" s="20" t="s">
        <v>35</v>
      </c>
      <c r="G8" s="20" t="str">
        <f>IFERROR(__xludf.DUMMYFUNCTION("GOOGLETRANSLATE(C8, ""en"", ""or"")"),"ବସତିର ନାମ")</f>
        <v>ବସତିର ନାମ</v>
      </c>
      <c r="H8" s="16"/>
      <c r="I8" s="16"/>
      <c r="J8" s="16"/>
      <c r="K8" s="12"/>
      <c r="L8" s="12"/>
      <c r="M8" s="12"/>
      <c r="N8" s="12"/>
      <c r="O8" s="12"/>
      <c r="P8" s="12"/>
      <c r="Q8" s="16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</row>
    <row r="9" ht="13.5" customHeight="1">
      <c r="A9" s="19" t="s">
        <v>36</v>
      </c>
      <c r="B9" s="19" t="s">
        <v>37</v>
      </c>
      <c r="C9" s="19" t="s">
        <v>38</v>
      </c>
      <c r="D9" s="12" t="s">
        <v>39</v>
      </c>
      <c r="E9" s="15" t="str">
        <f>IFERROR(__xludf.DUMMYFUNCTION("GOOGLETRANSLATE(D9, ""hi"", ""gu"")"),"આ વસાહતમાં કેટલા ઘર છે?")</f>
        <v>આ વસાહતમાં કેટલા ઘર છે?</v>
      </c>
      <c r="F9" s="20" t="s">
        <v>40</v>
      </c>
      <c r="G9" s="20" t="str">
        <f>IFERROR(__xludf.DUMMYFUNCTION("GOOGLETRANSLATE(C9, ""en"", ""or"")"),"ଏହି ବସ୍ତିରେ କେତେ ପରିବାର ଅଛନ୍ତି?")</f>
        <v>ଏହି ବସ୍ତିରେ କେତେ ପରିବାର ଅଛନ୍ତି?</v>
      </c>
      <c r="H9" s="16"/>
      <c r="I9" s="16"/>
      <c r="J9" s="16" t="s">
        <v>31</v>
      </c>
      <c r="P9" s="12"/>
      <c r="Q9" s="12"/>
      <c r="R9" s="12" t="s">
        <v>41</v>
      </c>
      <c r="S9" s="12" t="s">
        <v>42</v>
      </c>
      <c r="T9" s="12" t="s">
        <v>43</v>
      </c>
      <c r="U9" s="12" t="str">
        <f>IFERROR(__xludf.DUMMYFUNCTION("GOOGLETRANSLATE(T9, ""hi"", ""gu"")"),"૧ થી મોટું અથવા બરાબર હોવું જોઈએ")</f>
        <v>૧ થી મોટું અથવા બરાબર હોવું જોઈએ</v>
      </c>
      <c r="V9" s="21" t="s">
        <v>44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</row>
    <row r="10" ht="13.5" customHeight="1">
      <c r="A10" s="22" t="s">
        <v>45</v>
      </c>
      <c r="B10" s="22" t="s">
        <v>46</v>
      </c>
      <c r="C10" s="22" t="s">
        <v>47</v>
      </c>
      <c r="D10" s="23"/>
      <c r="E10" s="24"/>
      <c r="F10" s="24"/>
      <c r="G10" s="20"/>
      <c r="H10" s="25"/>
      <c r="I10" s="25"/>
      <c r="J10" s="25"/>
      <c r="K10" s="26"/>
      <c r="L10" s="26"/>
      <c r="M10" s="26"/>
      <c r="N10" s="26"/>
      <c r="O10" s="26"/>
      <c r="P10" s="23"/>
      <c r="Q10" s="23" t="s">
        <v>48</v>
      </c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</row>
    <row r="11" ht="13.5" customHeight="1">
      <c r="A11" s="22" t="s">
        <v>49</v>
      </c>
      <c r="B11" s="27" t="s">
        <v>50</v>
      </c>
      <c r="C11" s="28" t="s">
        <v>51</v>
      </c>
      <c r="D11" s="23"/>
      <c r="E11" s="24"/>
      <c r="F11" s="24"/>
      <c r="G11" s="20"/>
      <c r="H11" s="25"/>
      <c r="I11" s="25"/>
      <c r="J11" s="25"/>
      <c r="K11" s="26"/>
      <c r="L11" s="26"/>
      <c r="M11" s="26"/>
      <c r="N11" s="26"/>
      <c r="O11" s="26"/>
      <c r="P11" s="23"/>
      <c r="Q11" s="23" t="s">
        <v>48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ht="13.5" customHeight="1">
      <c r="A12" s="22" t="s">
        <v>52</v>
      </c>
      <c r="B12" s="27" t="s">
        <v>53</v>
      </c>
      <c r="C12" s="29" t="s">
        <v>54</v>
      </c>
      <c r="D12" s="23"/>
      <c r="E12" s="24"/>
      <c r="F12" s="24"/>
      <c r="G12" s="20"/>
      <c r="H12" s="25"/>
      <c r="I12" s="25"/>
      <c r="J12" s="25"/>
      <c r="K12" s="26"/>
      <c r="L12" s="26"/>
      <c r="M12" s="26"/>
      <c r="N12" s="26"/>
      <c r="O12" s="26"/>
      <c r="P12" s="23"/>
      <c r="Q12" s="23" t="s">
        <v>48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</row>
    <row r="13">
      <c r="A13" s="19"/>
      <c r="B13" s="19"/>
      <c r="C13" s="19"/>
      <c r="E13" s="15"/>
      <c r="F13" s="15"/>
      <c r="G13" s="20"/>
      <c r="R13" s="30"/>
    </row>
    <row r="14" ht="13.5" customHeight="1">
      <c r="A14" s="19" t="s">
        <v>36</v>
      </c>
      <c r="B14" s="19" t="s">
        <v>55</v>
      </c>
      <c r="C14" s="19" t="s">
        <v>56</v>
      </c>
      <c r="D14" s="12" t="str">
        <f>IFERROR(__xludf.DUMMYFUNCTION("GOOGLETRANSLATE(C14, ""en"", ""hi"")"),"अनुसूचित जाति श्रेणी के अंतर्गत कुल परिवारों की संख्या")</f>
        <v>अनुसूचित जाति श्रेणी के अंतर्गत कुल परिवारों की संख्या</v>
      </c>
      <c r="E14" s="15" t="str">
        <f>IFERROR(__xludf.DUMMYFUNCTION("GOOGLETRANSLATE(D14, ""hi"", ""gu"")"),"અનુસૂચિત જાતિ શ્રેણી હેઠળ કુલ પરિવારોની સંખ્યા")</f>
        <v>અનુસૂચિત જાતિ શ્રેણી હેઠળ કુલ પરિવારોની સંખ્યા</v>
      </c>
      <c r="F14" s="20" t="s">
        <v>57</v>
      </c>
      <c r="G14" s="20" t="str">
        <f>IFERROR(__xludf.DUMMYFUNCTION("GOOGLETRANSLATE(C14, ""en"", ""or"")"),"ଅନୁସୂଚିତ ଜାତି ବର୍ଗ ଅଧୀନରେ ମୋଟ ପରିବାର ଗଣନା")</f>
        <v>ଅନୁସୂଚିତ ଜାତି ବର୍ଗ ଅଧୀନରେ ମୋଟ ପରିବାର ଗଣନା</v>
      </c>
      <c r="H14" s="16"/>
      <c r="I14" s="16"/>
      <c r="J14" s="16" t="s">
        <v>31</v>
      </c>
      <c r="K14" s="12"/>
      <c r="L14" s="12"/>
      <c r="M14" s="12"/>
      <c r="N14" s="12"/>
      <c r="O14" s="12"/>
      <c r="P14" s="12"/>
      <c r="Q14" s="12"/>
      <c r="R14" s="31" t="s">
        <v>58</v>
      </c>
      <c r="S14" s="32" t="s">
        <v>59</v>
      </c>
      <c r="T14" s="32" t="str">
        <f>IFERROR(__xludf.DUMMYFUNCTION("GOOGLETRANSLATE(S14, ""en"", ""hi"")"),"कुल परिवारों की संख्या से अधिक नहीं होनी चाहिए।")</f>
        <v>कुल परिवारों की संख्या से अधिक नहीं होनी चाहिए।</v>
      </c>
      <c r="U14" s="32" t="str">
        <f>IFERROR(__xludf.DUMMYFUNCTION("GOOGLETRANSLATE(S14, ""en"", ""gu"")"),"કુલ ઘરોની સંખ્યા કરતાં વધુ ન હોવી જોઈએ")</f>
        <v>કુલ ઘરોની સંખ્યા કરતાં વધુ ન હોવી જોઈએ</v>
      </c>
      <c r="V14" s="21" t="s">
        <v>60</v>
      </c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</row>
    <row r="15" ht="13.5" customHeight="1">
      <c r="A15" s="19" t="s">
        <v>36</v>
      </c>
      <c r="B15" s="19" t="s">
        <v>61</v>
      </c>
      <c r="C15" s="19" t="s">
        <v>62</v>
      </c>
      <c r="D15" s="12" t="str">
        <f>IFERROR(__xludf.DUMMYFUNCTION("GOOGLETRANSLATE(C15, ""en"", ""hi"")"),"अनुसूचित जनजाति श्रेणी के अंतर्गत कुल परिवारों की संख्या")</f>
        <v>अनुसूचित जनजाति श्रेणी के अंतर्गत कुल परिवारों की संख्या</v>
      </c>
      <c r="E15" s="15" t="str">
        <f>IFERROR(__xludf.DUMMYFUNCTION("GOOGLETRANSLATE(D15, ""hi"", ""gu"")"),"ST શ્રેણી હેઠળ કુલ પરિવારોની સંખ્યા")</f>
        <v>ST શ્રેણી હેઠળ કુલ પરિવારોની સંખ્યા</v>
      </c>
      <c r="F15" s="20" t="s">
        <v>63</v>
      </c>
      <c r="G15" s="20" t="str">
        <f>IFERROR(__xludf.DUMMYFUNCTION("GOOGLETRANSLATE(C15, ""en"", ""or"")"),"ଅନୁସୂଚିତ ଜନଜାତି ବର୍ଗ ଅଧୀନରେ ମୋଟ ପରିବାର ଗଣନା")</f>
        <v>ଅନୁସୂଚିତ ଜନଜାତି ବର୍ଗ ଅଧୀନରେ ମୋଟ ପରିବାର ଗଣନା</v>
      </c>
      <c r="H15" s="16"/>
      <c r="I15" s="16"/>
      <c r="J15" s="16" t="s">
        <v>31</v>
      </c>
      <c r="K15" s="12"/>
      <c r="L15" s="12"/>
      <c r="M15" s="12"/>
      <c r="N15" s="12"/>
      <c r="O15" s="12"/>
      <c r="P15" s="12"/>
      <c r="Q15" s="12"/>
      <c r="R15" s="31" t="s">
        <v>64</v>
      </c>
      <c r="S15" s="32" t="s">
        <v>59</v>
      </c>
      <c r="T15" s="32" t="str">
        <f>IFERROR(__xludf.DUMMYFUNCTION("GOOGLETRANSLATE(S15, ""en"", ""hi"")"),"कुल परिवारों की संख्या से अधिक नहीं होनी चाहिए।")</f>
        <v>कुल परिवारों की संख्या से अधिक नहीं होनी चाहिए।</v>
      </c>
      <c r="U15" s="32" t="str">
        <f>IFERROR(__xludf.DUMMYFUNCTION("GOOGLETRANSLATE(S15, ""en"", ""gu"")"),"કુલ ઘરોની સંખ્યા કરતાં વધુ ન હોવી જોઈએ")</f>
        <v>કુલ ઘરોની સંખ્યા કરતાં વધુ ન હોવી જોઈએ</v>
      </c>
      <c r="V15" s="21" t="s">
        <v>60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</row>
    <row r="16" ht="13.5" customHeight="1">
      <c r="A16" s="19" t="s">
        <v>36</v>
      </c>
      <c r="B16" s="19" t="s">
        <v>65</v>
      </c>
      <c r="C16" s="19" t="s">
        <v>66</v>
      </c>
      <c r="D16" s="12" t="str">
        <f>IFERROR(__xludf.DUMMYFUNCTION("GOOGLETRANSLATE(C16, ""en"", ""hi"")"),"ओबीसी श्रेणी के अंतर्गत कुल परिवारों की संख्या")</f>
        <v>ओबीसी श्रेणी के अंतर्गत कुल परिवारों की संख्या</v>
      </c>
      <c r="E16" s="15" t="str">
        <f>IFERROR(__xludf.DUMMYFUNCTION("GOOGLETRANSLATE(D16, ""hi"", ""gu"")"),"ઓબીસી શ્રેણી હેઠળ કુલ પરિવારોની સંખ્યા")</f>
        <v>ઓબીસી શ્રેણી હેઠળ કુલ પરિવારોની સંખ્યા</v>
      </c>
      <c r="F16" s="20" t="s">
        <v>67</v>
      </c>
      <c r="G16" s="20" t="str">
        <f>IFERROR(__xludf.DUMMYFUNCTION("GOOGLETRANSLATE(C16, ""en"", ""or"")"),"ଓବିସି ବର୍ଗ ଅଧୀନରେ ମୋଟ ପରିବାର ଗଣନା")</f>
        <v>ଓବିସି ବର୍ଗ ଅଧୀନରେ ମୋଟ ପରିବାର ଗଣନା</v>
      </c>
      <c r="H16" s="16"/>
      <c r="I16" s="16"/>
      <c r="J16" s="16" t="s">
        <v>31</v>
      </c>
      <c r="K16" s="12"/>
      <c r="L16" s="12"/>
      <c r="M16" s="12"/>
      <c r="N16" s="12"/>
      <c r="O16" s="12"/>
      <c r="P16" s="12"/>
      <c r="Q16" s="12"/>
      <c r="R16" s="31" t="s">
        <v>68</v>
      </c>
      <c r="S16" s="32" t="s">
        <v>59</v>
      </c>
      <c r="T16" s="32" t="str">
        <f>IFERROR(__xludf.DUMMYFUNCTION("GOOGLETRANSLATE(S16, ""en"", ""hi"")"),"कुल परिवारों की संख्या से अधिक नहीं होनी चाहिए।")</f>
        <v>कुल परिवारों की संख्या से अधिक नहीं होनी चाहिए।</v>
      </c>
      <c r="U16" s="32" t="str">
        <f>IFERROR(__xludf.DUMMYFUNCTION("GOOGLETRANSLATE(S16, ""en"", ""gu"")"),"કુલ ઘરોની સંખ્યા કરતાં વધુ ન હોવી જોઈએ")</f>
        <v>કુલ ઘરોની સંખ્યા કરતાં વધુ ન હોવી જોઈએ</v>
      </c>
      <c r="V16" s="21" t="s">
        <v>60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</row>
    <row r="17" ht="13.5" customHeight="1">
      <c r="A17" s="19" t="s">
        <v>36</v>
      </c>
      <c r="B17" s="19" t="s">
        <v>69</v>
      </c>
      <c r="C17" s="19" t="s">
        <v>70</v>
      </c>
      <c r="D17" s="12" t="str">
        <f>IFERROR(__xludf.DUMMYFUNCTION("GOOGLETRANSLATE(C17, ""en"", ""hi"")"),"सामान्य श्रेणी के अंतर्गत कुल परिवारों की संख्या")</f>
        <v>सामान्य श्रेणी के अंतर्गत कुल परिवारों की संख्या</v>
      </c>
      <c r="E17" s="15" t="str">
        <f>IFERROR(__xludf.DUMMYFUNCTION("GOOGLETRANSLATE(D17, ""hi"", ""gu"")"),"સામાન્ય શ્રેણી હેઠળ કુલ પરિવારોની સંખ્યા")</f>
        <v>સામાન્ય શ્રેણી હેઠળ કુલ પરિવારોની સંખ્યા</v>
      </c>
      <c r="F17" s="20" t="s">
        <v>71</v>
      </c>
      <c r="G17" s="20" t="str">
        <f>IFERROR(__xludf.DUMMYFUNCTION("GOOGLETRANSLATE(C17, ""en"", ""or"")"),"ସାଧାରଣ ବର୍ଗ ଅଧୀନରେ ମୋଟ ପରିବାର ଗଣନା")</f>
        <v>ସାଧାରଣ ବର୍ଗ ଅଧୀନରେ ମୋଟ ପରିବାର ଗଣନା</v>
      </c>
      <c r="H17" s="16"/>
      <c r="I17" s="16"/>
      <c r="J17" s="16" t="s">
        <v>31</v>
      </c>
      <c r="K17" s="12"/>
      <c r="L17" s="12"/>
      <c r="M17" s="12"/>
      <c r="N17" s="12"/>
      <c r="O17" s="12"/>
      <c r="P17" s="12"/>
      <c r="Q17" s="12"/>
      <c r="R17" s="31" t="s">
        <v>72</v>
      </c>
      <c r="S17" s="32" t="s">
        <v>59</v>
      </c>
      <c r="T17" s="32" t="str">
        <f>IFERROR(__xludf.DUMMYFUNCTION("GOOGLETRANSLATE(S17, ""en"", ""hi"")"),"कुल परिवारों की संख्या से अधिक नहीं होनी चाहिए।")</f>
        <v>कुल परिवारों की संख्या से अधिक नहीं होनी चाहिए।</v>
      </c>
      <c r="U17" s="32" t="str">
        <f>IFERROR(__xludf.DUMMYFUNCTION("GOOGLETRANSLATE(S17, ""en"", ""gu"")"),"કુલ ઘરોની સંખ્યા કરતાં વધુ ન હોવી જોઈએ")</f>
        <v>કુલ ઘરોની સંખ્યા કરતાં વધુ ન હોવી જોઈએ</v>
      </c>
      <c r="V17" s="21" t="s">
        <v>60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</row>
    <row r="18" ht="13.5" customHeight="1">
      <c r="A18" s="33" t="s">
        <v>36</v>
      </c>
      <c r="B18" s="33" t="s">
        <v>73</v>
      </c>
      <c r="C18" s="34" t="s">
        <v>74</v>
      </c>
      <c r="D18" s="35" t="s">
        <v>75</v>
      </c>
      <c r="E18" s="36" t="str">
        <f>IFERROR(__xludf.DUMMYFUNCTION("GOOGLETRANSLATE(D18, ""hi"", ""gu"")"),"વસાહતમાં કેટલા પરિવારો પાસે BPL કાર્ડ છે?")</f>
        <v>વસાહતમાં કેટલા પરિવારો પાસે BPL કાર્ડ છે?</v>
      </c>
      <c r="F18" s="37" t="s">
        <v>76</v>
      </c>
      <c r="G18" s="20"/>
      <c r="H18" s="38"/>
      <c r="I18" s="38"/>
      <c r="J18" s="38"/>
      <c r="K18" s="35" t="s">
        <v>77</v>
      </c>
      <c r="L18" s="35" t="s">
        <v>78</v>
      </c>
      <c r="M18" s="35" t="str">
        <f>IFERROR(__xludf.DUMMYFUNCTION("GOOGLETRANSLATE(K18, ""en"", ""gu"")"),"કુલ ઘરોની સંખ્યા કરતાં વધુ ન હોઈ શકે")</f>
        <v>કુલ ઘરોની સંખ્યા કરતાં વધુ ન હોઈ શકે</v>
      </c>
      <c r="N18" s="35"/>
      <c r="O18" s="35"/>
      <c r="P18" s="35"/>
      <c r="Q18" s="35" t="s">
        <v>48</v>
      </c>
      <c r="R18" s="35"/>
      <c r="S18" s="35" t="s">
        <v>59</v>
      </c>
      <c r="T18" s="35" t="str">
        <f>IFERROR(__xludf.DUMMYFUNCTION("GOOGLETRANSLATE(S18, ""en"", ""hi"")"),"कुल परिवारों की संख्या से अधिक नहीं होनी चाहिए।")</f>
        <v>कुल परिवारों की संख्या से अधिक नहीं होनी चाहिए।</v>
      </c>
      <c r="U18" s="35" t="str">
        <f>IFERROR(__xludf.DUMMYFUNCTION("GOOGLETRANSLATE(S18, ""en"", ""gu"")"),"કુલ ઘરોની સંખ્યા કરતાં વધુ ન હોવી જોઈએ")</f>
        <v>કુલ ઘરોની સંખ્યા કરતાં વધુ ન હોવી જોઈએ</v>
      </c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</row>
    <row r="19" ht="13.5" customHeight="1">
      <c r="A19" s="19"/>
      <c r="B19" s="19"/>
      <c r="C19" s="19"/>
      <c r="D19" s="12"/>
      <c r="E19" s="15"/>
      <c r="F19" s="20"/>
      <c r="G19" s="20"/>
      <c r="H19" s="16"/>
      <c r="I19" s="16"/>
      <c r="J19" s="16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</row>
    <row r="20" ht="13.5" customHeight="1">
      <c r="A20" s="22" t="s">
        <v>36</v>
      </c>
      <c r="B20" s="22" t="s">
        <v>79</v>
      </c>
      <c r="C20" s="22" t="s">
        <v>80</v>
      </c>
      <c r="D20" s="23" t="s">
        <v>81</v>
      </c>
      <c r="E20" s="24" t="str">
        <f>IFERROR(__xludf.DUMMYFUNCTION("GOOGLETRANSLATE(D20, ""hi"", ""gu"")"),"બ્લોક મુખ્યાલયથી વસાહતનું અંતર કેટલું છે (કિલોમીટરમાં)")</f>
        <v>બ્લોક મુખ્યાલયથી વસાહતનું અંતર કેટલું છે (કિલોમીટરમાં)</v>
      </c>
      <c r="F20" s="39" t="s">
        <v>82</v>
      </c>
      <c r="G20" s="20"/>
      <c r="H20" s="25"/>
      <c r="I20" s="25"/>
      <c r="J20" s="25"/>
      <c r="K20" s="23"/>
      <c r="L20" s="23"/>
      <c r="M20" s="23"/>
      <c r="N20" s="23"/>
      <c r="O20" s="23"/>
      <c r="P20" s="23"/>
      <c r="Q20" s="23" t="s">
        <v>48</v>
      </c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</row>
    <row r="21" ht="13.5" customHeight="1">
      <c r="A21" s="19" t="s">
        <v>83</v>
      </c>
      <c r="B21" s="19" t="s">
        <v>84</v>
      </c>
      <c r="C21" s="19" t="s">
        <v>85</v>
      </c>
      <c r="D21" s="12" t="s">
        <v>81</v>
      </c>
      <c r="E21" s="15" t="str">
        <f>IFERROR(__xludf.DUMMYFUNCTION("GOOGLETRANSLATE(D21, ""hi"", ""gu"")"),"બ્લોક મુખ્યાલયથી વસાહતનું અંતર કેટલું છે (કિલોમીટરમાં)")</f>
        <v>બ્લોક મુખ્યાલયથી વસાહતનું અંતર કેટલું છે (કિલોમીટરમાં)</v>
      </c>
      <c r="F21" s="20" t="s">
        <v>82</v>
      </c>
      <c r="G21" s="20" t="str">
        <f>IFERROR(__xludf.DUMMYFUNCTION("GOOGLETRANSLATE(C21, ""en"", ""or"")"),"ବ୍ଲକ ମୁଖ୍ୟାଳୟଠାରୁ ବସ୍ତିର ଦୂରତା")</f>
        <v>ବ୍ଲକ ମୁଖ୍ୟାଳୟଠାରୁ ବସ୍ତିର ଦୂରତା</v>
      </c>
      <c r="H21" s="16"/>
      <c r="I21" s="16"/>
      <c r="J21" s="16"/>
      <c r="K21" s="12" t="s">
        <v>86</v>
      </c>
      <c r="L21" s="12" t="s">
        <v>87</v>
      </c>
      <c r="M21" s="12" t="s">
        <v>88</v>
      </c>
      <c r="N21" s="12" t="s">
        <v>89</v>
      </c>
      <c r="O21" s="21" t="s">
        <v>90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</row>
    <row r="22" ht="13.5" customHeight="1">
      <c r="A22" s="19" t="s">
        <v>91</v>
      </c>
      <c r="B22" s="19" t="s">
        <v>92</v>
      </c>
      <c r="C22" s="10" t="s">
        <v>93</v>
      </c>
      <c r="D22" s="12" t="s">
        <v>94</v>
      </c>
      <c r="E22" s="15" t="str">
        <f>IFERROR(__xludf.DUMMYFUNCTION("GOOGLETRANSLATE(D22, ""hi"", ""gu"")"),"શું આ વસાહત આખું વર્ષ રસ્તા દ્વારા જોડાયેલી રહે છે?")</f>
        <v>શું આ વસાહત આખું વર્ષ રસ્તા દ્વારા જોડાયેલી રહે છે?</v>
      </c>
      <c r="F22" s="20" t="s">
        <v>95</v>
      </c>
      <c r="G22" s="20" t="str">
        <f>IFERROR(__xludf.DUMMYFUNCTION("GOOGLETRANSLATE(C22, ""en"", ""or"")"),"ବର୍ଷସାରା ଏହି ବସ୍ତି ରାସ୍ତା ଦ୍ୱାରା ସଂଯୋଗିତ କି?
")</f>
        <v>ବର୍ଷସାରା ଏହି ବସ୍ତି ରାସ୍ତା ଦ୍ୱାରା ସଂଯୋଗିତ କି?
</v>
      </c>
      <c r="H22" s="16"/>
      <c r="I22" s="16"/>
      <c r="J22" s="16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</row>
    <row r="23" ht="13.5" customHeight="1">
      <c r="A23" s="19" t="s">
        <v>91</v>
      </c>
      <c r="B23" s="19" t="s">
        <v>96</v>
      </c>
      <c r="C23" s="19" t="s">
        <v>97</v>
      </c>
      <c r="D23" s="12" t="s">
        <v>98</v>
      </c>
      <c r="E23" s="15" t="str">
        <f>IFERROR(__xludf.DUMMYFUNCTION("GOOGLETRANSLATE(D23, ""hi"", ""gu"")"),"શું વસાહતમાં વીજળીની સુવિધા છે?")</f>
        <v>શું વસાહતમાં વીજળીની સુવિધા છે?</v>
      </c>
      <c r="F23" s="20" t="s">
        <v>99</v>
      </c>
      <c r="G23" s="20" t="str">
        <f>IFERROR(__xludf.DUMMYFUNCTION("GOOGLETRANSLATE(C23, ""en"", ""or"")"),"ବସ୍ତିରେ ବିଦ୍ୟୁତ୍ ସଂଯୋଗ ଅଛି କି?")</f>
        <v>ବସ୍ତିରେ ବିଦ୍ୟୁତ୍ ସଂଯୋଗ ଅଛି କି?</v>
      </c>
      <c r="H23" s="16"/>
      <c r="I23" s="16"/>
      <c r="J23" s="16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</row>
    <row r="24" ht="13.5" customHeight="1">
      <c r="A24" s="10"/>
      <c r="B24" s="10"/>
      <c r="C24" s="10"/>
      <c r="D24" s="11"/>
      <c r="E24" s="15"/>
      <c r="F24" s="40"/>
      <c r="G24" s="20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</row>
    <row r="25" ht="13.5" customHeight="1">
      <c r="A25" s="41" t="s">
        <v>100</v>
      </c>
      <c r="B25" s="41" t="s">
        <v>101</v>
      </c>
      <c r="C25" s="41" t="s">
        <v>102</v>
      </c>
      <c r="D25" s="32" t="s">
        <v>103</v>
      </c>
      <c r="E25" s="42" t="str">
        <f>IFERROR(__xludf.DUMMYFUNCTION("GOOGLETRANSLATE(D25, ""hi"", ""gu"")"),"જમીન ધારણના આધારે આ વસાહતમાં ખેડૂત પરિવારોની સંખ્યા")</f>
        <v>જમીન ધારણના આધારે આ વસાહતમાં ખેડૂત પરિવારોની સંખ્યા</v>
      </c>
      <c r="F25" s="43" t="s">
        <v>104</v>
      </c>
      <c r="G25" s="20" t="str">
        <f>IFERROR(__xludf.DUMMYFUNCTION("GOOGLETRANSLATE(C25, ""en"", ""or"")"),"ଏହି ବସ୍ତିରେ ଜମି ମାଲିକାନା ଆଧାରରେ ଚାଷୀ ପରିବାର ସଂଖ୍ୟା")</f>
        <v>ଏହି ବସ୍ତିରେ ଜମି ମାଲିକାନା ଆଧାରରେ ଚାଷୀ ପରିବାର ସଂଖ୍ୟା</v>
      </c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</row>
    <row r="26" ht="13.5" customHeight="1">
      <c r="A26" s="41" t="s">
        <v>36</v>
      </c>
      <c r="B26" s="41" t="s">
        <v>105</v>
      </c>
      <c r="C26" s="41" t="s">
        <v>106</v>
      </c>
      <c r="D26" s="32" t="s">
        <v>107</v>
      </c>
      <c r="E26" s="42" t="str">
        <f>IFERROR(__xludf.DUMMYFUNCTION("GOOGLETRANSLATE(D26, ""hi"", ""gu"")"),"ભૂમિહીન ખેડૂતો")</f>
        <v>ભૂમિહીન ખેડૂતો</v>
      </c>
      <c r="F26" s="43" t="s">
        <v>108</v>
      </c>
      <c r="G26" s="20" t="str">
        <f>IFERROR(__xludf.DUMMYFUNCTION("GOOGLETRANSLATE(C26, ""en"", ""or"")"),"ଜମି ନଥିବା ଚାଷୀଙ୍କ ସଂଖ୍ୟା")</f>
        <v>ଜମି ନଥିବା ଚାଷୀଙ୍କ ସଂଖ୍ୟା</v>
      </c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1" t="s">
        <v>109</v>
      </c>
      <c r="S26" s="32" t="s">
        <v>59</v>
      </c>
      <c r="T26" s="32" t="str">
        <f>IFERROR(__xludf.DUMMYFUNCTION("GOOGLETRANSLATE(S26, ""en"", ""hi"")"),"कुल परिवारों की संख्या से अधिक नहीं होनी चाहिए।")</f>
        <v>कुल परिवारों की संख्या से अधिक नहीं होनी चाहिए।</v>
      </c>
      <c r="U26" s="32" t="str">
        <f>IFERROR(__xludf.DUMMYFUNCTION("GOOGLETRANSLATE(S26, ""en"", ""gu"")"),"કુલ ઘરોની સંખ્યા કરતાં વધુ ન હોવી જોઈએ")</f>
        <v>કુલ ઘરોની સંખ્યા કરતાં વધુ ન હોવી જોઈએ</v>
      </c>
      <c r="V26" s="44" t="s">
        <v>60</v>
      </c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</row>
    <row r="27" ht="13.5" customHeight="1">
      <c r="A27" s="41" t="s">
        <v>36</v>
      </c>
      <c r="B27" s="41" t="s">
        <v>110</v>
      </c>
      <c r="C27" s="41" t="s">
        <v>111</v>
      </c>
      <c r="D27" s="32" t="s">
        <v>112</v>
      </c>
      <c r="E27" s="42" t="str">
        <f>IFERROR(__xludf.DUMMYFUNCTION("GOOGLETRANSLATE(D27, ""hi"", ""gu"")"),"સીમાંત ખેડૂત (૨.૫ એકરથી ઓછો)")</f>
        <v>સીમાંત ખેડૂત (૨.૫ એકરથી ઓછો)</v>
      </c>
      <c r="F27" s="43" t="s">
        <v>113</v>
      </c>
      <c r="G27" s="20" t="str">
        <f>IFERROR(__xludf.DUMMYFUNCTION("GOOGLETRANSLATE(C27, ""en"", ""or"")"),"୨.୫ ଏକରରୁ କମ୍ ଜମି ଥିବା ଚାଷୀଙ୍କ ସଂଖ୍ୟା")</f>
        <v>୨.୫ ଏକରରୁ କମ୍ ଜମି ଥିବା ଚାଷୀଙ୍କ ସଂଖ୍ୟା</v>
      </c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1" t="s">
        <v>109</v>
      </c>
      <c r="S27" s="32" t="s">
        <v>59</v>
      </c>
      <c r="T27" s="32" t="str">
        <f>IFERROR(__xludf.DUMMYFUNCTION("GOOGLETRANSLATE(S27, ""en"", ""hi"")"),"कुल परिवारों की संख्या से अधिक नहीं होनी चाहिए।")</f>
        <v>कुल परिवारों की संख्या से अधिक नहीं होनी चाहिए।</v>
      </c>
      <c r="U27" s="32" t="str">
        <f>IFERROR(__xludf.DUMMYFUNCTION("GOOGLETRANSLATE(S27, ""en"", ""gu"")"),"કુલ ઘરોની સંખ્યા કરતાં વધુ ન હોવી જોઈએ")</f>
        <v>કુલ ઘરોની સંખ્યા કરતાં વધુ ન હોવી જોઈએ</v>
      </c>
      <c r="V27" s="44" t="s">
        <v>60</v>
      </c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</row>
    <row r="28" ht="13.5" customHeight="1">
      <c r="A28" s="41" t="s">
        <v>36</v>
      </c>
      <c r="B28" s="41" t="s">
        <v>114</v>
      </c>
      <c r="C28" s="41" t="s">
        <v>115</v>
      </c>
      <c r="D28" s="32" t="s">
        <v>116</v>
      </c>
      <c r="E28" s="42" t="str">
        <f>IFERROR(__xludf.DUMMYFUNCTION("GOOGLETRANSLATE(D28, ""hi"", ""gu"")"),"નાના ખેડૂતો (૨.૫ થી ૫ એકર)")</f>
        <v>નાના ખેડૂતો (૨.૫ થી ૫ એકર)</v>
      </c>
      <c r="F28" s="43" t="s">
        <v>117</v>
      </c>
      <c r="G28" s="20" t="str">
        <f>IFERROR(__xludf.DUMMYFUNCTION("GOOGLETRANSLATE(C28, ""en"", ""or"")"),"ଛୋଟ ଜମି ଥିବା ଚାଷୀଙ୍କ ସଂଖ୍ୟା (୨.୫ ରୁ ୫ ଏକର)")</f>
        <v>ଛୋଟ ଜମି ଥିବା ଚାଷୀଙ୍କ ସଂଖ୍ୟା (୨.୫ ରୁ ୫ ଏକର)</v>
      </c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1" t="s">
        <v>109</v>
      </c>
      <c r="S28" s="32" t="s">
        <v>59</v>
      </c>
      <c r="T28" s="32" t="str">
        <f>IFERROR(__xludf.DUMMYFUNCTION("GOOGLETRANSLATE(S28, ""en"", ""hi"")"),"कुल परिवारों की संख्या से अधिक नहीं होनी चाहिए।")</f>
        <v>कुल परिवारों की संख्या से अधिक नहीं होनी चाहिए।</v>
      </c>
      <c r="U28" s="32" t="str">
        <f>IFERROR(__xludf.DUMMYFUNCTION("GOOGLETRANSLATE(S28, ""en"", ""gu"")"),"કુલ ઘરોની સંખ્યા કરતાં વધુ ન હોવી જોઈએ")</f>
        <v>કુલ ઘરોની સંખ્યા કરતાં વધુ ન હોવી જોઈએ</v>
      </c>
      <c r="V28" s="44" t="s">
        <v>60</v>
      </c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</row>
    <row r="29" ht="13.5" customHeight="1">
      <c r="A29" s="41" t="s">
        <v>36</v>
      </c>
      <c r="B29" s="41" t="s">
        <v>118</v>
      </c>
      <c r="C29" s="41" t="s">
        <v>119</v>
      </c>
      <c r="D29" s="32" t="s">
        <v>120</v>
      </c>
      <c r="E29" s="42" t="str">
        <f>IFERROR(__xludf.DUMMYFUNCTION("GOOGLETRANSLATE(D29, ""hi"", ""gu"")"),"મધ્યમ ખેડૂત (૫ થી ૧૦ એકર)")</f>
        <v>મધ્યમ ખેડૂત (૫ થી ૧૦ એકર)</v>
      </c>
      <c r="F29" s="43" t="s">
        <v>121</v>
      </c>
      <c r="G29" s="20" t="str">
        <f>IFERROR(__xludf.DUMMYFUNCTION("GOOGLETRANSLATE(C29, ""en"", ""or"")"),"ମଧ୍ୟମ ଜମି ଥିବା ଚାଷୀଙ୍କ ସଂଖ୍ୟା (୫ ରୁ ୧୦ ଏକର)")</f>
        <v>ମଧ୍ୟମ ଜମି ଥିବା ଚାଷୀଙ୍କ ସଂଖ୍ୟା (୫ ରୁ ୧୦ ଏକର)</v>
      </c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1" t="s">
        <v>109</v>
      </c>
      <c r="S29" s="32" t="s">
        <v>59</v>
      </c>
      <c r="T29" s="32" t="str">
        <f>IFERROR(__xludf.DUMMYFUNCTION("GOOGLETRANSLATE(S29, ""en"", ""hi"")"),"कुल परिवारों की संख्या से अधिक नहीं होनी चाहिए।")</f>
        <v>कुल परिवारों की संख्या से अधिक नहीं होनी चाहिए।</v>
      </c>
      <c r="U29" s="32" t="str">
        <f>IFERROR(__xludf.DUMMYFUNCTION("GOOGLETRANSLATE(S29, ""en"", ""gu"")"),"કુલ ઘરોની સંખ્યા કરતાં વધુ ન હોવી જોઈએ")</f>
        <v>કુલ ઘરોની સંખ્યા કરતાં વધુ ન હોવી જોઈએ</v>
      </c>
      <c r="V29" s="44" t="s">
        <v>60</v>
      </c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</row>
    <row r="30" ht="13.5" customHeight="1">
      <c r="A30" s="41" t="s">
        <v>36</v>
      </c>
      <c r="B30" s="41" t="s">
        <v>122</v>
      </c>
      <c r="C30" s="41" t="s">
        <v>123</v>
      </c>
      <c r="D30" s="32" t="s">
        <v>124</v>
      </c>
      <c r="E30" s="42" t="str">
        <f>IFERROR(__xludf.DUMMYFUNCTION("GOOGLETRANSLATE(D30, ""hi"", ""gu"")"),"મોટા ખેડૂતો (૧૦ એકરથી વધુ)")</f>
        <v>મોટા ખેડૂતો (૧૦ એકરથી વધુ)</v>
      </c>
      <c r="F30" s="43" t="s">
        <v>125</v>
      </c>
      <c r="G30" s="20" t="str">
        <f>IFERROR(__xludf.DUMMYFUNCTION("GOOGLETRANSLATE(C30, ""en"", ""or"")"),"ଅଧିକ ଜମି ଥିବା ଚାଷୀଙ୍କ ସଂଖ୍ୟା (&gt; ୧୦ ଏକର)")</f>
        <v>ଅଧିକ ଜମି ଥିବା ଚାଷୀଙ୍କ ସଂଖ୍ୟା (&gt; ୧୦ ଏକର)</v>
      </c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1" t="s">
        <v>109</v>
      </c>
      <c r="S30" s="32" t="s">
        <v>59</v>
      </c>
      <c r="T30" s="32" t="str">
        <f>IFERROR(__xludf.DUMMYFUNCTION("GOOGLETRANSLATE(S30, ""en"", ""hi"")"),"कुल परिवारों की संख्या से अधिक नहीं होनी चाहिए।")</f>
        <v>कुल परिवारों की संख्या से अधिक नहीं होनी चाहिए।</v>
      </c>
      <c r="U30" s="32" t="str">
        <f>IFERROR(__xludf.DUMMYFUNCTION("GOOGLETRANSLATE(S30, ""en"", ""gu"")"),"કુલ ઘરોની સંખ્યા કરતાં વધુ ન હોવી જોઈએ")</f>
        <v>કુલ ઘરોની સંખ્યા કરતાં વધુ ન હોવી જોઈએ</v>
      </c>
      <c r="V30" s="44" t="s">
        <v>60</v>
      </c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</row>
    <row r="31" ht="13.5" customHeight="1">
      <c r="A31" s="41" t="s">
        <v>126</v>
      </c>
      <c r="B31" s="41"/>
      <c r="C31" s="41"/>
      <c r="D31" s="45"/>
      <c r="E31" s="42"/>
      <c r="F31" s="46"/>
      <c r="G31" s="20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</row>
    <row r="32" ht="13.5" customHeight="1">
      <c r="A32" s="10"/>
      <c r="B32" s="10"/>
      <c r="C32" s="10"/>
      <c r="D32" s="11"/>
      <c r="E32" s="15"/>
      <c r="F32" s="40"/>
      <c r="G32" s="20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</row>
    <row r="33" ht="13.5" customHeight="1">
      <c r="A33" s="10" t="s">
        <v>100</v>
      </c>
      <c r="B33" s="10" t="s">
        <v>127</v>
      </c>
      <c r="C33" s="10" t="s">
        <v>128</v>
      </c>
      <c r="D33" s="12" t="s">
        <v>129</v>
      </c>
      <c r="E33" s="15" t="str">
        <f>IFERROR(__xludf.DUMMYFUNCTION("GOOGLETRANSLATE(D33, ""hi"", ""gu"")"),"પશુધન ગણતરી")</f>
        <v>પશુધન ગણતરી</v>
      </c>
      <c r="F33" s="20" t="s">
        <v>130</v>
      </c>
      <c r="G33" s="20" t="str">
        <f>IFERROR(__xludf.DUMMYFUNCTION("GOOGLETRANSLATE(C33, ""en"", ""or"")"),"ଏହି ବସ୍ତିରେ ପଶୁପାଳନ ଗଣନା")</f>
        <v>ଏହି ବସ୍ତିରେ ପଶୁପାଳନ ଗଣନା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</row>
    <row r="34" ht="13.5" customHeight="1">
      <c r="A34" s="10" t="s">
        <v>36</v>
      </c>
      <c r="B34" s="10" t="s">
        <v>131</v>
      </c>
      <c r="C34" s="10" t="s">
        <v>131</v>
      </c>
      <c r="D34" s="12" t="s">
        <v>132</v>
      </c>
      <c r="E34" s="15" t="str">
        <f>IFERROR(__xludf.DUMMYFUNCTION("GOOGLETRANSLATE(D34, ""hi"", ""gu"")"),"ગાય/ભેંસ")</f>
        <v>ગાય/ભેંસ</v>
      </c>
      <c r="F34" s="20" t="s">
        <v>133</v>
      </c>
      <c r="G34" s="20" t="str">
        <f>IFERROR(__xludf.DUMMYFUNCTION("GOOGLETRANSLATE(C34, ""en"", ""or"")"),"ଗୋରୁ")</f>
        <v>ଗୋରୁ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</row>
    <row r="35" ht="13.5" customHeight="1">
      <c r="A35" s="10" t="s">
        <v>36</v>
      </c>
      <c r="B35" s="10" t="s">
        <v>134</v>
      </c>
      <c r="C35" s="10" t="s">
        <v>134</v>
      </c>
      <c r="D35" s="12" t="s">
        <v>135</v>
      </c>
      <c r="E35" s="15" t="str">
        <f>IFERROR(__xludf.DUMMYFUNCTION("GOOGLETRANSLATE(D35, ""hi"", ""gu"")"),"બકરી")</f>
        <v>બકરી</v>
      </c>
      <c r="F35" s="20" t="s">
        <v>136</v>
      </c>
      <c r="G35" s="20" t="str">
        <f>IFERROR(__xludf.DUMMYFUNCTION("GOOGLETRANSLATE(C35, ""en"", ""or"")"),"ଛେଳି")</f>
        <v>ଛେଳି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</row>
    <row r="36" ht="13.5" customHeight="1">
      <c r="A36" s="10" t="s">
        <v>36</v>
      </c>
      <c r="B36" s="10" t="s">
        <v>137</v>
      </c>
      <c r="C36" s="10" t="s">
        <v>137</v>
      </c>
      <c r="D36" s="12" t="s">
        <v>138</v>
      </c>
      <c r="E36" s="15" t="str">
        <f>IFERROR(__xludf.DUMMYFUNCTION("GOOGLETRANSLATE(D36, ""hi"", ""gu"")"),"ઘેટું")</f>
        <v>ઘેટું</v>
      </c>
      <c r="F36" s="20" t="s">
        <v>139</v>
      </c>
      <c r="G36" s="20" t="str">
        <f>IFERROR(__xludf.DUMMYFUNCTION("GOOGLETRANSLATE(C36, ""en"", ""or"")"),"ମେଣ୍ଢା")</f>
        <v>ମେଣ୍ଢା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</row>
    <row r="37" ht="13.5" customHeight="1">
      <c r="A37" s="10" t="s">
        <v>36</v>
      </c>
      <c r="B37" s="10" t="s">
        <v>140</v>
      </c>
      <c r="C37" s="10" t="s">
        <v>140</v>
      </c>
      <c r="D37" s="12" t="s">
        <v>141</v>
      </c>
      <c r="E37" s="15" t="str">
        <f>IFERROR(__xludf.DUMMYFUNCTION("GOOGLETRANSLATE(D37, ""hi"", ""gu"")"),"ચિકન")</f>
        <v>ચિકન</v>
      </c>
      <c r="F37" s="20" t="s">
        <v>142</v>
      </c>
      <c r="G37" s="20" t="str">
        <f>IFERROR(__xludf.DUMMYFUNCTION("GOOGLETRANSLATE(C37, ""en"", ""or"")"),"କୁକୁଡ଼ା ପାଳନ")</f>
        <v>କୁକୁଡ଼ା ପାଳନ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</row>
    <row r="38" ht="13.5" customHeight="1">
      <c r="A38" s="10" t="s">
        <v>36</v>
      </c>
      <c r="B38" s="10" t="s">
        <v>143</v>
      </c>
      <c r="C38" s="10" t="s">
        <v>144</v>
      </c>
      <c r="D38" s="12" t="s">
        <v>145</v>
      </c>
      <c r="E38" s="15" t="str">
        <f>IFERROR(__xludf.DUMMYFUNCTION("GOOGLETRANSLATE(D38, ""hi"", ""gu"")"),"ડુક્કર ઉછેર")</f>
        <v>ડુક્કર ઉછેર</v>
      </c>
      <c r="F38" s="20" t="s">
        <v>146</v>
      </c>
      <c r="G38" s="20" t="str">
        <f>IFERROR(__xludf.DUMMYFUNCTION("GOOGLETRANSLATE(C38, ""en"", ""or"")"),"ଘୁଷୁରୀ ପାଳନ")</f>
        <v>ଘୁଷୁରୀ ପାଳନ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</row>
    <row r="39" ht="13.5" customHeight="1">
      <c r="A39" s="10" t="s">
        <v>36</v>
      </c>
      <c r="B39" s="10" t="s">
        <v>147</v>
      </c>
      <c r="C39" s="10" t="s">
        <v>148</v>
      </c>
      <c r="D39" s="11" t="s">
        <v>149</v>
      </c>
      <c r="E39" s="15" t="str">
        <f>IFERROR(__xludf.DUMMYFUNCTION("GOOGLETRANSLATE(D39, ""hi"", ""gu"")"),"બળદ")</f>
        <v>બળદ</v>
      </c>
      <c r="F39" s="20" t="s">
        <v>150</v>
      </c>
      <c r="G39" s="20" t="str">
        <f>IFERROR(__xludf.DUMMYFUNCTION("GOOGLETRANSLATE(C39, ""en"", ""or"")"),"ବଳଦ")</f>
        <v>ବଳଦ</v>
      </c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</row>
    <row r="40" ht="13.5" customHeight="1">
      <c r="A40" s="10" t="s">
        <v>126</v>
      </c>
      <c r="B40" s="10"/>
      <c r="C40" s="10"/>
      <c r="D40" s="11"/>
      <c r="E40" s="15"/>
      <c r="F40" s="40"/>
      <c r="G40" s="20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</row>
    <row r="41" ht="13.5" customHeight="1">
      <c r="A41" s="10"/>
      <c r="B41" s="10"/>
      <c r="C41" s="10"/>
      <c r="D41" s="11"/>
      <c r="E41" s="15"/>
      <c r="F41" s="40"/>
      <c r="G41" s="20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</row>
    <row r="42" ht="13.5" customHeight="1">
      <c r="A42" s="10" t="s">
        <v>100</v>
      </c>
      <c r="B42" s="10" t="s">
        <v>151</v>
      </c>
      <c r="C42" s="10" t="s">
        <v>152</v>
      </c>
      <c r="D42" s="12" t="s">
        <v>153</v>
      </c>
      <c r="E42" s="15" t="str">
        <f>IFERROR(__xludf.DUMMYFUNCTION("GOOGLETRANSLATE(D42, ""hi"", ""gu"")"),"મનરેગા માહિતી")</f>
        <v>મનરેગા માહિતી</v>
      </c>
      <c r="F42" s="20" t="s">
        <v>154</v>
      </c>
      <c r="G42" s="20" t="str">
        <f>IFERROR(__xludf.DUMMYFUNCTION("GOOGLETRANSLATE(C42, ""en"", ""or"")"),"ମନରେଗା ସୂଚନା")</f>
        <v>ମନରେଗା ସୂଚନା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</row>
    <row r="43" ht="13.5" customHeight="1">
      <c r="A43" s="10"/>
      <c r="B43" s="10"/>
      <c r="C43" s="10"/>
      <c r="D43" s="11"/>
      <c r="E43" s="15"/>
      <c r="F43" s="40"/>
      <c r="G43" s="20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</row>
    <row r="44" ht="13.5" customHeight="1">
      <c r="A44" s="10" t="s">
        <v>36</v>
      </c>
      <c r="B44" s="10" t="s">
        <v>155</v>
      </c>
      <c r="C44" s="10" t="s">
        <v>156</v>
      </c>
      <c r="D44" s="12" t="str">
        <f>IFERROR(__xludf.DUMMYFUNCTION("GOOGLETRANSLATE(C44, ""en"", ""hi"")"),"इस बस्ती में बीपीएल/पीडीएस कार्ड धारक परिवारों की कुल संख्या")</f>
        <v>इस बस्ती में बीपीएल/पीडीएस कार्ड धारक परिवारों की कुल संख्या</v>
      </c>
      <c r="E44" s="12" t="str">
        <f>IFERROR(__xludf.DUMMYFUNCTION("GOOGLETRANSLATE(D44, ""en"", ""gu"")"),"આ બસ્તીમાં બીપીએલ/પીડીએસ કાર્ડધારક પરિવારોની કુલ સંખ્યા")</f>
        <v>આ બસ્તીમાં બીપીએલ/પીડીએસ કાર્ડધારક પરિવારોની કુલ સંખ્યા</v>
      </c>
      <c r="F44" s="12" t="str">
        <f>IFERROR(__xludf.DUMMYFUNCTION("GOOGLETRANSLATE(E44, ""en"", ""kn"")"),"ಆ ಬಸ್ತೀಮಾಂ ಬೀಪೀಲ್/ಪೀಡೀಯಸ್ ಕಾರ್ಡಧಾರಕ್ ಪರಿವಾರೋಣಿ ಕುಲ್ ಸಂಖ್ಯೆ")</f>
        <v>ಆ ಬಸ್ತೀಮಾಂ ಬೀಪೀಲ್/ಪೀಡೀಯಸ್ ಕಾರ್ಡಧಾರಕ್ ಪರಿವಾರೋಣಿ ಕುಲ್ ಸಂಖ್ಯೆ</v>
      </c>
      <c r="G44" s="20" t="str">
        <f>IFERROR(__xludf.DUMMYFUNCTION("GOOGLETRANSLATE(C44, ""en"", ""or"")"),"ଏହି ବସ୍ତିରେ BPL / PDS କାର୍ଡ ଥିବା ପରିବାରର ମୋଟ ସଂଖ୍ୟା")</f>
        <v>ଏହି ବସ୍ତିରେ BPL / PDS କାର୍ଡ ଥିବା ପରିବାରର ମୋଟ ସଂଖ୍ୟା</v>
      </c>
      <c r="H44" s="12"/>
      <c r="I44" s="12"/>
      <c r="J44" s="21" t="s">
        <v>31</v>
      </c>
      <c r="K44" s="12" t="s">
        <v>157</v>
      </c>
      <c r="L44" s="12" t="s">
        <v>158</v>
      </c>
      <c r="M44" s="12" t="s">
        <v>159</v>
      </c>
      <c r="N44" s="12" t="s">
        <v>160</v>
      </c>
      <c r="O44" s="12"/>
      <c r="P44" s="12"/>
      <c r="Q44" s="12"/>
      <c r="R44" s="31" t="s">
        <v>161</v>
      </c>
      <c r="S44" s="32" t="s">
        <v>59</v>
      </c>
      <c r="T44" s="32" t="str">
        <f>IFERROR(__xludf.DUMMYFUNCTION("GOOGLETRANSLATE(S44, ""en"", ""hi"")"),"कुल परिवारों की संख्या से अधिक नहीं होनी चाहिए।")</f>
        <v>कुल परिवारों की संख्या से अधिक नहीं होनी चाहिए।</v>
      </c>
      <c r="U44" s="32" t="str">
        <f>IFERROR(__xludf.DUMMYFUNCTION("GOOGLETRANSLATE(S44, ""en"", ""gu"")"),"કુલ ઘરોની સંખ્યા કરતાં વધુ ન હોવી જોઈએ")</f>
        <v>કુલ ઘરોની સંખ્યા કરતાં વધુ ન હોવી જોઈએ</v>
      </c>
      <c r="V44" s="21" t="s">
        <v>60</v>
      </c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</row>
    <row r="45" ht="13.5" customHeight="1">
      <c r="A45" s="10" t="s">
        <v>36</v>
      </c>
      <c r="B45" s="10" t="s">
        <v>162</v>
      </c>
      <c r="C45" s="10" t="s">
        <v>163</v>
      </c>
      <c r="D45" s="12" t="s">
        <v>164</v>
      </c>
      <c r="E45" s="15" t="str">
        <f>IFERROR(__xludf.DUMMYFUNCTION("GOOGLETRANSLATE(D45, ""hi"", ""gu"")"),"આ વસાહતમાં કેટલા પરિવારોએ મનરેગા જોબ કાર્ડ માટે અરજી કરી છે?")</f>
        <v>આ વસાહતમાં કેટલા પરિવારોએ મનરેગા જોબ કાર્ડ માટે અરજી કરી છે?</v>
      </c>
      <c r="F45" s="20" t="s">
        <v>165</v>
      </c>
      <c r="G45" s="20" t="str">
        <f>IFERROR(__xludf.DUMMYFUNCTION("GOOGLETRANSLATE(C45, ""en"", ""or"")"),"ଏହି ବସ୍ତିରେ କେତେ ପରିବାର NREGA ଜବ୍ କାର୍ଡ ପାଇଁ ଆବେଦନ କରିଛନ୍ତି?
")</f>
        <v>ଏହି ବସ୍ତିରେ କେତେ ପରିବାର NREGA ଜବ୍ କାର୍ଡ ପାଇଁ ଆବେଦନ କରିଛନ୍ତି?
</v>
      </c>
      <c r="H45" s="12"/>
      <c r="I45" s="12"/>
      <c r="J45" s="21" t="s">
        <v>31</v>
      </c>
      <c r="K45" s="12"/>
      <c r="L45" s="12"/>
      <c r="M45" s="12"/>
      <c r="N45" s="12"/>
      <c r="O45" s="12"/>
      <c r="P45" s="12"/>
      <c r="Q45" s="12"/>
      <c r="R45" s="31" t="s">
        <v>161</v>
      </c>
      <c r="S45" s="32" t="s">
        <v>59</v>
      </c>
      <c r="T45" s="32" t="str">
        <f>IFERROR(__xludf.DUMMYFUNCTION("GOOGLETRANSLATE(S45, ""en"", ""hi"")"),"कुल परिवारों की संख्या से अधिक नहीं होनी चाहिए।")</f>
        <v>कुल परिवारों की संख्या से अधिक नहीं होनी चाहिए।</v>
      </c>
      <c r="U45" s="32" t="str">
        <f>IFERROR(__xludf.DUMMYFUNCTION("GOOGLETRANSLATE(S45, ""en"", ""gu"")"),"કુલ ઘરોની સંખ્યા કરતાં વધુ ન હોવી જોઈએ")</f>
        <v>કુલ ઘરોની સંખ્યા કરતાં વધુ ન હોવી જોઈએ</v>
      </c>
      <c r="V45" s="21" t="s">
        <v>60</v>
      </c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</row>
    <row r="46" ht="13.5" customHeight="1">
      <c r="A46" s="10" t="s">
        <v>36</v>
      </c>
      <c r="B46" s="10" t="s">
        <v>166</v>
      </c>
      <c r="C46" s="10" t="s">
        <v>167</v>
      </c>
      <c r="D46" s="12" t="s">
        <v>168</v>
      </c>
      <c r="E46" s="15" t="str">
        <f>IFERROR(__xludf.DUMMYFUNCTION("GOOGLETRANSLATE(D46, ""hi"", ""gu"")"),"વસાહતમાં કેટલા પરિવારો પાસે મનરેગા જોબ કાર્ડ છે?")</f>
        <v>વસાહતમાં કેટલા પરિવારો પાસે મનરેગા જોબ કાર્ડ છે?</v>
      </c>
      <c r="F46" s="20" t="s">
        <v>169</v>
      </c>
      <c r="G46" s="20" t="str">
        <f>IFERROR(__xludf.DUMMYFUNCTION("GOOGLETRANSLATE(C46, ""en"", ""or"")"),"ଏହି ବସ୍ତିରେ କେତେ ପରିବାରର NREGA ଜବ୍ କାର୍ଡ ଅଛି?")</f>
        <v>ଏହି ବସ୍ତିରେ କେତେ ପରିବାରର NREGA ଜବ୍ କାର୍ଡ ଅଛି?</v>
      </c>
      <c r="H46" s="12"/>
      <c r="I46" s="12"/>
      <c r="J46" s="21" t="s">
        <v>31</v>
      </c>
      <c r="K46" s="12"/>
      <c r="L46" s="12"/>
      <c r="M46" s="12"/>
      <c r="N46" s="12"/>
      <c r="O46" s="12"/>
      <c r="P46" s="12"/>
      <c r="Q46" s="12"/>
      <c r="R46" s="31" t="s">
        <v>161</v>
      </c>
      <c r="S46" s="32" t="s">
        <v>59</v>
      </c>
      <c r="T46" s="32" t="str">
        <f>IFERROR(__xludf.DUMMYFUNCTION("GOOGLETRANSLATE(S46, ""en"", ""hi"")"),"कुल परिवारों की संख्या से अधिक नहीं होनी चाहिए।")</f>
        <v>कुल परिवारों की संख्या से अधिक नहीं होनी चाहिए।</v>
      </c>
      <c r="U46" s="32" t="str">
        <f>IFERROR(__xludf.DUMMYFUNCTION("GOOGLETRANSLATE(S46, ""en"", ""gu"")"),"કુલ ઘરોની સંખ્યા કરતાં વધુ ન હોવી જોઈએ")</f>
        <v>કુલ ઘરોની સંખ્યા કરતાં વધુ ન હોવી જોઈએ</v>
      </c>
      <c r="V46" s="21" t="s">
        <v>60</v>
      </c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</row>
    <row r="47" ht="13.5" customHeight="1">
      <c r="A47" s="19" t="s">
        <v>36</v>
      </c>
      <c r="B47" s="19" t="s">
        <v>170</v>
      </c>
      <c r="C47" s="10" t="s">
        <v>171</v>
      </c>
      <c r="D47" s="12" t="s">
        <v>172</v>
      </c>
      <c r="E47" s="15" t="str">
        <f>IFERROR(__xludf.DUMMYFUNCTION("GOOGLETRANSLATE(D47, ""hi"", ""gu"")"),"ગયા વર્ષે મનરેગા હેઠળ આ વસાહતના પરિવારોને કેટલા દિવસ કામ મળ્યું?")</f>
        <v>ગયા વર્ષે મનરેગા હેઠળ આ વસાહતના પરિવારોને કેટલા દિવસ કામ મળ્યું?</v>
      </c>
      <c r="F47" s="20" t="s">
        <v>173</v>
      </c>
      <c r="G47" s="20" t="str">
        <f>IFERROR(__xludf.DUMMYFUNCTION("GOOGLETRANSLATE(C47, ""en"", ""or"")"),"ପୂର୍ବ ବର୍ଷରେ ଜଣେ NREGA କାର୍ଡଧାରୀ ହାରାହାରି କେତେ କାର୍ଯ୍ୟ ଦିବସ ପାଇଥିଲେ?")</f>
        <v>ପୂର୍ବ ବର୍ଷରେ ଜଣେ NREGA କାର୍ଡଧାରୀ ହାରାହାରି କେତେ କାର୍ଯ୍ୟ ଦିବସ ପାଇଥିଲେ?</v>
      </c>
      <c r="H47" s="16"/>
      <c r="I47" s="16"/>
      <c r="J47" s="47" t="s">
        <v>31</v>
      </c>
      <c r="K47" s="16"/>
      <c r="L47" s="16"/>
      <c r="M47" s="16"/>
      <c r="N47" s="16"/>
      <c r="O47" s="16"/>
      <c r="P47" s="16"/>
      <c r="Q47" s="16"/>
      <c r="R47" s="48" t="s">
        <v>174</v>
      </c>
      <c r="S47" s="11" t="s">
        <v>175</v>
      </c>
      <c r="T47" s="16" t="str">
        <f>IFERROR(__xludf.DUMMYFUNCTION("GOOGLETRANSLATE(S47, ""en"", ""hi"")"),"एनआरईजीए जॉब कार्ड का मूल्य शून्य के बराबर या उससे अधिक होना चाहिए।")</f>
        <v>एनआरईजीए जॉब कार्ड का मूल्य शून्य के बराबर या उससे अधिक होना चाहिए।</v>
      </c>
      <c r="U47" s="16" t="str">
        <f>IFERROR(__xludf.DUMMYFUNCTION("GOOGLETRANSLATE(S47, ""en"", ""gu"")"),"NREGA જોબ કાર્ડ શૂન્ય કરતા મોટા અથવા તેના બરાબર હોવા જોઈએ.")</f>
        <v>NREGA જોબ કાર્ડ શૂન્ય કરતા મોટા અથવા તેના બરાબર હોવા જોઈએ.</v>
      </c>
      <c r="V47" s="47" t="s">
        <v>176</v>
      </c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</row>
    <row r="48" ht="13.5" customHeight="1">
      <c r="A48" s="49" t="s">
        <v>177</v>
      </c>
      <c r="B48" s="49" t="s">
        <v>178</v>
      </c>
      <c r="C48" s="50" t="s">
        <v>179</v>
      </c>
      <c r="D48" s="36" t="s">
        <v>180</v>
      </c>
      <c r="E48" s="36" t="str">
        <f>IFERROR(__xludf.DUMMYFUNCTION("GOOGLETRANSLATE(D48, ""hi"", ""gu"")"),"&lt;span style=""color:red""&gt;કુલ કામ કરેલા દિવસોનો સરવાળો કરવા માટે, મનરેગા ડેટાબેઝમાં સમાવિષ્ટ જોબ કાર્ડ ધરાવતા બધા પરિવારોને પૂરા પાડવામાં આવેલા કામના દિવસોનો સરવાળો કરો&lt;/span&gt;")</f>
        <v>&lt;span style="color:red"&gt;કુલ કામ કરેલા દિવસોનો સરવાળો કરવા માટે, મનરેગા ડેટાબેઝમાં સમાવિષ્ટ જોબ કાર્ડ ધરાવતા બધા પરિવારોને પૂરા પાડવામાં આવેલા કામના દિવસોનો સરવાળો કરો&lt;/span&gt;</v>
      </c>
      <c r="F48" s="37" t="s">
        <v>181</v>
      </c>
      <c r="G48" s="20"/>
      <c r="H48" s="36"/>
      <c r="I48" s="38"/>
      <c r="J48" s="51"/>
      <c r="K48" s="38"/>
      <c r="L48" s="51"/>
      <c r="M48" s="51"/>
      <c r="N48" s="51"/>
      <c r="O48" s="51"/>
      <c r="P48" s="38"/>
      <c r="Q48" s="38" t="s">
        <v>48</v>
      </c>
      <c r="R48" s="52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</row>
    <row r="49" ht="13.5" customHeight="1">
      <c r="A49" s="19" t="s">
        <v>182</v>
      </c>
      <c r="B49" s="19" t="s">
        <v>183</v>
      </c>
      <c r="C49" s="10" t="s">
        <v>184</v>
      </c>
      <c r="D49" s="12" t="s">
        <v>185</v>
      </c>
      <c r="E49" s="15" t="s">
        <v>186</v>
      </c>
      <c r="F49" s="20" t="s">
        <v>187</v>
      </c>
      <c r="G49" s="20" t="str">
        <f>IFERROR(__xludf.DUMMYFUNCTION("GOOGLETRANSLATE(C49, ""en"", ""or"")"),"NREGA ଅଧୀନରେ କାମ କମ୍ ହେବାର କାରଣ କ’ଣ ଥିଲା?")</f>
        <v>NREGA ଅଧୀନରେ କାମ କମ୍ ହେବାର କାରଣ କ’ଣ ଥିଲା?</v>
      </c>
      <c r="H49" s="16"/>
      <c r="I49" s="16"/>
      <c r="J49" s="47" t="s">
        <v>31</v>
      </c>
      <c r="K49" s="16"/>
      <c r="L49" s="16"/>
      <c r="M49" s="16"/>
      <c r="N49" s="16"/>
      <c r="O49" s="16"/>
      <c r="P49" s="16"/>
      <c r="Q49" s="16" t="s">
        <v>188</v>
      </c>
      <c r="R49" s="18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</row>
    <row r="50" ht="13.5" customHeight="1">
      <c r="A50" s="33" t="s">
        <v>189</v>
      </c>
      <c r="B50" s="33" t="s">
        <v>190</v>
      </c>
      <c r="C50" s="34" t="s">
        <v>191</v>
      </c>
      <c r="D50" s="35" t="s">
        <v>192</v>
      </c>
      <c r="E50" s="36" t="str">
        <f>IFERROR(__xludf.DUMMYFUNCTION("GOOGLETRANSLATE(D50, ""hi"", ""gu"")"),"શું માંગ આયોજન દરમિયાન બધા પરિવારો સામેલ હતા અને શું નવા NRM કાર્યો માટે માંગણીઓ કરવામાં આવી હતી?")</f>
        <v>શું માંગ આયોજન દરમિયાન બધા પરિવારો સામેલ હતા અને શું નવા NRM કાર્યો માટે માંગણીઓ કરવામાં આવી હતી?</v>
      </c>
      <c r="F50" s="37" t="s">
        <v>193</v>
      </c>
      <c r="G50" s="20"/>
      <c r="H50" s="38"/>
      <c r="I50" s="38"/>
      <c r="J50" s="38" t="s">
        <v>31</v>
      </c>
      <c r="K50" s="38"/>
      <c r="L50" s="38"/>
      <c r="M50" s="38"/>
      <c r="N50" s="38"/>
      <c r="O50" s="38"/>
      <c r="P50" s="38"/>
      <c r="Q50" s="38" t="s">
        <v>48</v>
      </c>
      <c r="R50" s="35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</row>
    <row r="51" ht="13.5" customHeight="1">
      <c r="A51" s="19" t="s">
        <v>194</v>
      </c>
      <c r="B51" s="19" t="s">
        <v>195</v>
      </c>
      <c r="C51" s="10" t="s">
        <v>196</v>
      </c>
      <c r="D51" s="12" t="s">
        <v>197</v>
      </c>
      <c r="E51" s="15" t="str">
        <f>IFERROR(__xludf.DUMMYFUNCTION("GOOGLETRANSLATE(D51, ""hi"", ""gu"")"),"અગાઉના પ્રસ્તાવિત કરારમાં કયા પ્રકારના કામની માંગ કરવામાં આવી હતી?")</f>
        <v>અગાઉના પ્રસ્તાવિત કરારમાં કયા પ્રકારના કામની માંગ કરવામાં આવી હતી?</v>
      </c>
      <c r="F51" s="20" t="s">
        <v>198</v>
      </c>
      <c r="G51" s="20" t="str">
        <f>IFERROR(__xludf.DUMMYFUNCTION("GOOGLETRANSLATE(C51, ""en"", ""or"")"),"ଅତୀତରେ ସମାଧାନ ପ୍ରସ୍ତାବରେ କି ପ୍ରକାରର କାର୍ଯ୍ୟ ଦାବି କରାଯାଇଥିଲା?
")</f>
        <v>ଅତୀତରେ ସମାଧାନ ପ୍ରସ୍ତାବରେ କି ପ୍ରକାରର କାର୍ଯ୍ୟ ଦାବି କରାଯାଇଥିଲା?
</v>
      </c>
      <c r="H51" s="16"/>
      <c r="I51" s="16"/>
      <c r="J51" s="47" t="s">
        <v>31</v>
      </c>
      <c r="K51" s="16"/>
      <c r="L51" s="16"/>
      <c r="M51" s="16"/>
      <c r="N51" s="16"/>
      <c r="O51" s="16"/>
      <c r="P51" s="16"/>
      <c r="Q51" s="12"/>
      <c r="R51" s="12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</row>
    <row r="52" ht="13.5" customHeight="1">
      <c r="A52" s="19" t="s">
        <v>199</v>
      </c>
      <c r="B52" s="19" t="s">
        <v>200</v>
      </c>
      <c r="C52" s="19" t="s">
        <v>201</v>
      </c>
      <c r="D52" s="12" t="s">
        <v>202</v>
      </c>
      <c r="E52" s="15" t="str">
        <f>IFERROR(__xludf.DUMMYFUNCTION("GOOGLETRANSLATE(D52, ""hi"", ""gu"")"),"મનરેગામાં ત્રણ મુખ્ય સમસ્યાઓ કઈ છે?")</f>
        <v>મનરેગામાં ત્રણ મુખ્ય સમસ્યાઓ કઈ છે?</v>
      </c>
      <c r="F52" s="20" t="s">
        <v>203</v>
      </c>
      <c r="G52" s="20" t="str">
        <f>IFERROR(__xludf.DUMMYFUNCTION("GOOGLETRANSLATE(C52, ""en"", ""or"")"),"NREGA ସହିତ ତିନୋଟି ମୁଖ୍ୟ ସମସ୍ୟା କ'ଣ?")</f>
        <v>NREGA ସହିତ ତିନୋଟି ମୁଖ୍ୟ ସମସ୍ୟା କ'ଣ?</v>
      </c>
      <c r="H52" s="16"/>
      <c r="I52" s="16"/>
      <c r="J52" s="47" t="s">
        <v>31</v>
      </c>
      <c r="K52" s="16"/>
      <c r="L52" s="16"/>
      <c r="M52" s="16"/>
      <c r="N52" s="16"/>
      <c r="O52" s="16"/>
      <c r="P52" s="16"/>
      <c r="Q52" s="16"/>
      <c r="R52" s="12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</row>
    <row r="53" ht="13.5" customHeight="1">
      <c r="A53" s="10" t="s">
        <v>26</v>
      </c>
      <c r="B53" s="10" t="s">
        <v>204</v>
      </c>
      <c r="C53" s="10" t="s">
        <v>205</v>
      </c>
      <c r="D53" s="12" t="s">
        <v>206</v>
      </c>
      <c r="E53" s="15" t="s">
        <v>207</v>
      </c>
      <c r="F53" s="20" t="s">
        <v>208</v>
      </c>
      <c r="G53" s="20" t="str">
        <f>IFERROR(__xludf.DUMMYFUNCTION("GOOGLETRANSLATE(C53, ""en"", ""or"")"),"ଦୟାକରି ଅନ୍ୟ ସମସ୍ୟା ନିର୍ଦ୍ଦିଷ୍ଟ କରନ୍ତୁ")</f>
        <v>ଦୟାକରି ଅନ୍ୟ ସମସ୍ୟା ନିର୍ଦ୍ଦିଷ୍ଟ କରନ୍ତୁ</v>
      </c>
      <c r="H53" s="12"/>
      <c r="I53" s="12"/>
      <c r="J53" s="12"/>
      <c r="K53" s="12"/>
      <c r="L53" s="12"/>
      <c r="M53" s="12"/>
      <c r="N53" s="12"/>
      <c r="O53" s="12"/>
      <c r="P53" s="12"/>
      <c r="Q53" s="12" t="s">
        <v>209</v>
      </c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</row>
    <row r="54" ht="13.5" customHeight="1">
      <c r="A54" s="10" t="s">
        <v>210</v>
      </c>
      <c r="B54" s="10" t="s">
        <v>211</v>
      </c>
      <c r="C54" s="10" t="s">
        <v>212</v>
      </c>
      <c r="D54" s="12" t="s">
        <v>213</v>
      </c>
      <c r="E54" s="15" t="str">
        <f>IFERROR(__xludf.DUMMYFUNCTION("GOOGLETRANSLATE(D54, ""hi"", ""gu"")"),"શું સમુદાયના સભ્યો સામૂહિક રીતે પાણીના સ્ત્રોત જેવી વસ્તુઓની માંગ કરે છે?")</f>
        <v>શું સમુદાયના સભ્યો સામૂહિક રીતે પાણીના સ્ત્રોત જેવી વસ્તુઓની માંગ કરે છે?</v>
      </c>
      <c r="F54" s="20" t="s">
        <v>214</v>
      </c>
      <c r="G54" s="20" t="str">
        <f>IFERROR(__xludf.DUMMYFUNCTION("GOOGLETRANSLATE(C54, ""en"", ""or"")"),"ଜଳ ସଂରଚନା ଭଳି କାର୍ଯ୍ୟ ଦାବି ଉଠାଇବା ପାଇଁ ସମ୍ପ୍ରଦାୟ କ’ଣ ସାମୂହିକ ଭାବରେ ଏକାଠି ହେବାକୁ ଇଚ୍ଛୁକ?
")</f>
        <v>ଜଳ ସଂରଚନା ଭଳି କାର୍ଯ୍ୟ ଦାବି ଉଠାଇବା ପାଇଁ ସମ୍ପ୍ରଦାୟ କ’ଣ ସାମୂହିକ ଭାବରେ ଏକାଠି ହେବାକୁ ଇଚ୍ଛୁକ?
</v>
      </c>
      <c r="H54" s="12"/>
      <c r="I54" s="12"/>
      <c r="J54" s="21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</row>
    <row r="55" ht="13.5" customHeight="1">
      <c r="A55" s="10"/>
      <c r="B55" s="10"/>
      <c r="C55" s="10"/>
      <c r="D55" s="11"/>
      <c r="E55" s="15"/>
      <c r="F55" s="40"/>
      <c r="G55" s="20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</row>
    <row r="56" ht="13.5" customHeight="1">
      <c r="A56" s="10" t="s">
        <v>126</v>
      </c>
      <c r="B56" s="10"/>
      <c r="C56" s="10"/>
      <c r="D56" s="11"/>
      <c r="E56" s="15"/>
      <c r="F56" s="40"/>
      <c r="G56" s="20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</row>
    <row r="57" ht="13.5" customHeight="1">
      <c r="A57" s="10"/>
      <c r="B57" s="10"/>
      <c r="C57" s="10"/>
      <c r="D57" s="11"/>
      <c r="E57" s="15"/>
      <c r="F57" s="40"/>
      <c r="G57" s="20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</row>
    <row r="58" ht="13.5" customHeight="1">
      <c r="A58" s="10" t="s">
        <v>26</v>
      </c>
      <c r="B58" s="10" t="s">
        <v>215</v>
      </c>
      <c r="C58" s="10" t="s">
        <v>216</v>
      </c>
      <c r="D58" s="11" t="s">
        <v>217</v>
      </c>
      <c r="E58" s="15" t="str">
        <f>IFERROR(__xludf.DUMMYFUNCTION("GOOGLETRANSLATE(D58, ""hi"", ""gu"")"),"અન્ય માહિતી")</f>
        <v>અન્ય માહિતી</v>
      </c>
      <c r="F58" s="20" t="s">
        <v>218</v>
      </c>
      <c r="G58" s="20" t="str">
        <f>IFERROR(__xludf.DUMMYFUNCTION("GOOGLETRANSLATE(C58, ""en"", ""or"")"),"ଅନ୍ୟ କୌଣସି ସୂଚନା")</f>
        <v>ଅନ୍ୟ କୌଣସି ସୂଚନା</v>
      </c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</row>
    <row r="59" ht="13.5" customHeight="1">
      <c r="A59" s="19" t="s">
        <v>177</v>
      </c>
      <c r="B59" s="19" t="s">
        <v>219</v>
      </c>
      <c r="C59" s="53" t="s">
        <v>220</v>
      </c>
      <c r="D59" s="12" t="s">
        <v>221</v>
      </c>
      <c r="E59" s="15" t="str">
        <f>IFERROR(__xludf.DUMMYFUNCTION("GOOGLETRANSLATE(D59, ""hi"", ""gu"")"),"&lt;span style=""color:red""&gt;આનાથી આગળ કંઈપણ બદલશો નહીં અને તમારો ફોર્મ ડેટા સબમિટ કરો&lt;/span&gt;")</f>
        <v>&lt;span style="color:red"&gt;આનાથી આગળ કંઈપણ બદલશો નહીં અને તમારો ફોર્મ ડેટા સબમિટ કરો&lt;/span&gt;</v>
      </c>
      <c r="F59" s="20" t="s">
        <v>222</v>
      </c>
      <c r="G59" s="20" t="str">
        <f>IFERROR(__xludf.DUMMYFUNCTION("GOOGLETRANSLATE(C59, ""en"", ""or"")"),"&lt;span style=""font-size: large; font-weight: bold; color:red;""&gt; ଏହି ବିନ୍ଦୁ ବ୍ୟତୀତ ଅନ୍ୟ କିଛି ପରିବର୍ତ୍ତନ କରନ୍ତୁ ନାହିଁ ଏବଂ ଆପଣଙ୍କର ଫର୍ମ ଡାଟା ଦାଖଲ କରନ୍ତୁ&lt;/span&gt;")</f>
        <v>&lt;span style="font-size: large; font-weight: bold; color:red;"&gt; ଏହି ବିନ୍ଦୁ ବ୍ୟତୀତ ଅନ୍ୟ କିଛି ପରିବର୍ତ୍ତନ କରନ୍ତୁ ନାହିଁ ଏବଂ ଆପଣଙ୍କର ଫର୍ମ ଡାଟା ଦାଖଲ କରନ୍ତୁ&lt;/span&gt;</v>
      </c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8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</row>
    <row r="60" ht="13.5" customHeight="1">
      <c r="A60" s="10" t="s">
        <v>100</v>
      </c>
      <c r="B60" s="10" t="s">
        <v>223</v>
      </c>
      <c r="C60" s="10" t="s">
        <v>224</v>
      </c>
      <c r="D60" s="54" t="s">
        <v>225</v>
      </c>
      <c r="E60" s="15" t="str">
        <f>IFERROR(__xludf.DUMMYFUNCTION("GOOGLETRANSLATE(D60, ""hi"", ""gu"")"),"અક્ષાંશ રેખાંશ")</f>
        <v>અક્ષાંશ રેખાંશ</v>
      </c>
      <c r="F60" s="20" t="s">
        <v>226</v>
      </c>
      <c r="G60" s="20" t="str">
        <f>IFERROR(__xludf.DUMMYFUNCTION("GOOGLETRANSLATE(C60, ""en"", ""or"")"),"ଅକ୍ଷାଂଶ/ଲୋନ")</f>
        <v>ଅକ୍ଷାଂଶ/ଲୋନ</v>
      </c>
      <c r="H60" s="12"/>
      <c r="I60" s="12"/>
      <c r="J60" s="12"/>
      <c r="K60" s="12"/>
      <c r="L60" s="12"/>
      <c r="M60" s="12"/>
      <c r="N60" s="12"/>
      <c r="O60" s="12"/>
      <c r="P60" s="11" t="s">
        <v>227</v>
      </c>
      <c r="Q60" s="12"/>
      <c r="R60" s="18"/>
      <c r="S60" s="16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</row>
    <row r="61" ht="13.5" customHeight="1">
      <c r="A61" s="10" t="s">
        <v>177</v>
      </c>
      <c r="B61" s="10" t="s">
        <v>228</v>
      </c>
      <c r="C61" s="14" t="s">
        <v>229</v>
      </c>
      <c r="D61" s="54" t="s">
        <v>230</v>
      </c>
      <c r="E61" s="15" t="str">
        <f>IFERROR(__xludf.DUMMYFUNCTION("GOOGLETRANSLATE(D61, ""hi"", ""gu"")"),"&lt;span style=""color:red""&gt;કૃપા કરીને નીચેના નકશામાં ભટકશો નહીં&lt;/span&gt;")</f>
        <v>&lt;span style="color:red"&gt;કૃપા કરીને નીચેના નકશામાં ભટકશો નહીં&lt;/span&gt;</v>
      </c>
      <c r="F61" s="20" t="s">
        <v>231</v>
      </c>
      <c r="G61" s="20" t="str">
        <f>IFERROR(__xludf.DUMMYFUNCTION("GOOGLETRANSLATE(C61, ""en"", ""or"")"),"&lt;span style=""color:red""&gt;ଦୟାକରି ତଳେ ଥିବା ମାନଚିତ୍ରରେ ଏଣେତେଣେ ବୁଲି ଦେଖନ୍ତୁ ନାହିଁ&lt;/span&gt;")</f>
        <v>&lt;span style="color:red"&gt;ଦୟାକରି ତଳେ ଥିବା ମାନଚିତ୍ରରେ ଏଣେତେଣେ ବୁଲି ଦେଖନ୍ତୁ ନାହିଁ&lt;/span&gt;</v>
      </c>
      <c r="H61" s="12"/>
      <c r="I61" s="12"/>
      <c r="J61" s="12"/>
      <c r="K61" s="12"/>
      <c r="L61" s="12"/>
      <c r="M61" s="12"/>
      <c r="N61" s="12"/>
      <c r="O61" s="12"/>
      <c r="P61" s="11"/>
      <c r="Q61" s="12"/>
      <c r="R61" s="18"/>
      <c r="S61" s="16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</row>
    <row r="62" ht="47.25" customHeight="1">
      <c r="A62" s="10" t="s">
        <v>232</v>
      </c>
      <c r="B62" s="10" t="s">
        <v>233</v>
      </c>
      <c r="C62" s="10"/>
      <c r="D62" s="54"/>
      <c r="E62" s="15"/>
      <c r="F62" s="40"/>
      <c r="G62" s="20"/>
      <c r="H62" s="12"/>
      <c r="I62" s="12"/>
      <c r="J62" s="12" t="s">
        <v>31</v>
      </c>
      <c r="K62" s="12" t="s">
        <v>232</v>
      </c>
      <c r="L62" s="12" t="s">
        <v>234</v>
      </c>
      <c r="M62" s="12" t="str">
        <f>IFERROR(__xludf.DUMMYFUNCTION("GOOGLETRANSLATE(K62, ""en"", ""gu"")"),"જીઓપોઇન્ટ")</f>
        <v>જીઓપોઇન્ટ</v>
      </c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</row>
    <row r="63" ht="13.5" customHeight="1">
      <c r="A63" s="10" t="s">
        <v>126</v>
      </c>
      <c r="B63" s="10"/>
      <c r="C63" s="10"/>
      <c r="D63" s="11"/>
      <c r="E63" s="15"/>
      <c r="F63" s="40"/>
      <c r="G63" s="20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</row>
    <row r="64" ht="13.5" customHeight="1">
      <c r="A64" s="10"/>
      <c r="B64" s="10"/>
      <c r="C64" s="10"/>
      <c r="D64" s="54"/>
      <c r="E64" s="15"/>
      <c r="F64" s="40"/>
      <c r="G64" s="20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</row>
    <row r="65" ht="13.5" customHeight="1">
      <c r="A65" s="19" t="s">
        <v>26</v>
      </c>
      <c r="B65" s="10" t="s">
        <v>235</v>
      </c>
      <c r="C65" s="19" t="s">
        <v>236</v>
      </c>
      <c r="D65" s="12" t="s">
        <v>237</v>
      </c>
      <c r="E65" s="15" t="str">
        <f>IFERROR(__xludf.DUMMYFUNCTION("GOOGLETRANSLATE(D65, ""hi"", ""gu"")"),"બ્લોકનું નામ")</f>
        <v>બ્લોકનું નામ</v>
      </c>
      <c r="F65" s="20" t="s">
        <v>238</v>
      </c>
      <c r="G65" s="20" t="str">
        <f>IFERROR(__xludf.DUMMYFUNCTION("GOOGLETRANSLATE(C65, ""en"", ""or"")"),"ବ୍ଲକ୍ ନାମ")</f>
        <v>ବ୍ଲକ୍ ନାମ</v>
      </c>
      <c r="H65" s="16"/>
      <c r="I65" s="16"/>
      <c r="J65" s="16"/>
      <c r="K65" s="12"/>
      <c r="L65" s="12"/>
      <c r="M65" s="12"/>
      <c r="N65" s="12"/>
      <c r="O65" s="12"/>
      <c r="P65" s="12"/>
      <c r="Q65" s="16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</row>
    <row r="66" ht="13.5" customHeight="1">
      <c r="A66" s="10" t="s">
        <v>26</v>
      </c>
      <c r="B66" s="10" t="s">
        <v>239</v>
      </c>
      <c r="C66" s="10" t="s">
        <v>240</v>
      </c>
      <c r="D66" s="12" t="s">
        <v>241</v>
      </c>
      <c r="E66" s="55" t="s">
        <v>242</v>
      </c>
      <c r="F66" s="20" t="s">
        <v>243</v>
      </c>
      <c r="G66" s="20" t="str">
        <f>IFERROR(__xludf.DUMMYFUNCTION("GOOGLETRANSLATE(C66, ""en"", ""or"")"),"ପ୍ଲାନ୍ ID")</f>
        <v>ପ୍ଲାନ୍ ID</v>
      </c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</row>
    <row r="67" ht="13.5" customHeight="1">
      <c r="A67" s="10" t="s">
        <v>26</v>
      </c>
      <c r="B67" s="10" t="s">
        <v>244</v>
      </c>
      <c r="C67" s="10" t="s">
        <v>245</v>
      </c>
      <c r="D67" s="12" t="s">
        <v>246</v>
      </c>
      <c r="E67" s="15" t="str">
        <f>IFERROR(__xludf.DUMMYFUNCTION("GOOGLETRANSLATE(D67, ""hi"", ""gu"")"),"યોજનાનું નામ")</f>
        <v>યોજનાનું નામ</v>
      </c>
      <c r="F67" s="20" t="s">
        <v>247</v>
      </c>
      <c r="G67" s="20" t="str">
        <f>IFERROR(__xludf.DUMMYFUNCTION("GOOGLETRANSLATE(C67, ""en"", ""or"")"),"ଯୋଜନାର ନାମ")</f>
        <v>ଯୋଜନାର ନାମ</v>
      </c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</row>
    <row r="68" ht="13.5" customHeight="1">
      <c r="A68" s="14" t="s">
        <v>26</v>
      </c>
      <c r="B68" s="14" t="s">
        <v>248</v>
      </c>
      <c r="C68" s="14" t="s">
        <v>249</v>
      </c>
      <c r="D68" s="56" t="s">
        <v>250</v>
      </c>
      <c r="E68" s="15" t="str">
        <f>IFERROR(__xludf.DUMMYFUNCTION("GOOGLETRANSLATE(D68, ""hi"", ""gu"")"),"વપરાશકર્તાનું વર્તમાન સ્થાન")</f>
        <v>વપરાશકર્તાનું વર્તમાન સ્થાન</v>
      </c>
      <c r="F68" s="20" t="s">
        <v>251</v>
      </c>
      <c r="G68" s="20" t="str">
        <f>IFERROR(__xludf.DUMMYFUNCTION("GOOGLETRANSLATE(C68, ""en"", ""or"")"),"ଉପଯୋଗକର୍ତ୍ତାଙ୍କ ବର୍ତ୍ତମାନର ସ୍ଥାନ")</f>
        <v>ଉପଯୋଗକର୍ତ୍ତାଙ୍କ ବର୍ତ୍ତମାନର ସ୍ଥାନ</v>
      </c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8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</row>
    <row r="69" ht="13.5" customHeight="1">
      <c r="A69" s="10"/>
      <c r="B69" s="10"/>
      <c r="C69" s="10"/>
      <c r="D69" s="11"/>
      <c r="E69" s="11"/>
      <c r="F69" s="11"/>
      <c r="G69" s="20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</row>
    <row r="70" ht="15.75" customHeight="1">
      <c r="A70" s="19"/>
      <c r="B70" s="19"/>
      <c r="C70" s="19"/>
      <c r="R70" s="30"/>
    </row>
    <row r="71" ht="13.5" customHeight="1">
      <c r="A71" s="10"/>
      <c r="B71" s="10"/>
      <c r="C71" s="10"/>
      <c r="D71" s="11"/>
      <c r="E71" s="11"/>
      <c r="F71" s="11"/>
      <c r="G71" s="11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</row>
    <row r="72" ht="13.5" customHeight="1">
      <c r="A72" s="10"/>
      <c r="B72" s="10"/>
      <c r="C72" s="10"/>
      <c r="D72" s="11"/>
      <c r="E72" s="11"/>
      <c r="F72" s="11"/>
      <c r="G72" s="11"/>
      <c r="H72" s="59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</row>
    <row r="73" ht="13.5" customHeight="1">
      <c r="A73" s="10"/>
      <c r="B73" s="10"/>
      <c r="C73" s="10"/>
      <c r="D73" s="11"/>
      <c r="E73" s="11"/>
      <c r="F73" s="11"/>
      <c r="G73" s="11"/>
      <c r="H73" s="59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</row>
    <row r="74" ht="13.5" customHeight="1">
      <c r="A74" s="10"/>
      <c r="B74" s="10"/>
      <c r="C74" s="10"/>
      <c r="D74" s="11"/>
      <c r="E74" s="11"/>
      <c r="F74" s="11"/>
      <c r="G74" s="11"/>
      <c r="H74" s="59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</row>
    <row r="75" ht="13.5" customHeight="1">
      <c r="A75" s="10"/>
      <c r="B75" s="10"/>
      <c r="C75" s="10"/>
      <c r="D75" s="11"/>
      <c r="E75" s="11"/>
      <c r="F75" s="11"/>
      <c r="G75" s="11"/>
      <c r="H75" s="59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</row>
    <row r="76" ht="13.5" customHeight="1">
      <c r="A76" s="10"/>
      <c r="B76" s="10"/>
      <c r="C76" s="10"/>
      <c r="D76" s="11"/>
      <c r="E76" s="11"/>
      <c r="F76" s="11"/>
      <c r="G76" s="11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</row>
    <row r="77" ht="13.5" customHeight="1">
      <c r="A77" s="10"/>
      <c r="B77" s="10"/>
      <c r="C77" s="10"/>
      <c r="D77" s="11"/>
      <c r="E77" s="11"/>
      <c r="F77" s="11"/>
      <c r="G77" s="11"/>
      <c r="H77" s="59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</row>
    <row r="78" ht="13.5" customHeight="1">
      <c r="A78" s="10"/>
      <c r="B78" s="10"/>
      <c r="C78" s="10"/>
      <c r="D78" s="11"/>
      <c r="E78" s="11"/>
      <c r="F78" s="11"/>
      <c r="G78" s="11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</row>
    <row r="79" ht="13.5" customHeight="1">
      <c r="A79" s="10"/>
      <c r="B79" s="10"/>
      <c r="C79" s="10"/>
      <c r="D79" s="11"/>
      <c r="E79" s="11"/>
      <c r="F79" s="11"/>
      <c r="G79" s="11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</row>
    <row r="80" ht="13.5" customHeight="1">
      <c r="A80" s="10"/>
      <c r="B80" s="10"/>
      <c r="C80" s="10"/>
      <c r="D80" s="11"/>
      <c r="E80" s="11"/>
      <c r="F80" s="11"/>
      <c r="G80" s="11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</row>
    <row r="81" ht="13.5" customHeight="1">
      <c r="A81" s="10"/>
      <c r="B81" s="10"/>
      <c r="C81" s="10"/>
      <c r="D81" s="11"/>
      <c r="E81" s="11"/>
      <c r="F81" s="11"/>
      <c r="G81" s="11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</row>
    <row r="82" ht="13.5" customHeight="1">
      <c r="A82" s="10"/>
      <c r="B82" s="10"/>
      <c r="C82" s="10"/>
      <c r="D82" s="11"/>
      <c r="E82" s="11"/>
      <c r="F82" s="11"/>
      <c r="G82" s="11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</row>
    <row r="83" ht="13.5" customHeight="1">
      <c r="A83" s="10"/>
      <c r="B83" s="10"/>
      <c r="C83" s="10"/>
      <c r="D83" s="11"/>
      <c r="E83" s="11"/>
      <c r="F83" s="11"/>
      <c r="G83" s="11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</row>
    <row r="84" ht="13.5" customHeight="1">
      <c r="A84" s="10"/>
      <c r="B84" s="10"/>
      <c r="C84" s="10"/>
      <c r="D84" s="11"/>
      <c r="E84" s="11"/>
      <c r="F84" s="11"/>
      <c r="G84" s="11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</row>
    <row r="85" ht="13.5" customHeight="1">
      <c r="A85" s="10"/>
      <c r="B85" s="10"/>
      <c r="C85" s="10"/>
      <c r="D85" s="11"/>
      <c r="E85" s="11"/>
      <c r="F85" s="11"/>
      <c r="G85" s="11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</row>
    <row r="86" ht="13.5" customHeight="1">
      <c r="A86" s="10"/>
      <c r="B86" s="10"/>
      <c r="C86" s="10"/>
      <c r="D86" s="11"/>
      <c r="E86" s="11"/>
      <c r="F86" s="11"/>
      <c r="G86" s="11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</row>
    <row r="87" ht="13.5" customHeight="1">
      <c r="A87" s="10"/>
      <c r="B87" s="10"/>
      <c r="C87" s="10"/>
      <c r="D87" s="11"/>
      <c r="E87" s="11"/>
      <c r="F87" s="11"/>
      <c r="G87" s="11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</row>
    <row r="88" ht="13.5" customHeight="1">
      <c r="A88" s="10"/>
      <c r="B88" s="10"/>
      <c r="C88" s="10"/>
      <c r="D88" s="11"/>
      <c r="E88" s="11"/>
      <c r="F88" s="11"/>
      <c r="G88" s="11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</row>
    <row r="89" ht="13.5" customHeight="1">
      <c r="A89" s="10"/>
      <c r="B89" s="10"/>
      <c r="C89" s="10"/>
      <c r="D89" s="11"/>
      <c r="E89" s="11"/>
      <c r="F89" s="11"/>
      <c r="G89" s="11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</row>
    <row r="90" ht="13.5" customHeight="1">
      <c r="A90" s="10"/>
      <c r="B90" s="10"/>
      <c r="C90" s="10"/>
      <c r="D90" s="11"/>
      <c r="E90" s="11"/>
      <c r="F90" s="11"/>
      <c r="G90" s="11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</row>
    <row r="91" ht="13.5" customHeight="1">
      <c r="A91" s="10"/>
      <c r="B91" s="10"/>
      <c r="C91" s="10"/>
      <c r="D91" s="11"/>
      <c r="E91" s="11"/>
      <c r="F91" s="11"/>
      <c r="G91" s="11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</row>
    <row r="92" ht="13.5" customHeight="1">
      <c r="A92" s="10"/>
      <c r="B92" s="10"/>
      <c r="C92" s="10"/>
      <c r="D92" s="11"/>
      <c r="E92" s="11"/>
      <c r="F92" s="11"/>
      <c r="G92" s="11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</row>
    <row r="93" ht="13.5" customHeight="1">
      <c r="A93" s="10"/>
      <c r="B93" s="10"/>
      <c r="C93" s="10"/>
      <c r="D93" s="11"/>
      <c r="E93" s="11"/>
      <c r="F93" s="11"/>
      <c r="G93" s="11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</row>
    <row r="94" ht="13.5" customHeight="1">
      <c r="A94" s="10"/>
      <c r="B94" s="10"/>
      <c r="C94" s="10"/>
      <c r="D94" s="11"/>
      <c r="E94" s="11"/>
      <c r="F94" s="11"/>
      <c r="G94" s="11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</row>
    <row r="95" ht="13.5" customHeight="1">
      <c r="A95" s="10"/>
      <c r="B95" s="10"/>
      <c r="C95" s="10"/>
      <c r="D95" s="11"/>
      <c r="E95" s="11"/>
      <c r="F95" s="11"/>
      <c r="G95" s="11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</row>
    <row r="96" ht="13.5" customHeight="1">
      <c r="A96" s="10"/>
      <c r="B96" s="10"/>
      <c r="C96" s="10"/>
      <c r="D96" s="11"/>
      <c r="E96" s="11"/>
      <c r="F96" s="11"/>
      <c r="G96" s="11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</row>
    <row r="97" ht="13.5" customHeight="1">
      <c r="A97" s="10"/>
      <c r="B97" s="10"/>
      <c r="C97" s="10"/>
      <c r="D97" s="11"/>
      <c r="E97" s="11"/>
      <c r="F97" s="11"/>
      <c r="G97" s="11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</row>
    <row r="98" ht="13.5" customHeight="1">
      <c r="A98" s="10"/>
      <c r="B98" s="10"/>
      <c r="C98" s="10"/>
      <c r="D98" s="11"/>
      <c r="E98" s="11"/>
      <c r="F98" s="11"/>
      <c r="G98" s="11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</row>
    <row r="99" ht="13.5" customHeight="1">
      <c r="A99" s="10"/>
      <c r="B99" s="10"/>
      <c r="C99" s="10"/>
      <c r="D99" s="11"/>
      <c r="E99" s="11"/>
      <c r="F99" s="11"/>
      <c r="G99" s="11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</row>
    <row r="100" ht="13.5" customHeight="1">
      <c r="A100" s="10"/>
      <c r="B100" s="10"/>
      <c r="C100" s="10"/>
      <c r="D100" s="11"/>
      <c r="E100" s="11"/>
      <c r="F100" s="11"/>
      <c r="G100" s="11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</row>
    <row r="101" ht="13.5" customHeight="1">
      <c r="A101" s="10"/>
      <c r="B101" s="10"/>
      <c r="C101" s="10"/>
      <c r="D101" s="11"/>
      <c r="E101" s="11"/>
      <c r="F101" s="11"/>
      <c r="G101" s="11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</row>
    <row r="102" ht="13.5" customHeight="1">
      <c r="A102" s="10"/>
      <c r="B102" s="10"/>
      <c r="C102" s="10"/>
      <c r="D102" s="11"/>
      <c r="E102" s="11"/>
      <c r="F102" s="11"/>
      <c r="G102" s="11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</row>
    <row r="103" ht="13.5" customHeight="1">
      <c r="A103" s="10"/>
      <c r="B103" s="10"/>
      <c r="C103" s="10"/>
      <c r="D103" s="11"/>
      <c r="E103" s="11"/>
      <c r="F103" s="11"/>
      <c r="G103" s="11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</row>
    <row r="104" ht="13.5" customHeight="1">
      <c r="A104" s="10"/>
      <c r="B104" s="10"/>
      <c r="C104" s="10"/>
      <c r="D104" s="11"/>
      <c r="E104" s="11"/>
      <c r="F104" s="11"/>
      <c r="G104" s="11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</row>
    <row r="105" ht="13.5" customHeight="1">
      <c r="A105" s="10"/>
      <c r="B105" s="10"/>
      <c r="C105" s="10"/>
      <c r="D105" s="11"/>
      <c r="E105" s="11"/>
      <c r="F105" s="11"/>
      <c r="G105" s="11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</row>
    <row r="106" ht="13.5" customHeight="1">
      <c r="A106" s="10"/>
      <c r="B106" s="10"/>
      <c r="C106" s="10"/>
      <c r="D106" s="11"/>
      <c r="E106" s="11"/>
      <c r="F106" s="11"/>
      <c r="G106" s="11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</row>
    <row r="107" ht="13.5" customHeight="1">
      <c r="A107" s="10"/>
      <c r="B107" s="10"/>
      <c r="C107" s="10"/>
      <c r="D107" s="11"/>
      <c r="E107" s="11"/>
      <c r="F107" s="11"/>
      <c r="G107" s="11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</row>
    <row r="108" ht="13.5" customHeight="1">
      <c r="A108" s="10"/>
      <c r="B108" s="10"/>
      <c r="C108" s="10"/>
      <c r="D108" s="11"/>
      <c r="E108" s="11"/>
      <c r="F108" s="11"/>
      <c r="G108" s="11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</row>
    <row r="109" ht="13.5" customHeight="1">
      <c r="A109" s="10"/>
      <c r="B109" s="10"/>
      <c r="C109" s="10"/>
      <c r="D109" s="11"/>
      <c r="E109" s="11"/>
      <c r="F109" s="11"/>
      <c r="G109" s="11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</row>
    <row r="110" ht="13.5" customHeight="1">
      <c r="A110" s="10"/>
      <c r="B110" s="10"/>
      <c r="C110" s="10"/>
      <c r="D110" s="11"/>
      <c r="E110" s="11"/>
      <c r="F110" s="11"/>
      <c r="G110" s="11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</row>
    <row r="111" ht="13.5" customHeight="1">
      <c r="A111" s="10"/>
      <c r="B111" s="10"/>
      <c r="C111" s="10"/>
      <c r="D111" s="11"/>
      <c r="E111" s="11"/>
      <c r="F111" s="11"/>
      <c r="G111" s="11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</row>
    <row r="112" ht="13.5" customHeight="1">
      <c r="A112" s="10"/>
      <c r="B112" s="10"/>
      <c r="C112" s="10"/>
      <c r="D112" s="11"/>
      <c r="E112" s="11"/>
      <c r="F112" s="11"/>
      <c r="G112" s="11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</row>
    <row r="113" ht="13.5" customHeight="1">
      <c r="A113" s="10"/>
      <c r="B113" s="10"/>
      <c r="C113" s="10"/>
      <c r="D113" s="11"/>
      <c r="E113" s="11"/>
      <c r="F113" s="11"/>
      <c r="G113" s="11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</row>
    <row r="114" ht="13.5" customHeight="1">
      <c r="A114" s="10"/>
      <c r="B114" s="10"/>
      <c r="C114" s="10"/>
      <c r="D114" s="11"/>
      <c r="E114" s="11"/>
      <c r="F114" s="11"/>
      <c r="G114" s="11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</row>
    <row r="115" ht="13.5" customHeight="1">
      <c r="A115" s="10"/>
      <c r="B115" s="10"/>
      <c r="C115" s="10"/>
      <c r="D115" s="11"/>
      <c r="E115" s="11"/>
      <c r="F115" s="11"/>
      <c r="G115" s="11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</row>
    <row r="116" ht="13.5" customHeight="1">
      <c r="A116" s="10"/>
      <c r="B116" s="10"/>
      <c r="C116" s="10"/>
      <c r="D116" s="11"/>
      <c r="E116" s="11"/>
      <c r="F116" s="11"/>
      <c r="G116" s="11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</row>
    <row r="117" ht="13.5" customHeight="1">
      <c r="A117" s="10"/>
      <c r="B117" s="10"/>
      <c r="C117" s="10"/>
      <c r="D117" s="11"/>
      <c r="E117" s="11"/>
      <c r="F117" s="11"/>
      <c r="G117" s="11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</row>
    <row r="118" ht="13.5" customHeight="1">
      <c r="A118" s="10"/>
      <c r="B118" s="10"/>
      <c r="C118" s="10"/>
      <c r="D118" s="11"/>
      <c r="E118" s="11"/>
      <c r="F118" s="11"/>
      <c r="G118" s="11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</row>
    <row r="119" ht="13.5" customHeight="1">
      <c r="A119" s="10"/>
      <c r="B119" s="10"/>
      <c r="C119" s="10"/>
      <c r="D119" s="11"/>
      <c r="E119" s="11"/>
      <c r="F119" s="11"/>
      <c r="G119" s="11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</row>
    <row r="120" ht="13.5" customHeight="1">
      <c r="A120" s="10"/>
      <c r="B120" s="10"/>
      <c r="C120" s="10"/>
      <c r="D120" s="11"/>
      <c r="E120" s="11"/>
      <c r="F120" s="11"/>
      <c r="G120" s="11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</row>
    <row r="121" ht="13.5" customHeight="1">
      <c r="A121" s="10"/>
      <c r="B121" s="10"/>
      <c r="C121" s="10"/>
      <c r="D121" s="11"/>
      <c r="E121" s="11"/>
      <c r="F121" s="11"/>
      <c r="G121" s="11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</row>
    <row r="122" ht="13.5" customHeight="1">
      <c r="A122" s="10"/>
      <c r="B122" s="10"/>
      <c r="C122" s="10"/>
      <c r="D122" s="11"/>
      <c r="E122" s="11"/>
      <c r="F122" s="11"/>
      <c r="G122" s="11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</row>
    <row r="123" ht="13.5" customHeight="1">
      <c r="A123" s="10"/>
      <c r="B123" s="10"/>
      <c r="C123" s="10"/>
      <c r="D123" s="11"/>
      <c r="E123" s="11"/>
      <c r="F123" s="11"/>
      <c r="G123" s="11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</row>
    <row r="124" ht="13.5" customHeight="1">
      <c r="A124" s="10"/>
      <c r="B124" s="10"/>
      <c r="C124" s="10"/>
      <c r="D124" s="11"/>
      <c r="E124" s="11"/>
      <c r="F124" s="11"/>
      <c r="G124" s="11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</row>
    <row r="125" ht="13.5" customHeight="1">
      <c r="A125" s="10"/>
      <c r="B125" s="10"/>
      <c r="C125" s="10"/>
      <c r="D125" s="11"/>
      <c r="E125" s="11"/>
      <c r="F125" s="11"/>
      <c r="G125" s="11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</row>
    <row r="126" ht="13.5" customHeight="1">
      <c r="A126" s="10"/>
      <c r="B126" s="10"/>
      <c r="C126" s="10"/>
      <c r="D126" s="11"/>
      <c r="E126" s="11"/>
      <c r="F126" s="11"/>
      <c r="G126" s="11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</row>
    <row r="127" ht="13.5" customHeight="1">
      <c r="A127" s="10"/>
      <c r="B127" s="10"/>
      <c r="C127" s="10"/>
      <c r="D127" s="11"/>
      <c r="E127" s="11"/>
      <c r="F127" s="11"/>
      <c r="G127" s="11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</row>
    <row r="128" ht="13.5" customHeight="1">
      <c r="A128" s="10"/>
      <c r="B128" s="10"/>
      <c r="C128" s="10"/>
      <c r="D128" s="11"/>
      <c r="E128" s="11"/>
      <c r="F128" s="11"/>
      <c r="G128" s="11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</row>
    <row r="129" ht="13.5" customHeight="1">
      <c r="A129" s="10"/>
      <c r="B129" s="10"/>
      <c r="C129" s="10"/>
      <c r="D129" s="11"/>
      <c r="E129" s="11"/>
      <c r="F129" s="11"/>
      <c r="G129" s="11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</row>
    <row r="130" ht="13.5" customHeight="1">
      <c r="A130" s="10"/>
      <c r="B130" s="10"/>
      <c r="C130" s="10"/>
      <c r="D130" s="11"/>
      <c r="E130" s="11"/>
      <c r="F130" s="11"/>
      <c r="G130" s="11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</row>
    <row r="131" ht="13.5" customHeight="1">
      <c r="A131" s="10"/>
      <c r="B131" s="10"/>
      <c r="C131" s="10"/>
      <c r="D131" s="11"/>
      <c r="E131" s="11"/>
      <c r="F131" s="11"/>
      <c r="G131" s="11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</row>
    <row r="132" ht="13.5" customHeight="1">
      <c r="A132" s="10"/>
      <c r="B132" s="10"/>
      <c r="C132" s="10"/>
      <c r="D132" s="11"/>
      <c r="E132" s="11"/>
      <c r="F132" s="11"/>
      <c r="G132" s="11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</row>
    <row r="133" ht="13.5" customHeight="1">
      <c r="A133" s="10"/>
      <c r="B133" s="10"/>
      <c r="C133" s="10"/>
      <c r="D133" s="11"/>
      <c r="E133" s="11"/>
      <c r="F133" s="11"/>
      <c r="G133" s="11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</row>
    <row r="134" ht="13.5" customHeight="1">
      <c r="A134" s="10"/>
      <c r="B134" s="10"/>
      <c r="C134" s="10"/>
      <c r="D134" s="11"/>
      <c r="E134" s="11"/>
      <c r="F134" s="11"/>
      <c r="G134" s="11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</row>
    <row r="135" ht="13.5" customHeight="1">
      <c r="A135" s="10"/>
      <c r="B135" s="10"/>
      <c r="C135" s="10"/>
      <c r="D135" s="11"/>
      <c r="E135" s="11"/>
      <c r="F135" s="11"/>
      <c r="G135" s="11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</row>
    <row r="136" ht="13.5" customHeight="1">
      <c r="A136" s="10"/>
      <c r="B136" s="10"/>
      <c r="C136" s="10"/>
      <c r="D136" s="11"/>
      <c r="E136" s="11"/>
      <c r="F136" s="11"/>
      <c r="G136" s="11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</row>
    <row r="137" ht="13.5" customHeight="1">
      <c r="A137" s="10"/>
      <c r="B137" s="10"/>
      <c r="C137" s="10"/>
      <c r="D137" s="11"/>
      <c r="E137" s="11"/>
      <c r="F137" s="11"/>
      <c r="G137" s="11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</row>
    <row r="138" ht="13.5" customHeight="1">
      <c r="A138" s="10"/>
      <c r="B138" s="10"/>
      <c r="C138" s="10"/>
      <c r="D138" s="11"/>
      <c r="E138" s="11"/>
      <c r="F138" s="11"/>
      <c r="G138" s="11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</row>
    <row r="139" ht="13.5" customHeight="1">
      <c r="A139" s="10"/>
      <c r="B139" s="10"/>
      <c r="C139" s="10"/>
      <c r="D139" s="11"/>
      <c r="E139" s="11"/>
      <c r="F139" s="11"/>
      <c r="G139" s="11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</row>
    <row r="140" ht="13.5" customHeight="1">
      <c r="A140" s="10"/>
      <c r="B140" s="10"/>
      <c r="C140" s="10"/>
      <c r="D140" s="11"/>
      <c r="E140" s="11"/>
      <c r="F140" s="11"/>
      <c r="G140" s="11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</row>
    <row r="141" ht="13.5" customHeight="1">
      <c r="A141" s="10"/>
      <c r="B141" s="10"/>
      <c r="C141" s="10"/>
      <c r="D141" s="11"/>
      <c r="E141" s="11"/>
      <c r="F141" s="11"/>
      <c r="G141" s="11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</row>
    <row r="142" ht="13.5" customHeight="1">
      <c r="A142" s="10"/>
      <c r="B142" s="10"/>
      <c r="C142" s="10"/>
      <c r="D142" s="11"/>
      <c r="E142" s="11"/>
      <c r="F142" s="11"/>
      <c r="G142" s="11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</row>
    <row r="143" ht="13.5" customHeight="1">
      <c r="A143" s="10"/>
      <c r="B143" s="10"/>
      <c r="C143" s="10"/>
      <c r="D143" s="11"/>
      <c r="E143" s="11"/>
      <c r="F143" s="11"/>
      <c r="G143" s="11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</row>
    <row r="144" ht="13.5" customHeight="1">
      <c r="A144" s="10"/>
      <c r="B144" s="10"/>
      <c r="C144" s="10"/>
      <c r="D144" s="11"/>
      <c r="E144" s="11"/>
      <c r="F144" s="11"/>
      <c r="G144" s="11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</row>
    <row r="145" ht="13.5" customHeight="1">
      <c r="A145" s="10"/>
      <c r="B145" s="10"/>
      <c r="C145" s="10"/>
      <c r="D145" s="11"/>
      <c r="E145" s="11"/>
      <c r="F145" s="11"/>
      <c r="G145" s="11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</row>
    <row r="146" ht="13.5" customHeight="1">
      <c r="A146" s="10"/>
      <c r="B146" s="10"/>
      <c r="C146" s="10"/>
      <c r="D146" s="11"/>
      <c r="E146" s="11"/>
      <c r="F146" s="11"/>
      <c r="G146" s="11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</row>
    <row r="147" ht="13.5" customHeight="1">
      <c r="A147" s="10"/>
      <c r="B147" s="10"/>
      <c r="C147" s="10"/>
      <c r="D147" s="11"/>
      <c r="E147" s="11"/>
      <c r="F147" s="11"/>
      <c r="G147" s="11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</row>
    <row r="148" ht="13.5" customHeight="1">
      <c r="A148" s="10"/>
      <c r="B148" s="10"/>
      <c r="C148" s="10"/>
      <c r="D148" s="11"/>
      <c r="E148" s="11"/>
      <c r="F148" s="11"/>
      <c r="G148" s="11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</row>
    <row r="149" ht="13.5" customHeight="1">
      <c r="A149" s="10"/>
      <c r="B149" s="10"/>
      <c r="C149" s="10"/>
      <c r="D149" s="11"/>
      <c r="E149" s="11"/>
      <c r="F149" s="11"/>
      <c r="G149" s="11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</row>
    <row r="150" ht="13.5" customHeight="1">
      <c r="A150" s="10"/>
      <c r="B150" s="10"/>
      <c r="C150" s="10"/>
      <c r="D150" s="11"/>
      <c r="E150" s="11"/>
      <c r="F150" s="11"/>
      <c r="G150" s="11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</row>
    <row r="151" ht="13.5" customHeight="1">
      <c r="A151" s="10"/>
      <c r="B151" s="10"/>
      <c r="C151" s="10"/>
      <c r="D151" s="11"/>
      <c r="E151" s="11"/>
      <c r="F151" s="11"/>
      <c r="G151" s="11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</row>
    <row r="152" ht="13.5" customHeight="1">
      <c r="A152" s="10"/>
      <c r="B152" s="10"/>
      <c r="C152" s="10"/>
      <c r="D152" s="11"/>
      <c r="E152" s="11"/>
      <c r="F152" s="11"/>
      <c r="G152" s="11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</row>
    <row r="153" ht="13.5" customHeight="1">
      <c r="A153" s="10"/>
      <c r="B153" s="10"/>
      <c r="C153" s="10"/>
      <c r="D153" s="11"/>
      <c r="E153" s="11"/>
      <c r="F153" s="11"/>
      <c r="G153" s="11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</row>
    <row r="154" ht="13.5" customHeight="1">
      <c r="A154" s="10"/>
      <c r="B154" s="10"/>
      <c r="C154" s="10"/>
      <c r="D154" s="11"/>
      <c r="E154" s="11"/>
      <c r="F154" s="11"/>
      <c r="G154" s="11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</row>
    <row r="155" ht="13.5" customHeight="1">
      <c r="A155" s="10"/>
      <c r="B155" s="10"/>
      <c r="C155" s="10"/>
      <c r="D155" s="11"/>
      <c r="E155" s="11"/>
      <c r="F155" s="11"/>
      <c r="G155" s="11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</row>
    <row r="156" ht="13.5" customHeight="1">
      <c r="A156" s="10"/>
      <c r="B156" s="10"/>
      <c r="C156" s="10"/>
      <c r="D156" s="11"/>
      <c r="E156" s="11"/>
      <c r="F156" s="11"/>
      <c r="G156" s="11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</row>
    <row r="157" ht="13.5" customHeight="1">
      <c r="A157" s="10"/>
      <c r="B157" s="10"/>
      <c r="C157" s="10"/>
      <c r="D157" s="11"/>
      <c r="E157" s="11"/>
      <c r="F157" s="11"/>
      <c r="G157" s="11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</row>
    <row r="158" ht="13.5" customHeight="1">
      <c r="A158" s="10"/>
      <c r="B158" s="10"/>
      <c r="C158" s="10"/>
      <c r="D158" s="11"/>
      <c r="E158" s="11"/>
      <c r="F158" s="11"/>
      <c r="G158" s="11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</row>
    <row r="159" ht="13.5" customHeight="1">
      <c r="A159" s="10"/>
      <c r="B159" s="10"/>
      <c r="C159" s="10"/>
      <c r="D159" s="11"/>
      <c r="E159" s="11"/>
      <c r="F159" s="11"/>
      <c r="G159" s="11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</row>
    <row r="160" ht="13.5" customHeight="1">
      <c r="A160" s="10"/>
      <c r="B160" s="10"/>
      <c r="C160" s="10"/>
      <c r="D160" s="11"/>
      <c r="E160" s="11"/>
      <c r="F160" s="11"/>
      <c r="G160" s="11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</row>
    <row r="161" ht="13.5" customHeight="1">
      <c r="A161" s="10"/>
      <c r="B161" s="10"/>
      <c r="C161" s="10"/>
      <c r="D161" s="11"/>
      <c r="E161" s="11"/>
      <c r="F161" s="11"/>
      <c r="G161" s="11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</row>
    <row r="162" ht="13.5" customHeight="1">
      <c r="A162" s="10"/>
      <c r="B162" s="10"/>
      <c r="C162" s="10"/>
      <c r="D162" s="11"/>
      <c r="E162" s="11"/>
      <c r="F162" s="11"/>
      <c r="G162" s="11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</row>
    <row r="163" ht="13.5" customHeight="1">
      <c r="A163" s="10"/>
      <c r="B163" s="10"/>
      <c r="C163" s="10"/>
      <c r="D163" s="11"/>
      <c r="E163" s="11"/>
      <c r="F163" s="11"/>
      <c r="G163" s="11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</row>
    <row r="164" ht="13.5" customHeight="1">
      <c r="A164" s="10"/>
      <c r="B164" s="10"/>
      <c r="C164" s="10"/>
      <c r="D164" s="11"/>
      <c r="E164" s="11"/>
      <c r="F164" s="11"/>
      <c r="G164" s="11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</row>
    <row r="165" ht="13.5" customHeight="1">
      <c r="A165" s="10"/>
      <c r="B165" s="10"/>
      <c r="C165" s="10"/>
      <c r="D165" s="11"/>
      <c r="E165" s="11"/>
      <c r="F165" s="11"/>
      <c r="G165" s="11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</row>
    <row r="166" ht="13.5" customHeight="1">
      <c r="A166" s="10"/>
      <c r="B166" s="10"/>
      <c r="C166" s="10"/>
      <c r="D166" s="11"/>
      <c r="E166" s="11"/>
      <c r="F166" s="11"/>
      <c r="G166" s="11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</row>
    <row r="167" ht="13.5" customHeight="1">
      <c r="A167" s="10"/>
      <c r="B167" s="10"/>
      <c r="C167" s="10"/>
      <c r="D167" s="11"/>
      <c r="E167" s="11"/>
      <c r="F167" s="11"/>
      <c r="G167" s="11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</row>
    <row r="168" ht="13.5" customHeight="1">
      <c r="A168" s="10"/>
      <c r="B168" s="10"/>
      <c r="C168" s="10"/>
      <c r="D168" s="11"/>
      <c r="E168" s="11"/>
      <c r="F168" s="11"/>
      <c r="G168" s="11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</row>
    <row r="169" ht="13.5" customHeight="1">
      <c r="A169" s="10"/>
      <c r="B169" s="10"/>
      <c r="C169" s="10"/>
      <c r="D169" s="11"/>
      <c r="E169" s="11"/>
      <c r="F169" s="11"/>
      <c r="G169" s="11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</row>
    <row r="170" ht="13.5" customHeight="1">
      <c r="A170" s="10"/>
      <c r="B170" s="10"/>
      <c r="C170" s="10"/>
      <c r="D170" s="11"/>
      <c r="E170" s="11"/>
      <c r="F170" s="11"/>
      <c r="G170" s="11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</row>
    <row r="171" ht="13.5" customHeight="1">
      <c r="A171" s="10"/>
      <c r="B171" s="10"/>
      <c r="C171" s="10"/>
      <c r="D171" s="11"/>
      <c r="E171" s="11"/>
      <c r="F171" s="11"/>
      <c r="G171" s="11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</row>
    <row r="172" ht="13.5" customHeight="1">
      <c r="A172" s="10"/>
      <c r="B172" s="10"/>
      <c r="C172" s="10"/>
      <c r="D172" s="11"/>
      <c r="E172" s="11"/>
      <c r="F172" s="11"/>
      <c r="G172" s="11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</row>
    <row r="173" ht="13.5" customHeight="1">
      <c r="A173" s="10"/>
      <c r="B173" s="10"/>
      <c r="C173" s="10"/>
      <c r="D173" s="11"/>
      <c r="E173" s="11"/>
      <c r="F173" s="11"/>
      <c r="G173" s="11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</row>
    <row r="174" ht="13.5" customHeight="1">
      <c r="A174" s="10"/>
      <c r="B174" s="10"/>
      <c r="C174" s="10"/>
      <c r="D174" s="11"/>
      <c r="E174" s="11"/>
      <c r="F174" s="11"/>
      <c r="G174" s="11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</row>
    <row r="175" ht="13.5" customHeight="1">
      <c r="A175" s="10"/>
      <c r="B175" s="10"/>
      <c r="C175" s="10"/>
      <c r="D175" s="11"/>
      <c r="E175" s="11"/>
      <c r="F175" s="11"/>
      <c r="G175" s="11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</row>
    <row r="176" ht="13.5" customHeight="1">
      <c r="A176" s="10"/>
      <c r="B176" s="10"/>
      <c r="C176" s="10"/>
      <c r="D176" s="11"/>
      <c r="E176" s="11"/>
      <c r="F176" s="11"/>
      <c r="G176" s="11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</row>
    <row r="177" ht="13.5" customHeight="1">
      <c r="A177" s="10"/>
      <c r="B177" s="10"/>
      <c r="C177" s="10"/>
      <c r="D177" s="11"/>
      <c r="E177" s="11"/>
      <c r="F177" s="11"/>
      <c r="G177" s="11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</row>
    <row r="178" ht="13.5" customHeight="1">
      <c r="A178" s="10"/>
      <c r="B178" s="10"/>
      <c r="C178" s="10"/>
      <c r="D178" s="11"/>
      <c r="E178" s="11"/>
      <c r="F178" s="11"/>
      <c r="G178" s="11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</row>
    <row r="179" ht="13.5" customHeight="1">
      <c r="A179" s="10"/>
      <c r="B179" s="10"/>
      <c r="C179" s="10"/>
      <c r="D179" s="11"/>
      <c r="E179" s="11"/>
      <c r="F179" s="11"/>
      <c r="G179" s="11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</row>
    <row r="180" ht="13.5" customHeight="1">
      <c r="A180" s="10"/>
      <c r="B180" s="10"/>
      <c r="C180" s="10"/>
      <c r="D180" s="11"/>
      <c r="E180" s="11"/>
      <c r="F180" s="11"/>
      <c r="G180" s="11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</row>
    <row r="181" ht="13.5" customHeight="1">
      <c r="A181" s="10"/>
      <c r="B181" s="10"/>
      <c r="C181" s="10"/>
      <c r="D181" s="11"/>
      <c r="E181" s="11"/>
      <c r="F181" s="11"/>
      <c r="G181" s="11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</row>
    <row r="182" ht="13.5" customHeight="1">
      <c r="A182" s="10"/>
      <c r="B182" s="10"/>
      <c r="C182" s="10"/>
      <c r="D182" s="11"/>
      <c r="E182" s="11"/>
      <c r="F182" s="11"/>
      <c r="G182" s="11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</row>
    <row r="183" ht="13.5" customHeight="1">
      <c r="A183" s="10"/>
      <c r="B183" s="10"/>
      <c r="C183" s="10"/>
      <c r="D183" s="11"/>
      <c r="E183" s="11"/>
      <c r="F183" s="11"/>
      <c r="G183" s="11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</row>
    <row r="184" ht="13.5" customHeight="1">
      <c r="A184" s="10"/>
      <c r="B184" s="10"/>
      <c r="C184" s="10"/>
      <c r="D184" s="11"/>
      <c r="E184" s="11"/>
      <c r="F184" s="11"/>
      <c r="G184" s="11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</row>
    <row r="185" ht="13.5" customHeight="1">
      <c r="A185" s="10"/>
      <c r="B185" s="10"/>
      <c r="C185" s="10"/>
      <c r="D185" s="11"/>
      <c r="E185" s="11"/>
      <c r="F185" s="11"/>
      <c r="G185" s="11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</row>
    <row r="186" ht="13.5" customHeight="1">
      <c r="A186" s="10"/>
      <c r="B186" s="10"/>
      <c r="C186" s="10"/>
      <c r="D186" s="11"/>
      <c r="E186" s="11"/>
      <c r="F186" s="11"/>
      <c r="G186" s="11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</row>
    <row r="187" ht="13.5" customHeight="1">
      <c r="A187" s="10"/>
      <c r="B187" s="10"/>
      <c r="C187" s="10"/>
      <c r="D187" s="11"/>
      <c r="E187" s="11"/>
      <c r="F187" s="11"/>
      <c r="G187" s="11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</row>
    <row r="188" ht="13.5" customHeight="1">
      <c r="A188" s="10"/>
      <c r="B188" s="10"/>
      <c r="C188" s="10"/>
      <c r="D188" s="11"/>
      <c r="E188" s="11"/>
      <c r="F188" s="11"/>
      <c r="G188" s="11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</row>
    <row r="189" ht="13.5" customHeight="1">
      <c r="A189" s="10"/>
      <c r="B189" s="10"/>
      <c r="C189" s="10"/>
      <c r="D189" s="11"/>
      <c r="E189" s="11"/>
      <c r="F189" s="11"/>
      <c r="G189" s="11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</row>
    <row r="190" ht="13.5" customHeight="1">
      <c r="A190" s="10"/>
      <c r="B190" s="10"/>
      <c r="C190" s="10"/>
      <c r="D190" s="11"/>
      <c r="E190" s="11"/>
      <c r="F190" s="11"/>
      <c r="G190" s="11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</row>
    <row r="191" ht="13.5" customHeight="1">
      <c r="A191" s="10"/>
      <c r="B191" s="10"/>
      <c r="C191" s="10"/>
      <c r="D191" s="11"/>
      <c r="E191" s="11"/>
      <c r="F191" s="11"/>
      <c r="G191" s="11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</row>
    <row r="192" ht="13.5" customHeight="1">
      <c r="A192" s="10"/>
      <c r="B192" s="10"/>
      <c r="C192" s="10"/>
      <c r="D192" s="11"/>
      <c r="E192" s="11"/>
      <c r="F192" s="11"/>
      <c r="G192" s="11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</row>
    <row r="193" ht="13.5" customHeight="1">
      <c r="A193" s="10"/>
      <c r="B193" s="10"/>
      <c r="C193" s="10"/>
      <c r="D193" s="11"/>
      <c r="E193" s="11"/>
      <c r="F193" s="11"/>
      <c r="G193" s="11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</row>
    <row r="194" ht="13.5" customHeight="1">
      <c r="A194" s="10"/>
      <c r="B194" s="10"/>
      <c r="C194" s="10"/>
      <c r="D194" s="11"/>
      <c r="E194" s="11"/>
      <c r="F194" s="11"/>
      <c r="G194" s="11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</row>
    <row r="195" ht="13.5" customHeight="1">
      <c r="A195" s="10"/>
      <c r="B195" s="10"/>
      <c r="C195" s="10"/>
      <c r="D195" s="11"/>
      <c r="E195" s="11"/>
      <c r="F195" s="11"/>
      <c r="G195" s="11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</row>
    <row r="196" ht="13.5" customHeight="1">
      <c r="A196" s="10"/>
      <c r="B196" s="10"/>
      <c r="C196" s="10"/>
      <c r="D196" s="11"/>
      <c r="E196" s="11"/>
      <c r="F196" s="11"/>
      <c r="G196" s="11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</row>
    <row r="197" ht="13.5" customHeight="1">
      <c r="A197" s="10"/>
      <c r="B197" s="10"/>
      <c r="C197" s="10"/>
      <c r="D197" s="11"/>
      <c r="E197" s="11"/>
      <c r="F197" s="11"/>
      <c r="G197" s="11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</row>
    <row r="198" ht="13.5" customHeight="1">
      <c r="A198" s="10"/>
      <c r="B198" s="10"/>
      <c r="C198" s="10"/>
      <c r="D198" s="11"/>
      <c r="E198" s="11"/>
      <c r="F198" s="11"/>
      <c r="G198" s="11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</row>
    <row r="199" ht="13.5" customHeight="1">
      <c r="A199" s="10"/>
      <c r="B199" s="10"/>
      <c r="C199" s="10"/>
      <c r="D199" s="11"/>
      <c r="E199" s="11"/>
      <c r="F199" s="11"/>
      <c r="G199" s="11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</row>
    <row r="200" ht="13.5" customHeight="1">
      <c r="A200" s="10"/>
      <c r="B200" s="10"/>
      <c r="C200" s="10"/>
      <c r="D200" s="11"/>
      <c r="E200" s="11"/>
      <c r="F200" s="11"/>
      <c r="G200" s="11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</row>
    <row r="201" ht="13.5" customHeight="1">
      <c r="A201" s="10"/>
      <c r="B201" s="10"/>
      <c r="C201" s="10"/>
      <c r="D201" s="11"/>
      <c r="E201" s="11"/>
      <c r="F201" s="11"/>
      <c r="G201" s="11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</row>
    <row r="202" ht="13.5" customHeight="1">
      <c r="A202" s="10"/>
      <c r="B202" s="10"/>
      <c r="C202" s="10"/>
      <c r="D202" s="11"/>
      <c r="E202" s="11"/>
      <c r="F202" s="11"/>
      <c r="G202" s="11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</row>
    <row r="203" ht="13.5" customHeight="1">
      <c r="A203" s="10"/>
      <c r="B203" s="10"/>
      <c r="C203" s="10"/>
      <c r="D203" s="11"/>
      <c r="E203" s="11"/>
      <c r="F203" s="11"/>
      <c r="G203" s="11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</row>
    <row r="204" ht="13.5" customHeight="1">
      <c r="A204" s="10"/>
      <c r="B204" s="10"/>
      <c r="C204" s="10"/>
      <c r="D204" s="11"/>
      <c r="E204" s="11"/>
      <c r="F204" s="11"/>
      <c r="G204" s="11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</row>
    <row r="205" ht="13.5" customHeight="1">
      <c r="A205" s="10"/>
      <c r="B205" s="10"/>
      <c r="C205" s="10"/>
      <c r="D205" s="11"/>
      <c r="E205" s="11"/>
      <c r="F205" s="11"/>
      <c r="G205" s="11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</row>
    <row r="206" ht="13.5" customHeight="1">
      <c r="A206" s="10"/>
      <c r="B206" s="10"/>
      <c r="C206" s="10"/>
      <c r="D206" s="11"/>
      <c r="E206" s="11"/>
      <c r="F206" s="11"/>
      <c r="G206" s="11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</row>
    <row r="207" ht="13.5" customHeight="1">
      <c r="A207" s="10"/>
      <c r="B207" s="10"/>
      <c r="C207" s="10"/>
      <c r="D207" s="11"/>
      <c r="E207" s="11"/>
      <c r="F207" s="11"/>
      <c r="G207" s="11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</row>
    <row r="208" ht="13.5" customHeight="1">
      <c r="A208" s="10"/>
      <c r="B208" s="10"/>
      <c r="C208" s="10"/>
      <c r="D208" s="11"/>
      <c r="E208" s="11"/>
      <c r="F208" s="11"/>
      <c r="G208" s="11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</row>
    <row r="209" ht="13.5" customHeight="1">
      <c r="A209" s="10"/>
      <c r="B209" s="10"/>
      <c r="C209" s="10"/>
      <c r="D209" s="11"/>
      <c r="E209" s="11"/>
      <c r="F209" s="11"/>
      <c r="G209" s="11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</row>
    <row r="210" ht="13.5" customHeight="1">
      <c r="A210" s="10"/>
      <c r="B210" s="10"/>
      <c r="C210" s="10"/>
      <c r="D210" s="11"/>
      <c r="E210" s="11"/>
      <c r="F210" s="11"/>
      <c r="G210" s="11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</row>
    <row r="211" ht="13.5" customHeight="1">
      <c r="A211" s="10"/>
      <c r="B211" s="10"/>
      <c r="C211" s="10"/>
      <c r="D211" s="11"/>
      <c r="E211" s="11"/>
      <c r="F211" s="11"/>
      <c r="G211" s="11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</row>
    <row r="212" ht="13.5" customHeight="1">
      <c r="A212" s="10"/>
      <c r="B212" s="10"/>
      <c r="C212" s="10"/>
      <c r="D212" s="11"/>
      <c r="E212" s="11"/>
      <c r="F212" s="11"/>
      <c r="G212" s="11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</row>
    <row r="213" ht="13.5" customHeight="1">
      <c r="A213" s="10"/>
      <c r="B213" s="10"/>
      <c r="C213" s="10"/>
      <c r="D213" s="11"/>
      <c r="E213" s="11"/>
      <c r="F213" s="11"/>
      <c r="G213" s="11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</row>
    <row r="214" ht="13.5" customHeight="1">
      <c r="A214" s="10"/>
      <c r="B214" s="10"/>
      <c r="C214" s="10"/>
      <c r="D214" s="11"/>
      <c r="E214" s="11"/>
      <c r="F214" s="11"/>
      <c r="G214" s="11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</row>
    <row r="215" ht="13.5" customHeight="1">
      <c r="A215" s="10"/>
      <c r="B215" s="10"/>
      <c r="C215" s="10"/>
      <c r="D215" s="11"/>
      <c r="E215" s="11"/>
      <c r="F215" s="11"/>
      <c r="G215" s="11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</row>
    <row r="216" ht="13.5" customHeight="1">
      <c r="A216" s="10"/>
      <c r="B216" s="10"/>
      <c r="C216" s="10"/>
      <c r="D216" s="11"/>
      <c r="E216" s="11"/>
      <c r="F216" s="11"/>
      <c r="G216" s="11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</row>
    <row r="217" ht="13.5" customHeight="1">
      <c r="A217" s="10"/>
      <c r="B217" s="10"/>
      <c r="C217" s="10"/>
      <c r="D217" s="11"/>
      <c r="E217" s="11"/>
      <c r="F217" s="11"/>
      <c r="G217" s="11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</row>
    <row r="218" ht="13.5" customHeight="1">
      <c r="A218" s="10"/>
      <c r="B218" s="10"/>
      <c r="C218" s="10"/>
      <c r="D218" s="11"/>
      <c r="E218" s="11"/>
      <c r="F218" s="11"/>
      <c r="G218" s="11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</row>
    <row r="219" ht="13.5" customHeight="1">
      <c r="A219" s="10"/>
      <c r="B219" s="10"/>
      <c r="C219" s="10"/>
      <c r="D219" s="11"/>
      <c r="E219" s="11"/>
      <c r="F219" s="11"/>
      <c r="G219" s="11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</row>
    <row r="220" ht="13.5" customHeight="1">
      <c r="A220" s="10"/>
      <c r="B220" s="10"/>
      <c r="C220" s="10"/>
      <c r="D220" s="11"/>
      <c r="E220" s="11"/>
      <c r="F220" s="11"/>
      <c r="G220" s="11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</row>
    <row r="221" ht="13.5" customHeight="1">
      <c r="A221" s="10"/>
      <c r="B221" s="10"/>
      <c r="C221" s="10"/>
      <c r="D221" s="11"/>
      <c r="E221" s="11"/>
      <c r="F221" s="11"/>
      <c r="G221" s="11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</row>
    <row r="222" ht="13.5" customHeight="1">
      <c r="A222" s="10"/>
      <c r="B222" s="10"/>
      <c r="C222" s="10"/>
      <c r="D222" s="11"/>
      <c r="E222" s="11"/>
      <c r="F222" s="11"/>
      <c r="G222" s="11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</row>
    <row r="223" ht="13.5" customHeight="1">
      <c r="A223" s="10"/>
      <c r="B223" s="10"/>
      <c r="C223" s="10"/>
      <c r="D223" s="11"/>
      <c r="E223" s="11"/>
      <c r="F223" s="11"/>
      <c r="G223" s="11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</row>
    <row r="224" ht="13.5" customHeight="1">
      <c r="A224" s="10"/>
      <c r="B224" s="10"/>
      <c r="C224" s="10"/>
      <c r="D224" s="11"/>
      <c r="E224" s="11"/>
      <c r="F224" s="11"/>
      <c r="G224" s="11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</row>
    <row r="225" ht="13.5" customHeight="1">
      <c r="A225" s="10"/>
      <c r="B225" s="10"/>
      <c r="C225" s="10"/>
      <c r="D225" s="11"/>
      <c r="E225" s="11"/>
      <c r="F225" s="11"/>
      <c r="G225" s="11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</row>
    <row r="226" ht="13.5" customHeight="1">
      <c r="A226" s="10"/>
      <c r="B226" s="10"/>
      <c r="C226" s="10"/>
      <c r="D226" s="11"/>
      <c r="E226" s="11"/>
      <c r="F226" s="11"/>
      <c r="G226" s="11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</row>
    <row r="227" ht="13.5" customHeight="1">
      <c r="A227" s="10"/>
      <c r="B227" s="10"/>
      <c r="C227" s="10"/>
      <c r="D227" s="11"/>
      <c r="E227" s="11"/>
      <c r="F227" s="11"/>
      <c r="G227" s="11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</row>
    <row r="228" ht="13.5" customHeight="1">
      <c r="A228" s="10"/>
      <c r="B228" s="10"/>
      <c r="C228" s="10"/>
      <c r="D228" s="11"/>
      <c r="E228" s="11"/>
      <c r="F228" s="11"/>
      <c r="G228" s="11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</row>
    <row r="229" ht="13.5" customHeight="1">
      <c r="A229" s="10"/>
      <c r="B229" s="10"/>
      <c r="C229" s="10"/>
      <c r="D229" s="11"/>
      <c r="E229" s="11"/>
      <c r="F229" s="11"/>
      <c r="G229" s="11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</row>
    <row r="230" ht="13.5" customHeight="1">
      <c r="A230" s="10"/>
      <c r="B230" s="10"/>
      <c r="C230" s="10"/>
      <c r="D230" s="11"/>
      <c r="E230" s="11"/>
      <c r="F230" s="11"/>
      <c r="G230" s="11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</row>
    <row r="231" ht="13.5" customHeight="1">
      <c r="A231" s="10"/>
      <c r="B231" s="10"/>
      <c r="C231" s="10"/>
      <c r="D231" s="11"/>
      <c r="E231" s="11"/>
      <c r="F231" s="11"/>
      <c r="G231" s="11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</row>
    <row r="232" ht="13.5" customHeight="1">
      <c r="A232" s="10"/>
      <c r="B232" s="10"/>
      <c r="C232" s="10"/>
      <c r="D232" s="11"/>
      <c r="E232" s="11"/>
      <c r="F232" s="11"/>
      <c r="G232" s="11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</row>
    <row r="233" ht="13.5" customHeight="1">
      <c r="A233" s="10"/>
      <c r="B233" s="10"/>
      <c r="C233" s="10"/>
      <c r="D233" s="11"/>
      <c r="E233" s="11"/>
      <c r="F233" s="11"/>
      <c r="G233" s="11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</row>
    <row r="234" ht="13.5" customHeight="1">
      <c r="A234" s="10"/>
      <c r="B234" s="10"/>
      <c r="C234" s="10"/>
      <c r="D234" s="11"/>
      <c r="E234" s="11"/>
      <c r="F234" s="11"/>
      <c r="G234" s="11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</row>
    <row r="235" ht="13.5" customHeight="1">
      <c r="A235" s="10"/>
      <c r="B235" s="10"/>
      <c r="C235" s="10"/>
      <c r="D235" s="11"/>
      <c r="E235" s="11"/>
      <c r="F235" s="11"/>
      <c r="G235" s="11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</row>
    <row r="236" ht="13.5" customHeight="1">
      <c r="A236" s="10"/>
      <c r="B236" s="10"/>
      <c r="C236" s="10"/>
      <c r="D236" s="11"/>
      <c r="E236" s="11"/>
      <c r="F236" s="11"/>
      <c r="G236" s="11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</row>
    <row r="237" ht="13.5" customHeight="1">
      <c r="A237" s="10"/>
      <c r="B237" s="10"/>
      <c r="C237" s="10"/>
      <c r="D237" s="11"/>
      <c r="E237" s="11"/>
      <c r="F237" s="11"/>
      <c r="G237" s="11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</row>
    <row r="238" ht="13.5" customHeight="1">
      <c r="A238" s="10"/>
      <c r="B238" s="10"/>
      <c r="C238" s="10"/>
      <c r="D238" s="11"/>
      <c r="E238" s="11"/>
      <c r="F238" s="11"/>
      <c r="G238" s="11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</row>
    <row r="239" ht="13.5" customHeight="1">
      <c r="A239" s="10"/>
      <c r="B239" s="10"/>
      <c r="C239" s="10"/>
      <c r="D239" s="11"/>
      <c r="E239" s="11"/>
      <c r="F239" s="11"/>
      <c r="G239" s="11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</row>
    <row r="240" ht="13.5" customHeight="1">
      <c r="A240" s="10"/>
      <c r="B240" s="10"/>
      <c r="C240" s="10"/>
      <c r="D240" s="11"/>
      <c r="E240" s="11"/>
      <c r="F240" s="11"/>
      <c r="G240" s="11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</row>
    <row r="241" ht="13.5" customHeight="1">
      <c r="A241" s="10"/>
      <c r="B241" s="10"/>
      <c r="C241" s="10"/>
      <c r="D241" s="11"/>
      <c r="E241" s="11"/>
      <c r="F241" s="11"/>
      <c r="G241" s="11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</row>
    <row r="242" ht="13.5" customHeight="1">
      <c r="A242" s="10"/>
      <c r="B242" s="10"/>
      <c r="C242" s="10"/>
      <c r="D242" s="11"/>
      <c r="E242" s="11"/>
      <c r="F242" s="11"/>
      <c r="G242" s="11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</row>
    <row r="243" ht="13.5" customHeight="1">
      <c r="A243" s="10"/>
      <c r="B243" s="10"/>
      <c r="C243" s="10"/>
      <c r="D243" s="11"/>
      <c r="E243" s="11"/>
      <c r="F243" s="11"/>
      <c r="G243" s="11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</row>
    <row r="244" ht="13.5" customHeight="1">
      <c r="A244" s="10"/>
      <c r="B244" s="10"/>
      <c r="C244" s="10"/>
      <c r="D244" s="11"/>
      <c r="E244" s="11"/>
      <c r="F244" s="11"/>
      <c r="G244" s="11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</row>
    <row r="245" ht="13.5" customHeight="1">
      <c r="A245" s="10"/>
      <c r="B245" s="10"/>
      <c r="C245" s="10"/>
      <c r="D245" s="11"/>
      <c r="E245" s="11"/>
      <c r="F245" s="11"/>
      <c r="G245" s="11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</row>
    <row r="246" ht="13.5" customHeight="1">
      <c r="A246" s="10"/>
      <c r="B246" s="10"/>
      <c r="C246" s="10"/>
      <c r="D246" s="11"/>
      <c r="E246" s="11"/>
      <c r="F246" s="11"/>
      <c r="G246" s="11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</row>
    <row r="247" ht="13.5" customHeight="1">
      <c r="A247" s="10"/>
      <c r="B247" s="10"/>
      <c r="C247" s="10"/>
      <c r="D247" s="11"/>
      <c r="E247" s="11"/>
      <c r="F247" s="11"/>
      <c r="G247" s="11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</row>
    <row r="248" ht="13.5" customHeight="1">
      <c r="A248" s="10"/>
      <c r="B248" s="10"/>
      <c r="C248" s="10"/>
      <c r="D248" s="11"/>
      <c r="E248" s="11"/>
      <c r="F248" s="11"/>
      <c r="G248" s="11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</row>
    <row r="249" ht="13.5" customHeight="1">
      <c r="A249" s="10"/>
      <c r="B249" s="10"/>
      <c r="C249" s="10"/>
      <c r="D249" s="11"/>
      <c r="E249" s="11"/>
      <c r="F249" s="11"/>
      <c r="G249" s="11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</row>
    <row r="250" ht="13.5" customHeight="1">
      <c r="A250" s="10"/>
      <c r="B250" s="10"/>
      <c r="C250" s="10"/>
      <c r="D250" s="11"/>
      <c r="E250" s="11"/>
      <c r="F250" s="11"/>
      <c r="G250" s="11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</row>
    <row r="251" ht="13.5" customHeight="1">
      <c r="A251" s="10"/>
      <c r="B251" s="10"/>
      <c r="C251" s="10"/>
      <c r="D251" s="11"/>
      <c r="E251" s="11"/>
      <c r="F251" s="11"/>
      <c r="G251" s="11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</row>
    <row r="252" ht="13.5" customHeight="1">
      <c r="A252" s="10"/>
      <c r="B252" s="10"/>
      <c r="C252" s="10"/>
      <c r="D252" s="11"/>
      <c r="E252" s="11"/>
      <c r="F252" s="11"/>
      <c r="G252" s="11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</row>
    <row r="253" ht="13.5" customHeight="1">
      <c r="A253" s="10"/>
      <c r="B253" s="10"/>
      <c r="C253" s="10"/>
      <c r="D253" s="11"/>
      <c r="E253" s="11"/>
      <c r="F253" s="11"/>
      <c r="G253" s="11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</row>
    <row r="254" ht="13.5" customHeight="1">
      <c r="A254" s="10"/>
      <c r="B254" s="10"/>
      <c r="C254" s="10"/>
      <c r="D254" s="11"/>
      <c r="E254" s="11"/>
      <c r="F254" s="11"/>
      <c r="G254" s="11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</row>
    <row r="255" ht="13.5" customHeight="1">
      <c r="A255" s="10"/>
      <c r="B255" s="10"/>
      <c r="C255" s="10"/>
      <c r="D255" s="11"/>
      <c r="E255" s="11"/>
      <c r="F255" s="11"/>
      <c r="G255" s="11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</row>
    <row r="256" ht="13.5" customHeight="1">
      <c r="A256" s="10"/>
      <c r="B256" s="10"/>
      <c r="C256" s="10"/>
      <c r="D256" s="11"/>
      <c r="E256" s="11"/>
      <c r="F256" s="11"/>
      <c r="G256" s="11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</row>
    <row r="257" ht="13.5" customHeight="1">
      <c r="A257" s="10"/>
      <c r="B257" s="10"/>
      <c r="C257" s="10"/>
      <c r="D257" s="11"/>
      <c r="E257" s="11"/>
      <c r="F257" s="11"/>
      <c r="G257" s="11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</row>
    <row r="258" ht="13.5" customHeight="1">
      <c r="A258" s="10"/>
      <c r="B258" s="10"/>
      <c r="C258" s="10"/>
      <c r="D258" s="11"/>
      <c r="E258" s="11"/>
      <c r="F258" s="11"/>
      <c r="G258" s="11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</row>
    <row r="259" ht="13.5" customHeight="1">
      <c r="A259" s="10"/>
      <c r="B259" s="10"/>
      <c r="C259" s="10"/>
      <c r="D259" s="11"/>
      <c r="E259" s="11"/>
      <c r="F259" s="11"/>
      <c r="G259" s="11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</row>
    <row r="260" ht="13.5" customHeight="1">
      <c r="A260" s="10"/>
      <c r="B260" s="10"/>
      <c r="C260" s="10"/>
      <c r="D260" s="11"/>
      <c r="E260" s="11"/>
      <c r="F260" s="11"/>
      <c r="G260" s="11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</row>
    <row r="261" ht="13.5" customHeight="1">
      <c r="A261" s="10"/>
      <c r="B261" s="10"/>
      <c r="C261" s="10"/>
      <c r="D261" s="11"/>
      <c r="E261" s="11"/>
      <c r="F261" s="11"/>
      <c r="G261" s="11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</row>
    <row r="262" ht="13.5" customHeight="1">
      <c r="A262" s="10"/>
      <c r="B262" s="10"/>
      <c r="C262" s="10"/>
      <c r="D262" s="11"/>
      <c r="E262" s="11"/>
      <c r="F262" s="11"/>
      <c r="G262" s="11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</row>
    <row r="263" ht="13.5" customHeight="1">
      <c r="A263" s="10"/>
      <c r="B263" s="10"/>
      <c r="C263" s="10"/>
      <c r="D263" s="11"/>
      <c r="E263" s="11"/>
      <c r="F263" s="11"/>
      <c r="G263" s="11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</row>
    <row r="264" ht="13.5" customHeight="1">
      <c r="A264" s="10"/>
      <c r="B264" s="10"/>
      <c r="C264" s="10"/>
      <c r="D264" s="11"/>
      <c r="E264" s="11"/>
      <c r="F264" s="11"/>
      <c r="G264" s="11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</row>
    <row r="265" ht="13.5" customHeight="1">
      <c r="A265" s="10"/>
      <c r="B265" s="10"/>
      <c r="C265" s="10"/>
      <c r="D265" s="11"/>
      <c r="E265" s="11"/>
      <c r="F265" s="11"/>
      <c r="G265" s="11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</row>
    <row r="266" ht="13.5" customHeight="1">
      <c r="A266" s="10"/>
      <c r="B266" s="10"/>
      <c r="C266" s="10"/>
      <c r="D266" s="11"/>
      <c r="E266" s="11"/>
      <c r="F266" s="11"/>
      <c r="G266" s="11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</row>
    <row r="267" ht="13.5" customHeight="1">
      <c r="A267" s="10"/>
      <c r="B267" s="10"/>
      <c r="C267" s="10"/>
      <c r="D267" s="11"/>
      <c r="E267" s="11"/>
      <c r="F267" s="11"/>
      <c r="G267" s="11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</row>
    <row r="268" ht="13.5" customHeight="1">
      <c r="A268" s="10"/>
      <c r="B268" s="10"/>
      <c r="C268" s="10"/>
      <c r="D268" s="11"/>
      <c r="E268" s="11"/>
      <c r="F268" s="11"/>
      <c r="G268" s="11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</row>
    <row r="269" ht="15.75" customHeight="1">
      <c r="A269" s="60"/>
    </row>
    <row r="270" ht="15.75" customHeight="1">
      <c r="A270" s="60"/>
    </row>
    <row r="271" ht="15.75" customHeight="1">
      <c r="A271" s="60"/>
    </row>
    <row r="272" ht="15.75" customHeight="1">
      <c r="A272" s="60"/>
    </row>
    <row r="273" ht="15.75" customHeight="1">
      <c r="A273" s="60"/>
    </row>
    <row r="274" ht="15.75" customHeight="1">
      <c r="A274" s="60"/>
    </row>
    <row r="275" ht="15.75" customHeight="1">
      <c r="A275" s="60"/>
    </row>
    <row r="276" ht="15.75" customHeight="1">
      <c r="A276" s="60"/>
    </row>
    <row r="277" ht="15.75" customHeight="1">
      <c r="A277" s="60"/>
    </row>
    <row r="278" ht="15.75" customHeight="1">
      <c r="A278" s="60"/>
    </row>
    <row r="279" ht="15.75" customHeight="1">
      <c r="A279" s="60"/>
    </row>
    <row r="280" ht="15.75" customHeight="1">
      <c r="A280" s="60"/>
    </row>
    <row r="281" ht="15.75" customHeight="1">
      <c r="A281" s="60"/>
    </row>
    <row r="282" ht="15.75" customHeight="1">
      <c r="A282" s="60"/>
    </row>
    <row r="283" ht="15.75" customHeight="1">
      <c r="A283" s="60"/>
    </row>
    <row r="284" ht="15.75" customHeight="1">
      <c r="A284" s="60"/>
    </row>
    <row r="285" ht="15.75" customHeight="1">
      <c r="A285" s="60"/>
    </row>
    <row r="286" ht="15.75" customHeight="1">
      <c r="A286" s="60"/>
    </row>
    <row r="287" ht="15.75" customHeight="1">
      <c r="A287" s="60"/>
    </row>
    <row r="288" ht="15.75" customHeight="1">
      <c r="A288" s="60"/>
    </row>
    <row r="289" ht="15.75" customHeight="1">
      <c r="A289" s="60"/>
    </row>
    <row r="290" ht="15.75" customHeight="1">
      <c r="A290" s="60"/>
    </row>
    <row r="291" ht="15.75" customHeight="1">
      <c r="A291" s="60"/>
    </row>
    <row r="292" ht="15.75" customHeight="1">
      <c r="A292" s="60"/>
    </row>
    <row r="293" ht="15.75" customHeight="1">
      <c r="A293" s="60"/>
    </row>
    <row r="294" ht="15.75" customHeight="1">
      <c r="A294" s="60"/>
    </row>
    <row r="295" ht="15.75" customHeight="1">
      <c r="A295" s="60"/>
    </row>
    <row r="296" ht="15.75" customHeight="1">
      <c r="A296" s="60"/>
    </row>
    <row r="297" ht="15.75" customHeight="1">
      <c r="A297" s="60"/>
    </row>
    <row r="298" ht="15.75" customHeight="1">
      <c r="A298" s="60"/>
    </row>
    <row r="299" ht="15.75" customHeight="1">
      <c r="A299" s="60"/>
    </row>
    <row r="300" ht="15.75" customHeight="1">
      <c r="A300" s="60"/>
    </row>
    <row r="301" ht="15.75" customHeight="1">
      <c r="A301" s="60"/>
    </row>
    <row r="302" ht="15.75" customHeight="1">
      <c r="A302" s="60"/>
    </row>
    <row r="303" ht="15.75" customHeight="1">
      <c r="A303" s="60"/>
    </row>
    <row r="304" ht="15.75" customHeight="1">
      <c r="A304" s="60"/>
    </row>
    <row r="305" ht="15.75" customHeight="1">
      <c r="A305" s="60"/>
    </row>
    <row r="306" ht="15.75" customHeight="1">
      <c r="A306" s="60"/>
    </row>
    <row r="307" ht="15.75" customHeight="1">
      <c r="A307" s="60"/>
    </row>
    <row r="308" ht="15.75" customHeight="1">
      <c r="A308" s="60"/>
    </row>
    <row r="309" ht="15.75" customHeight="1">
      <c r="A309" s="60"/>
    </row>
    <row r="310" ht="15.75" customHeight="1">
      <c r="A310" s="60"/>
    </row>
    <row r="311" ht="15.75" customHeight="1">
      <c r="A311" s="60"/>
    </row>
    <row r="312" ht="15.75" customHeight="1">
      <c r="A312" s="60"/>
    </row>
    <row r="313" ht="15.75" customHeight="1">
      <c r="A313" s="60"/>
    </row>
    <row r="314" ht="15.75" customHeight="1">
      <c r="A314" s="60"/>
    </row>
    <row r="315" ht="15.75" customHeight="1">
      <c r="A315" s="60"/>
    </row>
    <row r="316" ht="15.75" customHeight="1">
      <c r="A316" s="60"/>
    </row>
    <row r="317" ht="15.75" customHeight="1">
      <c r="A317" s="60"/>
    </row>
    <row r="318" ht="15.75" customHeight="1">
      <c r="A318" s="60"/>
    </row>
    <row r="319" ht="15.75" customHeight="1">
      <c r="A319" s="60"/>
    </row>
    <row r="320" ht="15.75" customHeight="1">
      <c r="A320" s="60"/>
    </row>
    <row r="321" ht="15.75" customHeight="1">
      <c r="A321" s="60"/>
    </row>
    <row r="322" ht="15.75" customHeight="1">
      <c r="A322" s="60"/>
    </row>
    <row r="323" ht="15.75" customHeight="1">
      <c r="A323" s="60"/>
    </row>
    <row r="324" ht="15.75" customHeight="1">
      <c r="A324" s="60"/>
    </row>
    <row r="325" ht="15.75" customHeight="1">
      <c r="A325" s="60"/>
    </row>
    <row r="326" ht="15.75" customHeight="1">
      <c r="A326" s="60"/>
    </row>
    <row r="327" ht="15.75" customHeight="1">
      <c r="A327" s="60"/>
    </row>
    <row r="328" ht="15.75" customHeight="1">
      <c r="A328" s="60"/>
    </row>
    <row r="329" ht="15.75" customHeight="1">
      <c r="A329" s="60"/>
    </row>
    <row r="330" ht="15.75" customHeight="1">
      <c r="A330" s="60"/>
    </row>
    <row r="331" ht="15.75" customHeight="1">
      <c r="A331" s="60"/>
    </row>
    <row r="332" ht="15.75" customHeight="1">
      <c r="A332" s="60"/>
    </row>
    <row r="333" ht="15.75" customHeight="1">
      <c r="A333" s="60"/>
    </row>
    <row r="334" ht="15.75" customHeight="1">
      <c r="A334" s="60"/>
    </row>
    <row r="335" ht="15.75" customHeight="1">
      <c r="A335" s="60"/>
    </row>
    <row r="336" ht="15.75" customHeight="1">
      <c r="A336" s="60"/>
    </row>
    <row r="337" ht="15.75" customHeight="1">
      <c r="A337" s="60"/>
    </row>
    <row r="338" ht="15.75" customHeight="1">
      <c r="A338" s="60"/>
    </row>
    <row r="339" ht="15.75" customHeight="1">
      <c r="A339" s="60"/>
    </row>
    <row r="340" ht="15.75" customHeight="1">
      <c r="A340" s="60"/>
    </row>
    <row r="341" ht="15.75" customHeight="1">
      <c r="A341" s="60"/>
    </row>
    <row r="342" ht="15.75" customHeight="1">
      <c r="A342" s="60"/>
    </row>
    <row r="343" ht="15.75" customHeight="1">
      <c r="A343" s="60"/>
    </row>
    <row r="344" ht="15.75" customHeight="1">
      <c r="A344" s="60"/>
    </row>
    <row r="345" ht="15.75" customHeight="1">
      <c r="A345" s="60"/>
    </row>
    <row r="346" ht="15.75" customHeight="1">
      <c r="A346" s="60"/>
    </row>
    <row r="347" ht="15.75" customHeight="1">
      <c r="A347" s="60"/>
    </row>
    <row r="348" ht="15.75" customHeight="1">
      <c r="A348" s="60"/>
    </row>
    <row r="349" ht="15.75" customHeight="1">
      <c r="A349" s="60"/>
    </row>
    <row r="350" ht="15.75" customHeight="1">
      <c r="A350" s="60"/>
    </row>
    <row r="351" ht="15.75" customHeight="1">
      <c r="A351" s="60"/>
    </row>
    <row r="352" ht="15.75" customHeight="1">
      <c r="A352" s="60"/>
    </row>
    <row r="353" ht="15.75" customHeight="1">
      <c r="A353" s="60"/>
    </row>
    <row r="354" ht="15.75" customHeight="1">
      <c r="A354" s="60"/>
    </row>
    <row r="355" ht="15.75" customHeight="1">
      <c r="A355" s="60"/>
    </row>
    <row r="356" ht="15.75" customHeight="1">
      <c r="A356" s="60"/>
    </row>
    <row r="357" ht="15.75" customHeight="1">
      <c r="A357" s="60"/>
    </row>
    <row r="358" ht="15.75" customHeight="1">
      <c r="A358" s="60"/>
    </row>
    <row r="359" ht="15.75" customHeight="1">
      <c r="A359" s="60"/>
    </row>
    <row r="360" ht="15.75" customHeight="1">
      <c r="A360" s="60"/>
    </row>
    <row r="361" ht="15.75" customHeight="1">
      <c r="A361" s="60"/>
    </row>
    <row r="362" ht="15.75" customHeight="1">
      <c r="A362" s="60"/>
    </row>
    <row r="363" ht="15.75" customHeight="1">
      <c r="A363" s="60"/>
    </row>
    <row r="364" ht="15.75" customHeight="1">
      <c r="A364" s="60"/>
    </row>
    <row r="365" ht="15.75" customHeight="1">
      <c r="A365" s="60"/>
    </row>
    <row r="366" ht="15.75" customHeight="1">
      <c r="A366" s="60"/>
    </row>
    <row r="367" ht="15.75" customHeight="1">
      <c r="A367" s="60"/>
    </row>
    <row r="368" ht="15.75" customHeight="1">
      <c r="A368" s="60"/>
    </row>
    <row r="369" ht="15.75" customHeight="1">
      <c r="A369" s="60"/>
    </row>
    <row r="370" ht="15.75" customHeight="1">
      <c r="A370" s="60"/>
    </row>
    <row r="371" ht="15.75" customHeight="1">
      <c r="A371" s="60"/>
    </row>
    <row r="372" ht="15.75" customHeight="1">
      <c r="A372" s="60"/>
    </row>
    <row r="373" ht="15.75" customHeight="1">
      <c r="A373" s="60"/>
    </row>
    <row r="374" ht="15.75" customHeight="1">
      <c r="A374" s="60"/>
    </row>
    <row r="375" ht="15.75" customHeight="1">
      <c r="A375" s="60"/>
    </row>
    <row r="376" ht="15.75" customHeight="1">
      <c r="A376" s="60"/>
    </row>
    <row r="377" ht="15.75" customHeight="1">
      <c r="A377" s="60"/>
    </row>
    <row r="378" ht="15.75" customHeight="1">
      <c r="A378" s="60"/>
    </row>
    <row r="379" ht="15.75" customHeight="1">
      <c r="A379" s="60"/>
    </row>
    <row r="380" ht="15.75" customHeight="1">
      <c r="A380" s="60"/>
    </row>
    <row r="381" ht="15.75" customHeight="1">
      <c r="A381" s="60"/>
    </row>
    <row r="382" ht="15.75" customHeight="1">
      <c r="A382" s="60"/>
    </row>
    <row r="383" ht="15.75" customHeight="1">
      <c r="A383" s="60"/>
    </row>
    <row r="384" ht="15.75" customHeight="1">
      <c r="A384" s="60"/>
    </row>
    <row r="385" ht="15.75" customHeight="1">
      <c r="A385" s="60"/>
    </row>
    <row r="386" ht="15.75" customHeight="1">
      <c r="A386" s="60"/>
    </row>
    <row r="387" ht="15.75" customHeight="1">
      <c r="A387" s="60"/>
    </row>
    <row r="388" ht="15.75" customHeight="1">
      <c r="A388" s="60"/>
    </row>
    <row r="389" ht="15.75" customHeight="1">
      <c r="A389" s="60"/>
    </row>
    <row r="390" ht="15.75" customHeight="1">
      <c r="A390" s="60"/>
    </row>
    <row r="391" ht="15.75" customHeight="1">
      <c r="A391" s="60"/>
    </row>
    <row r="392" ht="15.75" customHeight="1">
      <c r="A392" s="60"/>
    </row>
    <row r="393" ht="15.75" customHeight="1">
      <c r="A393" s="60"/>
    </row>
    <row r="394" ht="15.75" customHeight="1">
      <c r="A394" s="60"/>
    </row>
    <row r="395" ht="15.75" customHeight="1">
      <c r="A395" s="60"/>
    </row>
    <row r="396" ht="15.75" customHeight="1">
      <c r="A396" s="60"/>
    </row>
    <row r="397" ht="15.75" customHeight="1">
      <c r="A397" s="60"/>
    </row>
    <row r="398" ht="15.75" customHeight="1">
      <c r="A398" s="60"/>
    </row>
    <row r="399" ht="15.75" customHeight="1">
      <c r="A399" s="60"/>
    </row>
    <row r="400" ht="15.75" customHeight="1">
      <c r="A400" s="60"/>
    </row>
    <row r="401" ht="15.75" customHeight="1">
      <c r="A401" s="60"/>
    </row>
    <row r="402" ht="15.75" customHeight="1">
      <c r="A402" s="60"/>
    </row>
    <row r="403" ht="15.75" customHeight="1">
      <c r="A403" s="60"/>
    </row>
    <row r="404" ht="15.75" customHeight="1">
      <c r="A404" s="60"/>
    </row>
    <row r="405" ht="15.75" customHeight="1">
      <c r="A405" s="60"/>
    </row>
    <row r="406" ht="15.75" customHeight="1">
      <c r="A406" s="60"/>
    </row>
    <row r="407" ht="15.75" customHeight="1">
      <c r="A407" s="60"/>
    </row>
    <row r="408" ht="15.75" customHeight="1">
      <c r="A408" s="60"/>
    </row>
    <row r="409" ht="15.75" customHeight="1">
      <c r="A409" s="60"/>
    </row>
    <row r="410" ht="15.75" customHeight="1">
      <c r="A410" s="60"/>
    </row>
    <row r="411" ht="15.75" customHeight="1">
      <c r="A411" s="60"/>
    </row>
    <row r="412" ht="15.75" customHeight="1">
      <c r="A412" s="60"/>
    </row>
    <row r="413" ht="15.75" customHeight="1">
      <c r="A413" s="60"/>
    </row>
    <row r="414" ht="15.75" customHeight="1">
      <c r="A414" s="60"/>
    </row>
    <row r="415" ht="15.75" customHeight="1">
      <c r="A415" s="60"/>
    </row>
    <row r="416" ht="15.75" customHeight="1">
      <c r="A416" s="60"/>
    </row>
    <row r="417" ht="15.75" customHeight="1">
      <c r="A417" s="60"/>
    </row>
    <row r="418" ht="15.75" customHeight="1">
      <c r="A418" s="60"/>
    </row>
    <row r="419" ht="15.75" customHeight="1">
      <c r="A419" s="60"/>
    </row>
    <row r="420" ht="15.75" customHeight="1">
      <c r="A420" s="60"/>
    </row>
    <row r="421" ht="15.75" customHeight="1">
      <c r="A421" s="60"/>
    </row>
    <row r="422" ht="15.75" customHeight="1">
      <c r="A422" s="60"/>
    </row>
    <row r="423" ht="15.75" customHeight="1">
      <c r="A423" s="60"/>
    </row>
    <row r="424" ht="15.75" customHeight="1">
      <c r="A424" s="60"/>
    </row>
    <row r="425" ht="15.75" customHeight="1">
      <c r="A425" s="60"/>
    </row>
    <row r="426" ht="15.75" customHeight="1">
      <c r="A426" s="60"/>
    </row>
    <row r="427" ht="15.75" customHeight="1">
      <c r="A427" s="60"/>
    </row>
    <row r="428" ht="15.75" customHeight="1">
      <c r="A428" s="60"/>
    </row>
    <row r="429" ht="15.75" customHeight="1">
      <c r="A429" s="60"/>
    </row>
    <row r="430" ht="15.75" customHeight="1">
      <c r="A430" s="60"/>
    </row>
    <row r="431" ht="15.75" customHeight="1">
      <c r="A431" s="60"/>
    </row>
    <row r="432" ht="15.75" customHeight="1">
      <c r="A432" s="60"/>
    </row>
    <row r="433" ht="15.75" customHeight="1">
      <c r="A433" s="60"/>
    </row>
    <row r="434" ht="15.75" customHeight="1">
      <c r="A434" s="60"/>
    </row>
    <row r="435" ht="15.75" customHeight="1">
      <c r="A435" s="60"/>
    </row>
    <row r="436" ht="15.75" customHeight="1">
      <c r="A436" s="60"/>
    </row>
    <row r="437" ht="15.75" customHeight="1">
      <c r="A437" s="60"/>
    </row>
    <row r="438" ht="15.75" customHeight="1">
      <c r="A438" s="60"/>
    </row>
    <row r="439" ht="15.75" customHeight="1">
      <c r="A439" s="60"/>
    </row>
    <row r="440" ht="15.75" customHeight="1">
      <c r="A440" s="60"/>
    </row>
    <row r="441" ht="15.75" customHeight="1">
      <c r="A441" s="60"/>
    </row>
    <row r="442" ht="15.75" customHeight="1">
      <c r="A442" s="60"/>
    </row>
    <row r="443" ht="15.75" customHeight="1">
      <c r="A443" s="60"/>
    </row>
    <row r="444" ht="15.75" customHeight="1">
      <c r="A444" s="60"/>
    </row>
    <row r="445" ht="15.75" customHeight="1">
      <c r="A445" s="60"/>
    </row>
    <row r="446" ht="15.75" customHeight="1">
      <c r="A446" s="60"/>
    </row>
    <row r="447" ht="15.75" customHeight="1">
      <c r="A447" s="60"/>
    </row>
    <row r="448" ht="15.75" customHeight="1">
      <c r="A448" s="60"/>
    </row>
    <row r="449" ht="15.75" customHeight="1">
      <c r="A449" s="60"/>
    </row>
    <row r="450" ht="15.75" customHeight="1">
      <c r="A450" s="60"/>
    </row>
    <row r="451" ht="15.75" customHeight="1">
      <c r="A451" s="60"/>
    </row>
    <row r="452" ht="15.75" customHeight="1">
      <c r="A452" s="60"/>
    </row>
    <row r="453" ht="15.75" customHeight="1">
      <c r="A453" s="60"/>
    </row>
    <row r="454" ht="15.75" customHeight="1">
      <c r="A454" s="60"/>
    </row>
    <row r="455" ht="15.75" customHeight="1">
      <c r="A455" s="60"/>
    </row>
    <row r="456" ht="15.75" customHeight="1">
      <c r="A456" s="60"/>
    </row>
    <row r="457" ht="15.75" customHeight="1">
      <c r="A457" s="60"/>
    </row>
    <row r="458" ht="15.75" customHeight="1">
      <c r="A458" s="60"/>
    </row>
    <row r="459" ht="15.75" customHeight="1">
      <c r="A459" s="60"/>
    </row>
    <row r="460" ht="15.75" customHeight="1">
      <c r="A460" s="60"/>
    </row>
    <row r="461" ht="15.75" customHeight="1">
      <c r="A461" s="60"/>
    </row>
    <row r="462" ht="15.75" customHeight="1">
      <c r="A462" s="60"/>
    </row>
    <row r="463" ht="15.75" customHeight="1">
      <c r="A463" s="60"/>
    </row>
    <row r="464" ht="15.75" customHeight="1">
      <c r="A464" s="60"/>
    </row>
    <row r="465" ht="15.75" customHeight="1">
      <c r="A465" s="60"/>
    </row>
    <row r="466" ht="15.75" customHeight="1">
      <c r="A466" s="60"/>
    </row>
    <row r="467" ht="15.75" customHeight="1">
      <c r="A467" s="60"/>
    </row>
    <row r="468" ht="15.75" customHeight="1">
      <c r="A468" s="60"/>
    </row>
    <row r="469" ht="15.75" customHeight="1">
      <c r="A469" s="60"/>
    </row>
    <row r="470" ht="15.75" customHeight="1">
      <c r="A470" s="60"/>
    </row>
    <row r="471" ht="15.75" customHeight="1">
      <c r="A471" s="60"/>
    </row>
    <row r="472" ht="15.75" customHeight="1">
      <c r="A472" s="60"/>
    </row>
    <row r="473" ht="15.75" customHeight="1">
      <c r="A473" s="60"/>
    </row>
    <row r="474" ht="15.75" customHeight="1">
      <c r="A474" s="60"/>
    </row>
    <row r="475" ht="15.75" customHeight="1">
      <c r="A475" s="60"/>
    </row>
    <row r="476" ht="15.75" customHeight="1">
      <c r="A476" s="60"/>
    </row>
    <row r="477" ht="15.75" customHeight="1">
      <c r="A477" s="60"/>
    </row>
    <row r="478" ht="15.75" customHeight="1">
      <c r="A478" s="60"/>
    </row>
    <row r="479" ht="15.75" customHeight="1">
      <c r="A479" s="60"/>
    </row>
    <row r="480" ht="15.75" customHeight="1">
      <c r="A480" s="60"/>
    </row>
    <row r="481" ht="15.75" customHeight="1">
      <c r="A481" s="60"/>
    </row>
    <row r="482" ht="15.75" customHeight="1">
      <c r="A482" s="60"/>
    </row>
    <row r="483" ht="15.75" customHeight="1">
      <c r="A483" s="60"/>
    </row>
    <row r="484" ht="15.75" customHeight="1">
      <c r="A484" s="60"/>
    </row>
    <row r="485" ht="15.75" customHeight="1">
      <c r="A485" s="60"/>
    </row>
    <row r="486" ht="15.75" customHeight="1">
      <c r="A486" s="60"/>
    </row>
    <row r="487" ht="15.75" customHeight="1">
      <c r="A487" s="60"/>
    </row>
    <row r="488" ht="15.75" customHeight="1">
      <c r="A488" s="60"/>
    </row>
    <row r="489" ht="15.75" customHeight="1">
      <c r="A489" s="60"/>
    </row>
    <row r="490" ht="15.75" customHeight="1">
      <c r="A490" s="60"/>
    </row>
    <row r="491" ht="15.75" customHeight="1">
      <c r="A491" s="60"/>
    </row>
    <row r="492" ht="15.75" customHeight="1">
      <c r="A492" s="60"/>
    </row>
    <row r="493" ht="15.75" customHeight="1">
      <c r="A493" s="60"/>
    </row>
    <row r="494" ht="15.75" customHeight="1">
      <c r="A494" s="60"/>
    </row>
    <row r="495" ht="15.75" customHeight="1">
      <c r="A495" s="60"/>
    </row>
    <row r="496" ht="15.75" customHeight="1">
      <c r="A496" s="60"/>
    </row>
    <row r="497" ht="15.75" customHeight="1">
      <c r="A497" s="60"/>
    </row>
    <row r="498" ht="15.75" customHeight="1">
      <c r="A498" s="60"/>
    </row>
    <row r="499" ht="15.75" customHeight="1">
      <c r="A499" s="60"/>
    </row>
    <row r="500" ht="15.75" customHeight="1">
      <c r="A500" s="60"/>
    </row>
    <row r="501" ht="15.75" customHeight="1">
      <c r="A501" s="60"/>
    </row>
    <row r="502" ht="15.75" customHeight="1">
      <c r="A502" s="60"/>
    </row>
    <row r="503" ht="15.75" customHeight="1">
      <c r="A503" s="60"/>
    </row>
    <row r="504" ht="15.75" customHeight="1">
      <c r="A504" s="60"/>
    </row>
    <row r="505" ht="15.75" customHeight="1">
      <c r="A505" s="60"/>
    </row>
    <row r="506" ht="15.75" customHeight="1">
      <c r="A506" s="60"/>
    </row>
    <row r="507" ht="15.75" customHeight="1">
      <c r="A507" s="60"/>
    </row>
    <row r="508" ht="15.75" customHeight="1">
      <c r="A508" s="60"/>
    </row>
    <row r="509" ht="15.75" customHeight="1">
      <c r="A509" s="60"/>
    </row>
    <row r="510" ht="15.75" customHeight="1">
      <c r="A510" s="60"/>
    </row>
    <row r="511" ht="15.75" customHeight="1">
      <c r="A511" s="60"/>
    </row>
    <row r="512" ht="15.75" customHeight="1">
      <c r="A512" s="60"/>
    </row>
    <row r="513" ht="15.75" customHeight="1">
      <c r="A513" s="60"/>
    </row>
    <row r="514" ht="15.75" customHeight="1">
      <c r="A514" s="60"/>
    </row>
    <row r="515" ht="15.75" customHeight="1">
      <c r="A515" s="60"/>
    </row>
    <row r="516" ht="15.75" customHeight="1">
      <c r="A516" s="60"/>
    </row>
    <row r="517" ht="15.75" customHeight="1">
      <c r="A517" s="60"/>
    </row>
    <row r="518" ht="15.75" customHeight="1">
      <c r="A518" s="60"/>
    </row>
    <row r="519" ht="15.75" customHeight="1">
      <c r="A519" s="60"/>
    </row>
    <row r="520" ht="15.75" customHeight="1">
      <c r="A520" s="60"/>
    </row>
    <row r="521" ht="15.75" customHeight="1">
      <c r="A521" s="60"/>
    </row>
    <row r="522" ht="15.75" customHeight="1">
      <c r="A522" s="60"/>
    </row>
    <row r="523" ht="15.75" customHeight="1">
      <c r="A523" s="60"/>
    </row>
    <row r="524" ht="15.75" customHeight="1">
      <c r="A524" s="60"/>
    </row>
    <row r="525" ht="15.75" customHeight="1">
      <c r="A525" s="60"/>
    </row>
    <row r="526" ht="15.75" customHeight="1">
      <c r="A526" s="60"/>
    </row>
    <row r="527" ht="15.75" customHeight="1">
      <c r="A527" s="60"/>
    </row>
    <row r="528" ht="15.75" customHeight="1">
      <c r="A528" s="60"/>
    </row>
    <row r="529" ht="15.75" customHeight="1">
      <c r="A529" s="60"/>
    </row>
    <row r="530" ht="15.75" customHeight="1">
      <c r="A530" s="60"/>
    </row>
    <row r="531" ht="15.75" customHeight="1">
      <c r="A531" s="60"/>
    </row>
    <row r="532" ht="15.75" customHeight="1">
      <c r="A532" s="60"/>
    </row>
    <row r="533" ht="15.75" customHeight="1">
      <c r="A533" s="60"/>
    </row>
    <row r="534" ht="15.75" customHeight="1">
      <c r="A534" s="60"/>
    </row>
    <row r="535" ht="15.75" customHeight="1">
      <c r="A535" s="60"/>
    </row>
    <row r="536" ht="15.75" customHeight="1">
      <c r="A536" s="60"/>
    </row>
    <row r="537" ht="15.75" customHeight="1">
      <c r="A537" s="60"/>
    </row>
    <row r="538" ht="15.75" customHeight="1">
      <c r="A538" s="60"/>
    </row>
    <row r="539" ht="15.75" customHeight="1">
      <c r="A539" s="60"/>
    </row>
    <row r="540" ht="15.75" customHeight="1">
      <c r="A540" s="60"/>
    </row>
    <row r="541" ht="15.75" customHeight="1">
      <c r="A541" s="60"/>
    </row>
    <row r="542" ht="15.75" customHeight="1">
      <c r="A542" s="60"/>
    </row>
    <row r="543" ht="15.75" customHeight="1">
      <c r="A543" s="60"/>
    </row>
    <row r="544" ht="15.75" customHeight="1">
      <c r="A544" s="60"/>
    </row>
    <row r="545" ht="15.75" customHeight="1">
      <c r="A545" s="60"/>
    </row>
    <row r="546" ht="15.75" customHeight="1">
      <c r="A546" s="60"/>
    </row>
    <row r="547" ht="15.75" customHeight="1">
      <c r="A547" s="60"/>
    </row>
    <row r="548" ht="15.75" customHeight="1">
      <c r="A548" s="60"/>
    </row>
    <row r="549" ht="15.75" customHeight="1">
      <c r="A549" s="60"/>
    </row>
    <row r="550" ht="15.75" customHeight="1">
      <c r="A550" s="60"/>
    </row>
    <row r="551" ht="15.75" customHeight="1">
      <c r="A551" s="60"/>
    </row>
    <row r="552" ht="15.75" customHeight="1">
      <c r="A552" s="60"/>
    </row>
    <row r="553" ht="15.75" customHeight="1">
      <c r="A553" s="60"/>
    </row>
    <row r="554" ht="15.75" customHeight="1">
      <c r="A554" s="60"/>
    </row>
    <row r="555" ht="15.75" customHeight="1">
      <c r="A555" s="60"/>
    </row>
    <row r="556" ht="15.75" customHeight="1">
      <c r="A556" s="60"/>
    </row>
    <row r="557" ht="15.75" customHeight="1">
      <c r="A557" s="60"/>
    </row>
    <row r="558" ht="15.75" customHeight="1">
      <c r="A558" s="60"/>
    </row>
    <row r="559" ht="15.75" customHeight="1">
      <c r="A559" s="60"/>
    </row>
    <row r="560" ht="15.75" customHeight="1">
      <c r="A560" s="60"/>
    </row>
    <row r="561" ht="15.75" customHeight="1">
      <c r="A561" s="60"/>
    </row>
    <row r="562" ht="15.75" customHeight="1">
      <c r="A562" s="60"/>
    </row>
    <row r="563" ht="15.75" customHeight="1">
      <c r="A563" s="60"/>
    </row>
    <row r="564" ht="15.75" customHeight="1">
      <c r="A564" s="60"/>
    </row>
    <row r="565" ht="15.75" customHeight="1">
      <c r="A565" s="60"/>
    </row>
    <row r="566" ht="15.75" customHeight="1">
      <c r="A566" s="60"/>
    </row>
    <row r="567" ht="15.75" customHeight="1">
      <c r="A567" s="60"/>
    </row>
    <row r="568" ht="15.75" customHeight="1">
      <c r="A568" s="60"/>
    </row>
    <row r="569" ht="15.75" customHeight="1">
      <c r="A569" s="60"/>
    </row>
    <row r="570" ht="15.75" customHeight="1">
      <c r="A570" s="60"/>
    </row>
    <row r="571" ht="15.75" customHeight="1">
      <c r="A571" s="60"/>
    </row>
    <row r="572" ht="15.75" customHeight="1">
      <c r="A572" s="60"/>
    </row>
    <row r="573" ht="15.75" customHeight="1">
      <c r="A573" s="60"/>
    </row>
    <row r="574" ht="15.75" customHeight="1">
      <c r="A574" s="60"/>
    </row>
    <row r="575" ht="15.75" customHeight="1">
      <c r="A575" s="60"/>
    </row>
    <row r="576" ht="15.75" customHeight="1">
      <c r="A576" s="60"/>
    </row>
    <row r="577" ht="15.75" customHeight="1">
      <c r="A577" s="60"/>
    </row>
    <row r="578" ht="15.75" customHeight="1">
      <c r="A578" s="60"/>
    </row>
    <row r="579" ht="15.75" customHeight="1">
      <c r="A579" s="60"/>
    </row>
    <row r="580" ht="15.75" customHeight="1">
      <c r="A580" s="60"/>
    </row>
    <row r="581" ht="15.75" customHeight="1">
      <c r="A581" s="60"/>
    </row>
    <row r="582" ht="15.75" customHeight="1">
      <c r="A582" s="60"/>
    </row>
    <row r="583" ht="15.75" customHeight="1">
      <c r="A583" s="60"/>
    </row>
    <row r="584" ht="15.75" customHeight="1">
      <c r="A584" s="60"/>
    </row>
    <row r="585" ht="15.75" customHeight="1">
      <c r="A585" s="60"/>
    </row>
    <row r="586" ht="15.75" customHeight="1">
      <c r="A586" s="60"/>
    </row>
    <row r="587" ht="15.75" customHeight="1">
      <c r="A587" s="60"/>
    </row>
    <row r="588" ht="15.75" customHeight="1">
      <c r="A588" s="60"/>
    </row>
    <row r="589" ht="15.75" customHeight="1">
      <c r="A589" s="60"/>
    </row>
    <row r="590" ht="15.75" customHeight="1">
      <c r="A590" s="60"/>
    </row>
    <row r="591" ht="15.75" customHeight="1">
      <c r="A591" s="60"/>
    </row>
    <row r="592" ht="15.75" customHeight="1">
      <c r="A592" s="60"/>
    </row>
    <row r="593" ht="15.75" customHeight="1">
      <c r="A593" s="60"/>
    </row>
    <row r="594" ht="15.75" customHeight="1">
      <c r="A594" s="60"/>
    </row>
    <row r="595" ht="15.75" customHeight="1">
      <c r="A595" s="60"/>
    </row>
    <row r="596" ht="15.75" customHeight="1">
      <c r="A596" s="60"/>
    </row>
    <row r="597" ht="15.75" customHeight="1">
      <c r="A597" s="60"/>
    </row>
    <row r="598" ht="15.75" customHeight="1">
      <c r="A598" s="60"/>
    </row>
    <row r="599" ht="15.75" customHeight="1">
      <c r="A599" s="60"/>
    </row>
    <row r="600" ht="15.75" customHeight="1">
      <c r="A600" s="60"/>
    </row>
    <row r="601" ht="15.75" customHeight="1">
      <c r="A601" s="60"/>
    </row>
    <row r="602" ht="15.75" customHeight="1">
      <c r="A602" s="60"/>
    </row>
    <row r="603" ht="15.75" customHeight="1">
      <c r="A603" s="60"/>
    </row>
    <row r="604" ht="15.75" customHeight="1">
      <c r="A604" s="60"/>
    </row>
    <row r="605" ht="15.75" customHeight="1">
      <c r="A605" s="60"/>
    </row>
    <row r="606" ht="15.75" customHeight="1">
      <c r="A606" s="60"/>
    </row>
    <row r="607" ht="15.75" customHeight="1">
      <c r="A607" s="60"/>
    </row>
    <row r="608" ht="15.75" customHeight="1">
      <c r="A608" s="60"/>
    </row>
    <row r="609" ht="15.75" customHeight="1">
      <c r="A609" s="60"/>
    </row>
    <row r="610" ht="15.75" customHeight="1">
      <c r="A610" s="60"/>
    </row>
    <row r="611" ht="15.75" customHeight="1">
      <c r="A611" s="60"/>
    </row>
    <row r="612" ht="15.75" customHeight="1">
      <c r="A612" s="60"/>
    </row>
    <row r="613" ht="15.75" customHeight="1">
      <c r="A613" s="60"/>
    </row>
    <row r="614" ht="15.75" customHeight="1">
      <c r="A614" s="60"/>
    </row>
    <row r="615" ht="15.75" customHeight="1">
      <c r="A615" s="60"/>
    </row>
    <row r="616" ht="15.75" customHeight="1">
      <c r="A616" s="60"/>
    </row>
    <row r="617" ht="15.75" customHeight="1">
      <c r="A617" s="60"/>
    </row>
    <row r="618" ht="15.75" customHeight="1">
      <c r="A618" s="60"/>
    </row>
    <row r="619" ht="15.75" customHeight="1">
      <c r="A619" s="60"/>
    </row>
    <row r="620" ht="15.75" customHeight="1">
      <c r="A620" s="60"/>
    </row>
    <row r="621" ht="15.75" customHeight="1">
      <c r="A621" s="60"/>
    </row>
    <row r="622" ht="15.75" customHeight="1">
      <c r="A622" s="60"/>
    </row>
    <row r="623" ht="15.75" customHeight="1">
      <c r="A623" s="60"/>
    </row>
    <row r="624" ht="15.75" customHeight="1">
      <c r="A624" s="60"/>
    </row>
    <row r="625" ht="15.75" customHeight="1">
      <c r="A625" s="60"/>
    </row>
    <row r="626" ht="15.75" customHeight="1">
      <c r="A626" s="60"/>
    </row>
    <row r="627" ht="15.75" customHeight="1">
      <c r="A627" s="60"/>
    </row>
    <row r="628" ht="15.75" customHeight="1">
      <c r="A628" s="60"/>
    </row>
    <row r="629" ht="15.75" customHeight="1">
      <c r="A629" s="60"/>
    </row>
    <row r="630" ht="15.75" customHeight="1">
      <c r="A630" s="60"/>
    </row>
    <row r="631" ht="15.75" customHeight="1">
      <c r="A631" s="60"/>
    </row>
    <row r="632" ht="15.75" customHeight="1">
      <c r="A632" s="60"/>
    </row>
    <row r="633" ht="15.75" customHeight="1">
      <c r="A633" s="60"/>
    </row>
    <row r="634" ht="15.75" customHeight="1">
      <c r="A634" s="60"/>
    </row>
    <row r="635" ht="15.75" customHeight="1">
      <c r="A635" s="60"/>
    </row>
    <row r="636" ht="15.75" customHeight="1">
      <c r="A636" s="60"/>
    </row>
    <row r="637" ht="15.75" customHeight="1">
      <c r="A637" s="60"/>
    </row>
    <row r="638" ht="15.75" customHeight="1">
      <c r="A638" s="60"/>
    </row>
    <row r="639" ht="15.75" customHeight="1">
      <c r="A639" s="60"/>
    </row>
    <row r="640" ht="15.75" customHeight="1">
      <c r="A640" s="60"/>
    </row>
    <row r="641" ht="15.75" customHeight="1">
      <c r="A641" s="60"/>
    </row>
    <row r="642" ht="15.75" customHeight="1">
      <c r="A642" s="60"/>
    </row>
    <row r="643" ht="15.75" customHeight="1">
      <c r="A643" s="60"/>
    </row>
    <row r="644" ht="15.75" customHeight="1">
      <c r="A644" s="60"/>
    </row>
    <row r="645" ht="15.75" customHeight="1">
      <c r="A645" s="60"/>
    </row>
    <row r="646" ht="15.75" customHeight="1">
      <c r="A646" s="60"/>
    </row>
    <row r="647" ht="15.75" customHeight="1">
      <c r="A647" s="60"/>
    </row>
    <row r="648" ht="15.75" customHeight="1">
      <c r="A648" s="60"/>
    </row>
    <row r="649" ht="15.75" customHeight="1">
      <c r="A649" s="60"/>
    </row>
    <row r="650" ht="15.75" customHeight="1">
      <c r="A650" s="60"/>
    </row>
    <row r="651" ht="15.75" customHeight="1">
      <c r="A651" s="60"/>
    </row>
    <row r="652" ht="15.75" customHeight="1">
      <c r="A652" s="60"/>
    </row>
    <row r="653" ht="15.75" customHeight="1">
      <c r="A653" s="60"/>
    </row>
    <row r="654" ht="15.75" customHeight="1">
      <c r="A654" s="60"/>
    </row>
    <row r="655" ht="15.75" customHeight="1">
      <c r="A655" s="60"/>
    </row>
    <row r="656" ht="15.75" customHeight="1">
      <c r="A656" s="60"/>
    </row>
    <row r="657" ht="15.75" customHeight="1">
      <c r="A657" s="60"/>
    </row>
    <row r="658" ht="15.75" customHeight="1">
      <c r="A658" s="60"/>
    </row>
    <row r="659" ht="15.75" customHeight="1">
      <c r="A659" s="60"/>
    </row>
    <row r="660" ht="15.75" customHeight="1">
      <c r="A660" s="60"/>
    </row>
    <row r="661" ht="15.75" customHeight="1">
      <c r="A661" s="60"/>
    </row>
    <row r="662" ht="15.75" customHeight="1">
      <c r="A662" s="60"/>
    </row>
    <row r="663" ht="15.75" customHeight="1">
      <c r="A663" s="60"/>
    </row>
    <row r="664" ht="15.75" customHeight="1">
      <c r="A664" s="60"/>
    </row>
    <row r="665" ht="15.75" customHeight="1">
      <c r="A665" s="60"/>
    </row>
    <row r="666" ht="15.75" customHeight="1">
      <c r="A666" s="60"/>
    </row>
    <row r="667" ht="15.75" customHeight="1">
      <c r="A667" s="60"/>
    </row>
    <row r="668" ht="15.75" customHeight="1">
      <c r="A668" s="60"/>
    </row>
    <row r="669" ht="15.75" customHeight="1">
      <c r="A669" s="60"/>
    </row>
    <row r="670" ht="15.75" customHeight="1">
      <c r="A670" s="60"/>
    </row>
    <row r="671" ht="15.75" customHeight="1">
      <c r="A671" s="60"/>
    </row>
    <row r="672" ht="15.75" customHeight="1">
      <c r="A672" s="60"/>
    </row>
    <row r="673" ht="15.75" customHeight="1">
      <c r="A673" s="60"/>
    </row>
    <row r="674" ht="15.75" customHeight="1">
      <c r="A674" s="60"/>
    </row>
    <row r="675" ht="15.75" customHeight="1">
      <c r="A675" s="60"/>
    </row>
    <row r="676" ht="15.75" customHeight="1">
      <c r="A676" s="60"/>
    </row>
    <row r="677" ht="15.75" customHeight="1">
      <c r="A677" s="60"/>
    </row>
    <row r="678" ht="15.75" customHeight="1">
      <c r="A678" s="60"/>
    </row>
    <row r="679" ht="15.75" customHeight="1">
      <c r="A679" s="60"/>
    </row>
    <row r="680" ht="15.75" customHeight="1">
      <c r="A680" s="60"/>
    </row>
    <row r="681" ht="15.75" customHeight="1">
      <c r="A681" s="60"/>
    </row>
    <row r="682" ht="15.75" customHeight="1">
      <c r="A682" s="60"/>
    </row>
    <row r="683" ht="15.75" customHeight="1">
      <c r="A683" s="60"/>
    </row>
    <row r="684" ht="15.75" customHeight="1">
      <c r="A684" s="60"/>
    </row>
    <row r="685" ht="15.75" customHeight="1">
      <c r="A685" s="60"/>
    </row>
    <row r="686" ht="15.75" customHeight="1">
      <c r="A686" s="60"/>
    </row>
    <row r="687" ht="15.75" customHeight="1">
      <c r="A687" s="60"/>
    </row>
    <row r="688" ht="15.75" customHeight="1">
      <c r="A688" s="60"/>
    </row>
    <row r="689" ht="15.75" customHeight="1">
      <c r="A689" s="60"/>
    </row>
    <row r="690" ht="15.75" customHeight="1">
      <c r="A690" s="60"/>
    </row>
    <row r="691" ht="15.75" customHeight="1">
      <c r="A691" s="60"/>
    </row>
    <row r="692" ht="15.75" customHeight="1">
      <c r="A692" s="60"/>
    </row>
    <row r="693" ht="15.75" customHeight="1">
      <c r="A693" s="60"/>
    </row>
    <row r="694" ht="15.75" customHeight="1">
      <c r="A694" s="60"/>
    </row>
    <row r="695" ht="15.75" customHeight="1">
      <c r="A695" s="60"/>
    </row>
    <row r="696" ht="15.75" customHeight="1">
      <c r="A696" s="60"/>
    </row>
    <row r="697" ht="15.75" customHeight="1">
      <c r="A697" s="60"/>
    </row>
    <row r="698" ht="15.75" customHeight="1">
      <c r="A698" s="60"/>
    </row>
    <row r="699" ht="15.75" customHeight="1">
      <c r="A699" s="60"/>
    </row>
    <row r="700" ht="15.75" customHeight="1">
      <c r="A700" s="60"/>
    </row>
    <row r="701" ht="15.75" customHeight="1">
      <c r="A701" s="60"/>
    </row>
    <row r="702" ht="15.75" customHeight="1">
      <c r="A702" s="60"/>
    </row>
    <row r="703" ht="15.75" customHeight="1">
      <c r="A703" s="60"/>
    </row>
    <row r="704" ht="15.75" customHeight="1">
      <c r="A704" s="60"/>
    </row>
    <row r="705" ht="15.75" customHeight="1">
      <c r="A705" s="60"/>
    </row>
    <row r="706" ht="15.75" customHeight="1">
      <c r="A706" s="60"/>
    </row>
    <row r="707" ht="15.75" customHeight="1">
      <c r="A707" s="60"/>
    </row>
    <row r="708" ht="15.75" customHeight="1">
      <c r="A708" s="60"/>
    </row>
    <row r="709" ht="15.75" customHeight="1">
      <c r="A709" s="60"/>
    </row>
    <row r="710" ht="15.75" customHeight="1">
      <c r="A710" s="60"/>
    </row>
    <row r="711" ht="15.75" customHeight="1">
      <c r="A711" s="60"/>
    </row>
    <row r="712" ht="15.75" customHeight="1">
      <c r="A712" s="60"/>
    </row>
    <row r="713" ht="15.75" customHeight="1">
      <c r="A713" s="60"/>
    </row>
    <row r="714" ht="15.75" customHeight="1">
      <c r="A714" s="60"/>
    </row>
    <row r="715" ht="15.75" customHeight="1">
      <c r="A715" s="60"/>
    </row>
    <row r="716" ht="15.75" customHeight="1">
      <c r="A716" s="60"/>
    </row>
    <row r="717" ht="15.75" customHeight="1">
      <c r="A717" s="60"/>
    </row>
    <row r="718" ht="15.75" customHeight="1">
      <c r="A718" s="60"/>
    </row>
    <row r="719" ht="15.75" customHeight="1">
      <c r="A719" s="60"/>
    </row>
    <row r="720" ht="15.75" customHeight="1">
      <c r="A720" s="60"/>
    </row>
    <row r="721" ht="15.75" customHeight="1">
      <c r="A721" s="60"/>
    </row>
    <row r="722" ht="15.75" customHeight="1">
      <c r="A722" s="60"/>
    </row>
    <row r="723" ht="15.75" customHeight="1">
      <c r="A723" s="60"/>
    </row>
    <row r="724" ht="15.75" customHeight="1">
      <c r="A724" s="60"/>
    </row>
    <row r="725" ht="15.75" customHeight="1">
      <c r="A725" s="60"/>
    </row>
    <row r="726" ht="15.75" customHeight="1">
      <c r="A726" s="60"/>
    </row>
    <row r="727" ht="15.75" customHeight="1">
      <c r="A727" s="60"/>
    </row>
    <row r="728" ht="15.75" customHeight="1">
      <c r="A728" s="60"/>
    </row>
    <row r="729" ht="15.75" customHeight="1">
      <c r="A729" s="60"/>
    </row>
    <row r="730" ht="15.75" customHeight="1">
      <c r="A730" s="60"/>
    </row>
    <row r="731" ht="15.75" customHeight="1">
      <c r="A731" s="60"/>
    </row>
    <row r="732" ht="15.75" customHeight="1">
      <c r="A732" s="60"/>
    </row>
    <row r="733" ht="15.75" customHeight="1">
      <c r="A733" s="60"/>
    </row>
    <row r="734" ht="15.75" customHeight="1">
      <c r="A734" s="60"/>
    </row>
    <row r="735" ht="15.75" customHeight="1">
      <c r="A735" s="60"/>
    </row>
    <row r="736" ht="15.75" customHeight="1">
      <c r="A736" s="60"/>
    </row>
    <row r="737" ht="15.75" customHeight="1">
      <c r="A737" s="60"/>
    </row>
    <row r="738" ht="15.75" customHeight="1">
      <c r="A738" s="60"/>
    </row>
    <row r="739" ht="15.75" customHeight="1">
      <c r="A739" s="60"/>
    </row>
    <row r="740" ht="15.75" customHeight="1">
      <c r="A740" s="60"/>
    </row>
    <row r="741" ht="15.75" customHeight="1">
      <c r="A741" s="60"/>
    </row>
    <row r="742" ht="15.75" customHeight="1">
      <c r="A742" s="60"/>
    </row>
    <row r="743" ht="15.75" customHeight="1">
      <c r="A743" s="60"/>
    </row>
    <row r="744" ht="15.75" customHeight="1">
      <c r="A744" s="60"/>
    </row>
    <row r="745" ht="15.75" customHeight="1">
      <c r="A745" s="60"/>
    </row>
    <row r="746" ht="15.75" customHeight="1">
      <c r="A746" s="60"/>
    </row>
    <row r="747" ht="15.75" customHeight="1">
      <c r="A747" s="60"/>
    </row>
    <row r="748" ht="15.75" customHeight="1">
      <c r="A748" s="60"/>
    </row>
    <row r="749" ht="15.75" customHeight="1">
      <c r="A749" s="60"/>
    </row>
    <row r="750" ht="15.75" customHeight="1">
      <c r="A750" s="60"/>
    </row>
    <row r="751" ht="15.75" customHeight="1">
      <c r="A751" s="60"/>
    </row>
    <row r="752" ht="15.75" customHeight="1">
      <c r="A752" s="60"/>
    </row>
    <row r="753" ht="15.75" customHeight="1">
      <c r="A753" s="60"/>
    </row>
    <row r="754" ht="15.75" customHeight="1">
      <c r="A754" s="60"/>
    </row>
    <row r="755" ht="15.75" customHeight="1">
      <c r="A755" s="60"/>
    </row>
    <row r="756" ht="15.75" customHeight="1">
      <c r="A756" s="60"/>
    </row>
    <row r="757" ht="15.75" customHeight="1">
      <c r="A757" s="60"/>
    </row>
    <row r="758" ht="15.75" customHeight="1">
      <c r="A758" s="60"/>
    </row>
    <row r="759" ht="15.75" customHeight="1">
      <c r="A759" s="60"/>
    </row>
    <row r="760" ht="15.75" customHeight="1">
      <c r="A760" s="60"/>
    </row>
    <row r="761" ht="15.75" customHeight="1">
      <c r="A761" s="60"/>
    </row>
    <row r="762" ht="15.75" customHeight="1">
      <c r="A762" s="60"/>
    </row>
    <row r="763" ht="15.75" customHeight="1">
      <c r="A763" s="60"/>
    </row>
    <row r="764" ht="15.75" customHeight="1">
      <c r="A764" s="60"/>
    </row>
    <row r="765" ht="15.75" customHeight="1">
      <c r="A765" s="60"/>
    </row>
    <row r="766" ht="15.75" customHeight="1">
      <c r="A766" s="60"/>
    </row>
    <row r="767" ht="15.75" customHeight="1">
      <c r="A767" s="60"/>
    </row>
    <row r="768" ht="15.75" customHeight="1">
      <c r="A768" s="60"/>
    </row>
    <row r="769" ht="15.75" customHeight="1">
      <c r="A769" s="60"/>
    </row>
    <row r="770" ht="15.75" customHeight="1">
      <c r="A770" s="60"/>
    </row>
    <row r="771" ht="15.75" customHeight="1">
      <c r="A771" s="60"/>
    </row>
    <row r="772" ht="15.75" customHeight="1">
      <c r="A772" s="60"/>
    </row>
    <row r="773" ht="15.75" customHeight="1">
      <c r="A773" s="60"/>
    </row>
    <row r="774" ht="15.75" customHeight="1">
      <c r="A774" s="60"/>
    </row>
    <row r="775" ht="15.75" customHeight="1">
      <c r="A775" s="60"/>
    </row>
    <row r="776" ht="15.75" customHeight="1">
      <c r="A776" s="60"/>
    </row>
    <row r="777" ht="15.75" customHeight="1">
      <c r="A777" s="60"/>
    </row>
    <row r="778" ht="15.75" customHeight="1">
      <c r="A778" s="60"/>
    </row>
    <row r="779" ht="15.75" customHeight="1">
      <c r="A779" s="60"/>
    </row>
    <row r="780" ht="15.75" customHeight="1">
      <c r="A780" s="60"/>
    </row>
    <row r="781" ht="15.75" customHeight="1">
      <c r="A781" s="60"/>
    </row>
    <row r="782" ht="15.75" customHeight="1">
      <c r="A782" s="60"/>
    </row>
    <row r="783" ht="15.75" customHeight="1">
      <c r="A783" s="60"/>
    </row>
    <row r="784" ht="15.75" customHeight="1">
      <c r="A784" s="60"/>
    </row>
    <row r="785" ht="15.75" customHeight="1">
      <c r="A785" s="60"/>
    </row>
    <row r="786" ht="15.75" customHeight="1">
      <c r="A786" s="60"/>
    </row>
    <row r="787" ht="15.75" customHeight="1">
      <c r="A787" s="60"/>
    </row>
    <row r="788" ht="15.75" customHeight="1">
      <c r="A788" s="60"/>
    </row>
    <row r="789" ht="15.75" customHeight="1">
      <c r="A789" s="60"/>
    </row>
    <row r="790" ht="15.75" customHeight="1">
      <c r="A790" s="60"/>
    </row>
    <row r="791" ht="15.75" customHeight="1">
      <c r="A791" s="60"/>
    </row>
    <row r="792" ht="15.75" customHeight="1">
      <c r="A792" s="60"/>
    </row>
    <row r="793" ht="15.75" customHeight="1">
      <c r="A793" s="60"/>
    </row>
    <row r="794" ht="15.75" customHeight="1">
      <c r="A794" s="60"/>
    </row>
    <row r="795" ht="15.75" customHeight="1">
      <c r="A795" s="60"/>
    </row>
    <row r="796" ht="15.75" customHeight="1">
      <c r="A796" s="60"/>
    </row>
    <row r="797" ht="15.75" customHeight="1">
      <c r="A797" s="60"/>
    </row>
    <row r="798" ht="15.75" customHeight="1">
      <c r="A798" s="60"/>
    </row>
    <row r="799" ht="15.75" customHeight="1">
      <c r="A799" s="60"/>
    </row>
    <row r="800" ht="15.75" customHeight="1">
      <c r="A800" s="60"/>
    </row>
    <row r="801" ht="15.75" customHeight="1">
      <c r="A801" s="60"/>
    </row>
    <row r="802" ht="15.75" customHeight="1">
      <c r="A802" s="60"/>
    </row>
    <row r="803" ht="15.75" customHeight="1">
      <c r="A803" s="60"/>
    </row>
    <row r="804" ht="15.75" customHeight="1">
      <c r="A804" s="60"/>
    </row>
    <row r="805" ht="15.75" customHeight="1">
      <c r="A805" s="60"/>
    </row>
    <row r="806" ht="15.75" customHeight="1">
      <c r="A806" s="60"/>
    </row>
    <row r="807" ht="15.75" customHeight="1">
      <c r="A807" s="60"/>
    </row>
    <row r="808" ht="15.75" customHeight="1">
      <c r="A808" s="60"/>
    </row>
    <row r="809" ht="15.75" customHeight="1">
      <c r="A809" s="60"/>
    </row>
    <row r="810" ht="15.75" customHeight="1">
      <c r="A810" s="60"/>
    </row>
    <row r="811" ht="15.75" customHeight="1">
      <c r="A811" s="60"/>
    </row>
    <row r="812" ht="15.75" customHeight="1">
      <c r="A812" s="60"/>
    </row>
    <row r="813" ht="15.75" customHeight="1">
      <c r="A813" s="60"/>
    </row>
    <row r="814" ht="15.75" customHeight="1">
      <c r="A814" s="60"/>
    </row>
    <row r="815" ht="15.75" customHeight="1">
      <c r="A815" s="60"/>
    </row>
    <row r="816" ht="15.75" customHeight="1">
      <c r="A816" s="60"/>
    </row>
    <row r="817" ht="15.75" customHeight="1">
      <c r="A817" s="60"/>
    </row>
    <row r="818" ht="15.75" customHeight="1">
      <c r="A818" s="60"/>
    </row>
    <row r="819" ht="15.75" customHeight="1">
      <c r="A819" s="60"/>
    </row>
    <row r="820" ht="15.75" customHeight="1">
      <c r="A820" s="60"/>
    </row>
    <row r="821" ht="15.75" customHeight="1">
      <c r="A821" s="60"/>
    </row>
    <row r="822" ht="15.75" customHeight="1">
      <c r="A822" s="60"/>
    </row>
    <row r="823" ht="15.75" customHeight="1">
      <c r="A823" s="60"/>
    </row>
    <row r="824" ht="15.75" customHeight="1">
      <c r="A824" s="60"/>
    </row>
    <row r="825" ht="15.75" customHeight="1">
      <c r="A825" s="60"/>
    </row>
    <row r="826" ht="15.75" customHeight="1">
      <c r="A826" s="60"/>
    </row>
    <row r="827" ht="15.75" customHeight="1">
      <c r="A827" s="60"/>
    </row>
    <row r="828" ht="15.75" customHeight="1">
      <c r="A828" s="60"/>
    </row>
    <row r="829" ht="15.75" customHeight="1">
      <c r="A829" s="60"/>
    </row>
    <row r="830" ht="15.75" customHeight="1">
      <c r="A830" s="60"/>
    </row>
    <row r="831" ht="15.75" customHeight="1">
      <c r="A831" s="60"/>
    </row>
    <row r="832" ht="15.75" customHeight="1">
      <c r="A832" s="60"/>
    </row>
    <row r="833" ht="15.75" customHeight="1">
      <c r="A833" s="60"/>
    </row>
    <row r="834" ht="15.75" customHeight="1">
      <c r="A834" s="60"/>
    </row>
    <row r="835" ht="15.75" customHeight="1">
      <c r="A835" s="60"/>
    </row>
    <row r="836" ht="15.75" customHeight="1">
      <c r="A836" s="60"/>
    </row>
    <row r="837" ht="15.75" customHeight="1">
      <c r="A837" s="60"/>
    </row>
    <row r="838" ht="15.75" customHeight="1">
      <c r="A838" s="60"/>
    </row>
    <row r="839" ht="15.75" customHeight="1">
      <c r="A839" s="60"/>
    </row>
    <row r="840" ht="15.75" customHeight="1">
      <c r="A840" s="60"/>
    </row>
    <row r="841" ht="15.75" customHeight="1">
      <c r="A841" s="60"/>
    </row>
    <row r="842" ht="15.75" customHeight="1">
      <c r="A842" s="60"/>
    </row>
    <row r="843" ht="15.75" customHeight="1">
      <c r="A843" s="60"/>
    </row>
    <row r="844" ht="15.75" customHeight="1">
      <c r="A844" s="60"/>
    </row>
    <row r="845" ht="15.75" customHeight="1">
      <c r="A845" s="60"/>
    </row>
    <row r="846" ht="15.75" customHeight="1">
      <c r="A846" s="60"/>
    </row>
    <row r="847" ht="15.75" customHeight="1">
      <c r="A847" s="60"/>
    </row>
    <row r="848" ht="15.75" customHeight="1">
      <c r="A848" s="60"/>
    </row>
    <row r="849" ht="15.75" customHeight="1">
      <c r="A849" s="60"/>
    </row>
    <row r="850" ht="15.75" customHeight="1">
      <c r="A850" s="60"/>
    </row>
    <row r="851" ht="15.75" customHeight="1">
      <c r="A851" s="60"/>
    </row>
    <row r="852" ht="15.75" customHeight="1">
      <c r="A852" s="60"/>
    </row>
    <row r="853" ht="15.75" customHeight="1">
      <c r="A853" s="60"/>
    </row>
    <row r="854" ht="15.75" customHeight="1">
      <c r="A854" s="60"/>
    </row>
    <row r="855" ht="15.75" customHeight="1">
      <c r="A855" s="60"/>
    </row>
    <row r="856" ht="15.75" customHeight="1">
      <c r="A856" s="60"/>
    </row>
    <row r="857" ht="15.75" customHeight="1">
      <c r="A857" s="60"/>
    </row>
    <row r="858" ht="15.75" customHeight="1">
      <c r="A858" s="60"/>
    </row>
    <row r="859" ht="15.75" customHeight="1">
      <c r="A859" s="60"/>
    </row>
    <row r="860" ht="15.75" customHeight="1">
      <c r="A860" s="60"/>
    </row>
    <row r="861" ht="15.75" customHeight="1">
      <c r="A861" s="60"/>
    </row>
    <row r="862" ht="15.75" customHeight="1">
      <c r="A862" s="60"/>
    </row>
    <row r="863" ht="15.75" customHeight="1">
      <c r="A863" s="60"/>
    </row>
    <row r="864" ht="15.75" customHeight="1">
      <c r="A864" s="60"/>
    </row>
    <row r="865" ht="15.75" customHeight="1">
      <c r="A865" s="60"/>
    </row>
    <row r="866" ht="15.75" customHeight="1">
      <c r="A866" s="60"/>
    </row>
    <row r="867" ht="15.75" customHeight="1">
      <c r="A867" s="60"/>
    </row>
    <row r="868" ht="15.75" customHeight="1">
      <c r="A868" s="60"/>
    </row>
    <row r="869" ht="15.75" customHeight="1">
      <c r="A869" s="60"/>
    </row>
    <row r="870" ht="15.75" customHeight="1">
      <c r="A870" s="60"/>
    </row>
    <row r="871" ht="15.75" customHeight="1">
      <c r="A871" s="60"/>
    </row>
    <row r="872" ht="15.75" customHeight="1">
      <c r="A872" s="60"/>
    </row>
    <row r="873" ht="15.75" customHeight="1">
      <c r="A873" s="60"/>
    </row>
    <row r="874" ht="15.75" customHeight="1">
      <c r="A874" s="60"/>
    </row>
    <row r="875" ht="15.75" customHeight="1">
      <c r="A875" s="60"/>
    </row>
    <row r="876" ht="15.75" customHeight="1">
      <c r="A876" s="60"/>
    </row>
    <row r="877" ht="15.75" customHeight="1">
      <c r="A877" s="60"/>
    </row>
    <row r="878" ht="15.75" customHeight="1">
      <c r="A878" s="60"/>
    </row>
    <row r="879" ht="15.75" customHeight="1">
      <c r="A879" s="60"/>
    </row>
    <row r="880" ht="15.75" customHeight="1">
      <c r="A880" s="60"/>
    </row>
    <row r="881" ht="15.75" customHeight="1">
      <c r="A881" s="60"/>
    </row>
    <row r="882" ht="15.75" customHeight="1">
      <c r="A882" s="60"/>
    </row>
    <row r="883" ht="15.75" customHeight="1">
      <c r="A883" s="60"/>
    </row>
    <row r="884" ht="15.75" customHeight="1">
      <c r="A884" s="60"/>
    </row>
    <row r="885" ht="15.75" customHeight="1">
      <c r="A885" s="60"/>
    </row>
    <row r="886" ht="15.75" customHeight="1">
      <c r="A886" s="60"/>
    </row>
    <row r="887" ht="15.75" customHeight="1">
      <c r="A887" s="60"/>
    </row>
    <row r="888" ht="15.75" customHeight="1">
      <c r="A888" s="60"/>
    </row>
    <row r="889" ht="15.75" customHeight="1">
      <c r="A889" s="60"/>
    </row>
    <row r="890" ht="15.75" customHeight="1">
      <c r="A890" s="60"/>
    </row>
    <row r="891" ht="15.75" customHeight="1">
      <c r="A891" s="60"/>
    </row>
    <row r="892" ht="15.75" customHeight="1">
      <c r="A892" s="60"/>
    </row>
    <row r="893" ht="15.75" customHeight="1">
      <c r="A893" s="60"/>
    </row>
    <row r="894" ht="15.75" customHeight="1">
      <c r="A894" s="60"/>
    </row>
    <row r="895" ht="15.75" customHeight="1">
      <c r="A895" s="60"/>
    </row>
    <row r="896" ht="15.75" customHeight="1">
      <c r="A896" s="60"/>
    </row>
    <row r="897" ht="15.75" customHeight="1">
      <c r="A897" s="60"/>
    </row>
    <row r="898" ht="15.75" customHeight="1">
      <c r="A898" s="60"/>
    </row>
    <row r="899" ht="15.75" customHeight="1">
      <c r="A899" s="60"/>
    </row>
    <row r="900" ht="15.75" customHeight="1">
      <c r="A900" s="60"/>
    </row>
    <row r="901" ht="15.75" customHeight="1">
      <c r="A901" s="60"/>
    </row>
    <row r="902" ht="15.75" customHeight="1">
      <c r="A902" s="60"/>
    </row>
    <row r="903" ht="15.75" customHeight="1">
      <c r="A903" s="60"/>
    </row>
    <row r="904" ht="15.75" customHeight="1">
      <c r="A904" s="60"/>
    </row>
    <row r="905" ht="15.75" customHeight="1">
      <c r="A905" s="60"/>
    </row>
    <row r="906" ht="15.75" customHeight="1">
      <c r="A906" s="60"/>
    </row>
    <row r="907" ht="15.75" customHeight="1">
      <c r="A907" s="60"/>
    </row>
    <row r="908" ht="15.75" customHeight="1">
      <c r="A908" s="60"/>
    </row>
    <row r="909" ht="15.75" customHeight="1">
      <c r="A909" s="60"/>
    </row>
    <row r="910" ht="15.75" customHeight="1">
      <c r="A910" s="60"/>
    </row>
    <row r="911" ht="15.75" customHeight="1">
      <c r="A911" s="60"/>
    </row>
    <row r="912" ht="15.75" customHeight="1">
      <c r="A912" s="60"/>
    </row>
    <row r="913" ht="15.75" customHeight="1">
      <c r="A913" s="60"/>
    </row>
    <row r="914" ht="15.75" customHeight="1">
      <c r="A914" s="60"/>
    </row>
    <row r="915" ht="15.75" customHeight="1">
      <c r="A915" s="60"/>
    </row>
    <row r="916" ht="15.75" customHeight="1">
      <c r="A916" s="60"/>
    </row>
    <row r="917" ht="15.75" customHeight="1">
      <c r="A917" s="60"/>
    </row>
    <row r="918" ht="15.75" customHeight="1">
      <c r="A918" s="60"/>
    </row>
    <row r="919" ht="15.75" customHeight="1">
      <c r="A919" s="60"/>
    </row>
    <row r="920" ht="15.75" customHeight="1">
      <c r="A920" s="60"/>
    </row>
    <row r="921" ht="15.75" customHeight="1">
      <c r="A921" s="60"/>
    </row>
    <row r="922" ht="15.75" customHeight="1">
      <c r="A922" s="60"/>
    </row>
    <row r="923" ht="15.75" customHeight="1">
      <c r="A923" s="60"/>
    </row>
    <row r="924" ht="15.75" customHeight="1">
      <c r="A924" s="60"/>
    </row>
    <row r="925" ht="15.75" customHeight="1">
      <c r="A925" s="60"/>
    </row>
    <row r="926" ht="15.75" customHeight="1">
      <c r="A926" s="60"/>
    </row>
    <row r="927" ht="15.75" customHeight="1">
      <c r="A927" s="60"/>
    </row>
    <row r="928" ht="15.75" customHeight="1">
      <c r="A928" s="60"/>
    </row>
    <row r="929" ht="15.75" customHeight="1">
      <c r="A929" s="60"/>
    </row>
    <row r="930" ht="15.75" customHeight="1">
      <c r="A930" s="60"/>
    </row>
    <row r="931" ht="15.75" customHeight="1">
      <c r="A931" s="60"/>
    </row>
    <row r="932" ht="15.75" customHeight="1">
      <c r="A932" s="60"/>
    </row>
    <row r="933" ht="15.75" customHeight="1">
      <c r="A933" s="60"/>
    </row>
    <row r="934" ht="15.75" customHeight="1">
      <c r="A934" s="60"/>
    </row>
    <row r="935" ht="15.75" customHeight="1">
      <c r="A935" s="60"/>
    </row>
    <row r="936" ht="15.75" customHeight="1">
      <c r="A936" s="60"/>
    </row>
    <row r="937" ht="15.75" customHeight="1">
      <c r="A937" s="60"/>
    </row>
    <row r="938" ht="15.75" customHeight="1">
      <c r="A938" s="60"/>
    </row>
    <row r="939" ht="15.75" customHeight="1">
      <c r="A939" s="60"/>
    </row>
    <row r="940" ht="15.75" customHeight="1">
      <c r="A940" s="60"/>
    </row>
    <row r="941" ht="15.75" customHeight="1">
      <c r="A941" s="60"/>
    </row>
    <row r="942" ht="15.75" customHeight="1">
      <c r="A942" s="60"/>
    </row>
    <row r="943" ht="15.75" customHeight="1">
      <c r="A943" s="60"/>
    </row>
    <row r="944" ht="15.75" customHeight="1">
      <c r="A944" s="60"/>
    </row>
    <row r="945" ht="15.75" customHeight="1">
      <c r="A945" s="60"/>
    </row>
    <row r="946" ht="15.75" customHeight="1">
      <c r="A946" s="60"/>
    </row>
    <row r="947" ht="15.75" customHeight="1">
      <c r="A947" s="60"/>
    </row>
    <row r="948" ht="15.75" customHeight="1">
      <c r="A948" s="60"/>
    </row>
    <row r="949" ht="15.75" customHeight="1">
      <c r="A949" s="60"/>
    </row>
    <row r="950" ht="15.75" customHeight="1">
      <c r="A950" s="60"/>
    </row>
    <row r="951" ht="15.75" customHeight="1">
      <c r="A951" s="60"/>
    </row>
    <row r="952" ht="15.75" customHeight="1">
      <c r="A952" s="60"/>
    </row>
    <row r="953" ht="15.75" customHeight="1">
      <c r="A953" s="60"/>
    </row>
    <row r="954" ht="15.75" customHeight="1">
      <c r="A954" s="60"/>
    </row>
    <row r="955" ht="15.75" customHeight="1">
      <c r="A955" s="60"/>
    </row>
    <row r="956" ht="15.75" customHeight="1">
      <c r="A956" s="60"/>
    </row>
    <row r="957" ht="15.75" customHeight="1">
      <c r="A957" s="60"/>
    </row>
    <row r="958" ht="15.75" customHeight="1">
      <c r="A958" s="60"/>
    </row>
    <row r="959" ht="15.75" customHeight="1">
      <c r="A959" s="60"/>
    </row>
    <row r="960" ht="15.75" customHeight="1">
      <c r="A960" s="60"/>
    </row>
    <row r="961" ht="15.75" customHeight="1">
      <c r="A961" s="60"/>
    </row>
    <row r="962" ht="15.75" customHeight="1">
      <c r="A962" s="60"/>
    </row>
    <row r="963" ht="15.75" customHeight="1">
      <c r="A963" s="60"/>
    </row>
    <row r="964" ht="15.75" customHeight="1">
      <c r="A964" s="60"/>
    </row>
    <row r="965" ht="15.75" customHeight="1">
      <c r="A965" s="60"/>
    </row>
    <row r="966" ht="15.75" customHeight="1">
      <c r="A966" s="60"/>
    </row>
    <row r="967" ht="15.75" customHeight="1">
      <c r="A967" s="60"/>
    </row>
    <row r="968" ht="15.75" customHeight="1">
      <c r="A968" s="60"/>
    </row>
    <row r="969" ht="15.75" customHeight="1">
      <c r="A969" s="60"/>
    </row>
    <row r="970" ht="15.75" customHeight="1">
      <c r="A970" s="60"/>
    </row>
    <row r="971" ht="15.75" customHeight="1">
      <c r="A971" s="60"/>
    </row>
    <row r="972" ht="15.75" customHeight="1">
      <c r="A972" s="60"/>
    </row>
    <row r="973" ht="15.75" customHeight="1">
      <c r="A973" s="60"/>
    </row>
    <row r="974" ht="15.75" customHeight="1">
      <c r="A974" s="60"/>
    </row>
    <row r="975" ht="15.75" customHeight="1">
      <c r="A975" s="60"/>
    </row>
    <row r="976" ht="15.75" customHeight="1">
      <c r="A976" s="60"/>
    </row>
    <row r="977" ht="15.75" customHeight="1">
      <c r="A977" s="60"/>
    </row>
    <row r="978" ht="15.75" customHeight="1">
      <c r="A978" s="60"/>
    </row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1:A12 A14:A18 A20:A978">
      <formula1>"start,end,today,deviceid,begin_group,end_group,text,integer,decimal,note,calculate,select_one list_name,select_multiple list_name,select_one_from_file file.extension,select_multiple_from_file file.extension,begin_repeat,end_repeat,geopoint,geotrace,geosha"&amp;"pe,start-geopoint,range,image,barcode,audio,background-audio,video,file,date,time,datetime,rank,csv-external,acknowledge,username,phonenumber,email,audit,select_multiple caste,select_multiple issues,select_multiple work_demands or_other,select_one caste,s"&amp;"elect_one contributions,select_one demands,select_one type,select_one Y_N,type,decimal,select_multiple low_work or_other"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55.86"/>
    <col customWidth="1" min="3" max="3" width="59.0"/>
    <col customWidth="1" min="4" max="4" width="49.29"/>
    <col customWidth="1" min="5" max="5" width="41.43"/>
    <col customWidth="1" min="6" max="6" width="45.0"/>
    <col customWidth="1" min="7" max="7" width="21.71"/>
    <col customWidth="1" min="8" max="26" width="9.14"/>
  </cols>
  <sheetData>
    <row r="1" ht="21.75" customHeight="1">
      <c r="A1" s="61" t="s">
        <v>252</v>
      </c>
      <c r="B1" s="61" t="s">
        <v>1</v>
      </c>
      <c r="C1" s="62" t="s">
        <v>2</v>
      </c>
      <c r="D1" s="2" t="s">
        <v>3</v>
      </c>
      <c r="E1" s="2" t="s">
        <v>4</v>
      </c>
      <c r="F1" s="63" t="s">
        <v>5</v>
      </c>
      <c r="G1" s="64" t="s">
        <v>6</v>
      </c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ht="13.5" customHeight="1">
      <c r="A2" s="16" t="s">
        <v>253</v>
      </c>
      <c r="B2" s="16" t="s">
        <v>254</v>
      </c>
      <c r="C2" s="16" t="s">
        <v>255</v>
      </c>
      <c r="D2" s="12" t="s">
        <v>256</v>
      </c>
      <c r="E2" s="12" t="str">
        <f>IFERROR(__xludf.DUMMYFUNCTION("GOOGLETRANSLATE(D2, ""hi"", ""gu"")"),"સામાન્ય શ્રેણી")</f>
        <v>સામાન્ય શ્રેણી</v>
      </c>
      <c r="F2" s="40" t="s">
        <v>257</v>
      </c>
      <c r="G2" s="66" t="s">
        <v>258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3.5" customHeight="1">
      <c r="A3" s="16" t="s">
        <v>253</v>
      </c>
      <c r="B3" s="16" t="s">
        <v>259</v>
      </c>
      <c r="C3" s="16" t="s">
        <v>259</v>
      </c>
      <c r="D3" s="12" t="s">
        <v>260</v>
      </c>
      <c r="E3" s="12" t="str">
        <f>IFERROR(__xludf.DUMMYFUNCTION("GOOGLETRANSLATE(D3, ""hi"", ""gu"")"),"અનુસૂચિત જાતિ")</f>
        <v>અનુસૂચિત જાતિ</v>
      </c>
      <c r="F3" s="40" t="s">
        <v>261</v>
      </c>
      <c r="G3" s="66" t="s">
        <v>262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3.5" customHeight="1">
      <c r="A4" s="16" t="s">
        <v>253</v>
      </c>
      <c r="B4" s="16" t="s">
        <v>263</v>
      </c>
      <c r="C4" s="16" t="s">
        <v>263</v>
      </c>
      <c r="D4" s="12" t="s">
        <v>264</v>
      </c>
      <c r="E4" s="12" t="str">
        <f>IFERROR(__xludf.DUMMYFUNCTION("GOOGLETRANSLATE(D4, ""hi"", ""gu"")"),"અનુસૂચિત જનજાતિ")</f>
        <v>અનુસૂચિત જનજાતિ</v>
      </c>
      <c r="F4" s="40" t="s">
        <v>265</v>
      </c>
      <c r="G4" s="66" t="s">
        <v>266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3.5" customHeight="1">
      <c r="A5" s="16" t="s">
        <v>253</v>
      </c>
      <c r="B5" s="16" t="s">
        <v>267</v>
      </c>
      <c r="C5" s="16" t="s">
        <v>268</v>
      </c>
      <c r="D5" s="12" t="s">
        <v>269</v>
      </c>
      <c r="E5" s="12" t="str">
        <f>IFERROR(__xludf.DUMMYFUNCTION("GOOGLETRANSLATE(D5, ""hi"", ""gu"")"),"અન્ય પછાત વર્ગો")</f>
        <v>અન્ય પછાત વર્ગો</v>
      </c>
      <c r="F5" s="40" t="s">
        <v>270</v>
      </c>
      <c r="G5" s="66" t="s">
        <v>271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3.5" customHeight="1">
      <c r="A6" s="16"/>
      <c r="B6" s="16"/>
      <c r="C6" s="16"/>
      <c r="D6" s="11"/>
      <c r="E6" s="12"/>
      <c r="F6" s="40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3.5" customHeight="1">
      <c r="A7" s="16" t="s">
        <v>272</v>
      </c>
      <c r="B7" s="16" t="s">
        <v>273</v>
      </c>
      <c r="C7" s="16" t="s">
        <v>274</v>
      </c>
      <c r="D7" s="12" t="s">
        <v>275</v>
      </c>
      <c r="E7" s="12" t="str">
        <f>IFERROR(__xludf.DUMMYFUNCTION("GOOGLETRANSLATE(D7, ""hi"", ""gu"")"),"મોટરસાયકલ")</f>
        <v>મોટરસાયકલ</v>
      </c>
      <c r="F7" s="40" t="s">
        <v>276</v>
      </c>
      <c r="G7" s="16" t="str">
        <f>IFERROR(__xludf.DUMMYFUNCTION("GOOGLETRANSLATE(C7, ""en"", ""or"")"),"ମୋଟରବାଇକ୍")</f>
        <v>ମୋଟରବାଇକ୍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3.5" customHeight="1">
      <c r="A8" s="16" t="s">
        <v>272</v>
      </c>
      <c r="B8" s="16" t="s">
        <v>277</v>
      </c>
      <c r="C8" s="16" t="s">
        <v>278</v>
      </c>
      <c r="D8" s="12" t="s">
        <v>279</v>
      </c>
      <c r="E8" s="12" t="str">
        <f>IFERROR(__xludf.DUMMYFUNCTION("GOOGLETRANSLATE(D8, ""hi"", ""gu"")"),"કાર")</f>
        <v>કાર</v>
      </c>
      <c r="F8" s="40" t="s">
        <v>280</v>
      </c>
      <c r="G8" s="16" t="str">
        <f>IFERROR(__xludf.DUMMYFUNCTION("GOOGLETRANSLATE(C8, ""en"", ""or"")"),"କାର୍")</f>
        <v>କାର୍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3.5" customHeight="1">
      <c r="A9" s="16" t="s">
        <v>272</v>
      </c>
      <c r="B9" s="16" t="s">
        <v>281</v>
      </c>
      <c r="C9" s="16" t="s">
        <v>282</v>
      </c>
      <c r="D9" s="12" t="s">
        <v>283</v>
      </c>
      <c r="E9" s="12" t="str">
        <f>IFERROR(__xludf.DUMMYFUNCTION("GOOGLETRANSLATE(D9, ""hi"", ""gu"")"),"માટીનું ઘર")</f>
        <v>માટીનું ઘર</v>
      </c>
      <c r="F9" s="40" t="s">
        <v>284</v>
      </c>
      <c r="G9" s="16" t="str">
        <f>IFERROR(__xludf.DUMMYFUNCTION("GOOGLETRANSLATE(C9, ""en"", ""or"")"),"କଚ୍ଚା ହାଉସ୍")</f>
        <v>କଚ୍ଚା ହାଉସ୍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3.5" customHeight="1">
      <c r="A10" s="16" t="s">
        <v>272</v>
      </c>
      <c r="B10" s="16" t="s">
        <v>285</v>
      </c>
      <c r="C10" s="16" t="s">
        <v>286</v>
      </c>
      <c r="D10" s="12" t="s">
        <v>287</v>
      </c>
      <c r="E10" s="12" t="str">
        <f>IFERROR(__xludf.DUMMYFUNCTION("GOOGLETRANSLATE(D10, ""hi"", ""gu"")"),"કાયમી નિવાસસ્થાન")</f>
        <v>કાયમી નિવાસસ્થાન</v>
      </c>
      <c r="F10" s="40" t="s">
        <v>288</v>
      </c>
      <c r="G10" s="16" t="str">
        <f>IFERROR(__xludf.DUMMYFUNCTION("GOOGLETRANSLATE(C10, ""en"", ""or"")"),"ସିମେଣ୍ଟେଡ୍ ଘର")</f>
        <v>ସିମେଣ୍ଟେଡ୍ ଘର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3.5" customHeight="1">
      <c r="A11" s="16" t="s">
        <v>272</v>
      </c>
      <c r="B11" s="16" t="s">
        <v>289</v>
      </c>
      <c r="C11" s="16" t="s">
        <v>290</v>
      </c>
      <c r="D11" s="12" t="s">
        <v>291</v>
      </c>
      <c r="E11" s="12" t="str">
        <f>IFERROR(__xludf.DUMMYFUNCTION("GOOGLETRANSLATE(D11, ""hi"", ""gu"")"),"ભૂમિહીન")</f>
        <v>ભૂમિહીન</v>
      </c>
      <c r="F11" s="40" t="s">
        <v>292</v>
      </c>
      <c r="G11" s="16" t="str">
        <f>IFERROR(__xludf.DUMMYFUNCTION("GOOGLETRANSLATE(C11, ""en"", ""or"")"),"ଭୂମିହୀନ")</f>
        <v>ଭୂମିହୀନ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3.5" customHeight="1">
      <c r="A12" s="16"/>
      <c r="B12" s="16"/>
      <c r="C12" s="16"/>
      <c r="D12" s="11"/>
      <c r="E12" s="12"/>
      <c r="F12" s="40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21.0" customHeight="1">
      <c r="A13" s="16" t="s">
        <v>293</v>
      </c>
      <c r="B13" s="12" t="s">
        <v>294</v>
      </c>
      <c r="C13" s="12" t="s">
        <v>294</v>
      </c>
      <c r="D13" s="12" t="s">
        <v>295</v>
      </c>
      <c r="E13" s="12" t="str">
        <f>IFERROR(__xludf.DUMMYFUNCTION("GOOGLETRANSLATE(D13, ""hi"", ""gu"")"),"અત્યંત ગરીબ")</f>
        <v>અત્યંત ગરીબ</v>
      </c>
      <c r="F13" s="40" t="s">
        <v>296</v>
      </c>
      <c r="G13" s="16" t="str">
        <f>IFERROR(__xludf.DUMMYFUNCTION("GOOGLETRANSLATE(C13, ""en"", ""or"")"),"ଅତ୍ୟନ୍ତ ଖରାପ
")</f>
        <v>ଅତ୍ୟନ୍ତ ଖରାପ
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3.5" customHeight="1">
      <c r="A14" s="16" t="s">
        <v>293</v>
      </c>
      <c r="B14" s="16" t="s">
        <v>297</v>
      </c>
      <c r="C14" s="16" t="s">
        <v>298</v>
      </c>
      <c r="D14" s="12" t="s">
        <v>299</v>
      </c>
      <c r="E14" s="12" t="str">
        <f>IFERROR(__xludf.DUMMYFUNCTION("GOOGLETRANSLATE(D14, ""hi"", ""gu"")"),"ગરીબ")</f>
        <v>ગરીબ</v>
      </c>
      <c r="F14" s="40" t="s">
        <v>300</v>
      </c>
      <c r="G14" s="16" t="str">
        <f>IFERROR(__xludf.DUMMYFUNCTION("GOOGLETRANSLATE(C14, ""en"", ""or"")"),"ଦୁର୍ବଳ")</f>
        <v>ଦୁର୍ବଳ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3.5" customHeight="1">
      <c r="A15" s="16" t="s">
        <v>293</v>
      </c>
      <c r="B15" s="16" t="s">
        <v>301</v>
      </c>
      <c r="C15" s="16" t="s">
        <v>302</v>
      </c>
      <c r="D15" s="12" t="s">
        <v>303</v>
      </c>
      <c r="E15" s="12" t="str">
        <f>IFERROR(__xludf.DUMMYFUNCTION("GOOGLETRANSLATE(D15, ""hi"", ""gu"")"),"મધ્યમ")</f>
        <v>મધ્યમ</v>
      </c>
      <c r="F15" s="40" t="s">
        <v>304</v>
      </c>
      <c r="G15" s="16" t="str">
        <f>IFERROR(__xludf.DUMMYFUNCTION("GOOGLETRANSLATE(C15, ""en"", ""or"")"),"ମଧ୍ୟଭାଗ")</f>
        <v>ମଧ୍ୟଭାଗ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3.5" customHeight="1">
      <c r="A16" s="16" t="s">
        <v>293</v>
      </c>
      <c r="B16" s="16" t="s">
        <v>305</v>
      </c>
      <c r="C16" s="16" t="s">
        <v>306</v>
      </c>
      <c r="D16" s="12" t="s">
        <v>307</v>
      </c>
      <c r="E16" s="12" t="str">
        <f>IFERROR(__xludf.DUMMYFUNCTION("GOOGLETRANSLATE(D16, ""hi"", ""gu"")"),"શ્રીમંત")</f>
        <v>શ્રીમંત</v>
      </c>
      <c r="F16" s="40" t="s">
        <v>308</v>
      </c>
      <c r="G16" s="16" t="str">
        <f>IFERROR(__xludf.DUMMYFUNCTION("GOOGLETRANSLATE(C16, ""en"", ""or"")"),"ଧନୀ")</f>
        <v>ଧନୀ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3.5" customHeight="1">
      <c r="A17" s="11"/>
      <c r="B17" s="12"/>
      <c r="C17" s="12"/>
      <c r="D17" s="11"/>
      <c r="E17" s="12"/>
      <c r="F17" s="40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3.5" customHeight="1">
      <c r="A18" s="16" t="s">
        <v>309</v>
      </c>
      <c r="B18" s="16" t="s">
        <v>310</v>
      </c>
      <c r="C18" s="16" t="s">
        <v>311</v>
      </c>
      <c r="D18" s="12" t="s">
        <v>312</v>
      </c>
      <c r="E18" s="12" t="str">
        <f>IFERROR(__xludf.DUMMYFUNCTION("GOOGLETRANSLATE(D18, ""hi"", ""gu"")"),"હા, અને ઘણી માંગણીઓ પૂરી થઈ")</f>
        <v>હા, અને ઘણી માંગણીઓ પૂરી થઈ</v>
      </c>
      <c r="F18" s="40" t="s">
        <v>313</v>
      </c>
      <c r="G18" s="16" t="str">
        <f>IFERROR(__xludf.DUMMYFUNCTION("GOOGLETRANSLATE(C18, ""en"", ""or"")"),"ହଁ, ଏବଂ ଅନେକ ଦାବି ପୂରଣ ହୋଇଥିଲା।")</f>
        <v>ହଁ, ଏବଂ ଅନେକ ଦାବି ପୂରଣ ହୋଇଥିଲା।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3.5" customHeight="1">
      <c r="A19" s="16" t="s">
        <v>309</v>
      </c>
      <c r="B19" s="16" t="s">
        <v>314</v>
      </c>
      <c r="C19" s="16" t="s">
        <v>315</v>
      </c>
      <c r="D19" s="12" t="s">
        <v>316</v>
      </c>
      <c r="E19" s="12" t="str">
        <f>IFERROR(__xludf.DUMMYFUNCTION("GOOGLETRANSLATE(D19, ""hi"", ""gu"")"),"હા, પણ મોટાભાગની માંગણીઓ પૂરી થઈ ન હતી.")</f>
        <v>હા, પણ મોટાભાગની માંગણીઓ પૂરી થઈ ન હતી.</v>
      </c>
      <c r="F19" s="40" t="s">
        <v>317</v>
      </c>
      <c r="G19" s="16" t="str">
        <f>IFERROR(__xludf.DUMMYFUNCTION("GOOGLETRANSLATE(C19, ""en"", ""or"")"),"ହଁ, କିନ୍ତୁ ଅଧିକାଂଶ ଦାବି ପୂରଣ ହୋଇନଥିଲା।")</f>
        <v>ହଁ, କିନ୍ତୁ ଅଧିକାଂଶ ଦାବି ପୂରଣ ହୋଇନଥିଲା।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3.5" customHeight="1">
      <c r="A20" s="16" t="s">
        <v>309</v>
      </c>
      <c r="B20" s="16" t="s">
        <v>318</v>
      </c>
      <c r="C20" s="16" t="s">
        <v>318</v>
      </c>
      <c r="D20" s="12" t="s">
        <v>319</v>
      </c>
      <c r="E20" s="12" t="str">
        <f>IFERROR(__xludf.DUMMYFUNCTION("GOOGLETRANSLATE(D20, ""hi"", ""gu"")"),"ના, કોઈ માંગ નહોતી.")</f>
        <v>ના, કોઈ માંગ નહોતી.</v>
      </c>
      <c r="F20" s="40" t="s">
        <v>320</v>
      </c>
      <c r="G20" s="16" t="str">
        <f>IFERROR(__xludf.DUMMYFUNCTION("GOOGLETRANSLATE(C20, ""en"", ""or"")"),"ନା, କୌଣସି ଦାବି କରିନାହିଁ")</f>
        <v>ନା, କୌଣସି ଦାବି କରିନାହିଁ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3.5" customHeight="1">
      <c r="A21" s="16"/>
      <c r="B21" s="16"/>
      <c r="C21" s="16"/>
      <c r="D21" s="11"/>
      <c r="E21" s="12"/>
      <c r="F21" s="40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3.5" customHeight="1">
      <c r="A22" s="11" t="s">
        <v>321</v>
      </c>
      <c r="B22" s="11" t="s">
        <v>322</v>
      </c>
      <c r="C22" s="11" t="s">
        <v>323</v>
      </c>
      <c r="D22" s="12" t="s">
        <v>324</v>
      </c>
      <c r="E22" s="12" t="str">
        <f>IFERROR(__xludf.DUMMYFUNCTION("GOOGLETRANSLATE(D22, ""hi"", ""gu"")"),"ખેત તળાવ/ડોભા")</f>
        <v>ખેત તળાવ/ડોભા</v>
      </c>
      <c r="F22" s="40" t="s">
        <v>325</v>
      </c>
      <c r="G22" s="16" t="str">
        <f>IFERROR(__xludf.DUMMYFUNCTION("GOOGLETRANSLATE(C22, ""en"", ""or"")"),"ଚାଷ ପୋଖରୀ")</f>
        <v>ଚାଷ ପୋଖରୀ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3.5" customHeight="1">
      <c r="A23" s="11" t="s">
        <v>321</v>
      </c>
      <c r="B23" s="11" t="s">
        <v>326</v>
      </c>
      <c r="C23" s="11" t="s">
        <v>326</v>
      </c>
      <c r="D23" s="12" t="s">
        <v>327</v>
      </c>
      <c r="E23" s="12" t="str">
        <f>IFERROR(__xludf.DUMMYFUNCTION("GOOGLETRANSLATE(D23, ""hi"", ""gu"")"),"ચેનલ")</f>
        <v>ચેનલ</v>
      </c>
      <c r="F23" s="40" t="s">
        <v>328</v>
      </c>
      <c r="G23" s="16" t="str">
        <f>IFERROR(__xludf.DUMMYFUNCTION("GOOGLETRANSLATE(C23, ""en"", ""or"")"),"କେନାଲ")</f>
        <v>କେନାଲ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3.5" customHeight="1">
      <c r="A24" s="11" t="s">
        <v>321</v>
      </c>
      <c r="B24" s="11" t="s">
        <v>329</v>
      </c>
      <c r="C24" s="11" t="s">
        <v>330</v>
      </c>
      <c r="D24" s="12" t="s">
        <v>331</v>
      </c>
      <c r="E24" s="12" t="str">
        <f>IFERROR(__xludf.DUMMYFUNCTION("GOOGLETRANSLATE(D24, ""hi"", ""gu"")"),"ચેક ડેમ")</f>
        <v>ચેક ડેમ</v>
      </c>
      <c r="F24" s="40" t="s">
        <v>332</v>
      </c>
      <c r="G24" s="16" t="str">
        <f>IFERROR(__xludf.DUMMYFUNCTION("GOOGLETRANSLATE(C24, ""en"", ""or"")"),"ଚେକ୍ ଡ୍ୟାମ୍")</f>
        <v>ଚେକ୍ ଡ୍ୟାମ୍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3.5" customHeight="1">
      <c r="A25" s="11" t="s">
        <v>321</v>
      </c>
      <c r="B25" s="11" t="s">
        <v>333</v>
      </c>
      <c r="C25" s="11" t="s">
        <v>334</v>
      </c>
      <c r="D25" s="12" t="s">
        <v>335</v>
      </c>
      <c r="E25" s="12" t="str">
        <f>IFERROR(__xludf.DUMMYFUNCTION("GOOGLETRANSLATE(D25, ""hi"", ""gu"")"),"પરકોલેશન ટાંકી")</f>
        <v>પરકોલેશન ટાંકી</v>
      </c>
      <c r="F25" s="40" t="s">
        <v>336</v>
      </c>
      <c r="G25" s="16" t="str">
        <f>IFERROR(__xludf.DUMMYFUNCTION("GOOGLETRANSLATE(C25, ""en"", ""or"")"),"ପର୍କୋଲେସନ୍ ଟାଙ୍କି")</f>
        <v>ପର୍କୋଲେସନ୍ ଟାଙ୍କି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3.5" customHeight="1">
      <c r="A26" s="11" t="s">
        <v>321</v>
      </c>
      <c r="B26" s="11" t="s">
        <v>337</v>
      </c>
      <c r="C26" s="11" t="s">
        <v>338</v>
      </c>
      <c r="D26" s="12" t="s">
        <v>339</v>
      </c>
      <c r="E26" s="12" t="str">
        <f>IFERROR(__xludf.DUMMYFUNCTION("GOOGLETRANSLATE(D26, ""hi"", ""gu"")"),"માટીનો એલી પ્લગ")</f>
        <v>માટીનો એલી પ્લગ</v>
      </c>
      <c r="F26" s="40" t="s">
        <v>340</v>
      </c>
      <c r="G26" s="16" t="str">
        <f>IFERROR(__xludf.DUMMYFUNCTION("GOOGLETRANSLATE(C26, ""en"", ""or"")"),"ଆର୍ଥର୍ଣ୍ଣ ଗଲି ପ୍ଲଗ୍")</f>
        <v>ଆର୍ଥର୍ଣ୍ଣ ଗଲି ପ୍ଲଗ୍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3.5" customHeight="1">
      <c r="A27" s="11" t="s">
        <v>321</v>
      </c>
      <c r="B27" s="16" t="s">
        <v>341</v>
      </c>
      <c r="C27" s="16" t="s">
        <v>342</v>
      </c>
      <c r="D27" s="12" t="s">
        <v>343</v>
      </c>
      <c r="E27" s="12" t="str">
        <f>IFERROR(__xludf.DUMMYFUNCTION("GOOGLETRANSLATE(D27, ""hi"", ""gu"")"),"વાવેતર")</f>
        <v>વાવેતર</v>
      </c>
      <c r="F27" s="40" t="s">
        <v>344</v>
      </c>
      <c r="G27" s="16" t="str">
        <f>IFERROR(__xludf.DUMMYFUNCTION("GOOGLETRANSLATE(C27, ""en"", ""or"")"),"ବୃକ୍ଷରୋପଣ")</f>
        <v>ବୃକ୍ଷରୋପଣ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3.5" customHeight="1">
      <c r="A28" s="11" t="s">
        <v>321</v>
      </c>
      <c r="B28" s="16" t="s">
        <v>345</v>
      </c>
      <c r="C28" s="16" t="s">
        <v>346</v>
      </c>
      <c r="D28" s="12" t="s">
        <v>347</v>
      </c>
      <c r="E28" s="12" t="str">
        <f>IFERROR(__xludf.DUMMYFUNCTION("GOOGLETRANSLATE(D28, ""hi"", ""gu"")"),"બકરી અને ગાયનો વાડો")</f>
        <v>બકરી અને ગાયનો વાડો</v>
      </c>
      <c r="F28" s="40" t="s">
        <v>348</v>
      </c>
      <c r="G28" s="16" t="str">
        <f>IFERROR(__xludf.DUMMYFUNCTION("GOOGLETRANSLATE(C28, ""en"", ""or"")"),"ଛେଳି ଏବଂ ଗାଈ ଆଶ୍ରୟସ୍ଥଳ")</f>
        <v>ଛେଳି ଏବଂ ଗାଈ ଆଶ୍ରୟସ୍ଥଳ</v>
      </c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3.5" customHeight="1">
      <c r="A29" s="11" t="s">
        <v>321</v>
      </c>
      <c r="B29" s="11" t="s">
        <v>349</v>
      </c>
      <c r="C29" s="11" t="s">
        <v>350</v>
      </c>
      <c r="D29" s="12" t="s">
        <v>351</v>
      </c>
      <c r="E29" s="12" t="str">
        <f>IFERROR(__xludf.DUMMYFUNCTION("GOOGLETRANSLATE(D29, ""hi"", ""gu"")"),"ડ્રેઇન/સોક ડ્રેઇન")</f>
        <v>ડ્રેઇન/સોક ડ્રેઇન</v>
      </c>
      <c r="F29" s="40" t="s">
        <v>352</v>
      </c>
      <c r="G29" s="16" t="str">
        <f>IFERROR(__xludf.DUMMYFUNCTION("GOOGLETRANSLATE(C29, ""en"", ""or"")"),"ଜଳ ନିଷ୍କାସନ/ସୋକାଇଜ୍ ଚ୍ୟାନେଲଗୁଡ଼ିକ")</f>
        <v>ଜଳ ନିଷ୍କାସନ/ସୋକାଇଜ୍ ଚ୍ୟାନେଲଗୁଡ଼ିକ</v>
      </c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3.5" customHeight="1">
      <c r="A30" s="11" t="s">
        <v>321</v>
      </c>
      <c r="B30" s="11" t="s">
        <v>353</v>
      </c>
      <c r="C30" s="11" t="s">
        <v>354</v>
      </c>
      <c r="D30" s="12" t="s">
        <v>355</v>
      </c>
      <c r="E30" s="12" t="str">
        <f>IFERROR(__xludf.DUMMYFUNCTION("GOOGLETRANSLATE(D30, ""hi"", ""gu"")"),"રિચાર્જ ખાડાઓ")</f>
        <v>રિચાર્જ ખાડાઓ</v>
      </c>
      <c r="F30" s="40" t="s">
        <v>356</v>
      </c>
      <c r="G30" s="16" t="str">
        <f>IFERROR(__xludf.DUMMYFUNCTION("GOOGLETRANSLATE(C30, ""en"", ""or"")"),"ପିଟ୍‌ଗୁଡ଼ିକୁ ରିଚାର୍ଜ କରନ୍ତୁ")</f>
        <v>ପିଟ୍‌ଗୁଡ଼ିକୁ ରିଚାର୍ଜ କରନ୍ତୁ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3.5" customHeight="1">
      <c r="A31" s="11" t="s">
        <v>321</v>
      </c>
      <c r="B31" s="11" t="s">
        <v>357</v>
      </c>
      <c r="C31" s="11" t="s">
        <v>358</v>
      </c>
      <c r="D31" s="12" t="s">
        <v>359</v>
      </c>
      <c r="E31" s="12" t="str">
        <f>IFERROR(__xludf.DUMMYFUNCTION("GOOGLETRANSLATE(D31, ""hi"", ""gu"")"),"ખાડો")</f>
        <v>ખાડો</v>
      </c>
      <c r="F31" s="40" t="s">
        <v>360</v>
      </c>
      <c r="G31" s="16" t="str">
        <f>IFERROR(__xludf.DUMMYFUNCTION("GOOGLETRANSLATE(C31, ""en"", ""or"")"),"ସୋକାଗେ ପିଟ୍")</f>
        <v>ସୋକାଗେ ପିଟ୍</v>
      </c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3.5" customHeight="1">
      <c r="A32" s="11" t="s">
        <v>321</v>
      </c>
      <c r="B32" s="11" t="s">
        <v>361</v>
      </c>
      <c r="C32" s="11" t="s">
        <v>362</v>
      </c>
      <c r="D32" s="12" t="s">
        <v>363</v>
      </c>
      <c r="E32" s="12" t="str">
        <f>IFERROR(__xludf.DUMMYFUNCTION("GOOGLETRANSLATE(D32, ""hi"", ""gu"")"),"ખાઈ/બંધ")</f>
        <v>ખાઈ/બંધ</v>
      </c>
      <c r="F32" s="40" t="s">
        <v>364</v>
      </c>
      <c r="G32" s="16" t="str">
        <f>IFERROR(__xludf.DUMMYFUNCTION("GOOGLETRANSLATE(C32, ""en"", ""or"")"),"ଟ୍ରେଞ୍ଚ କମ୍ ବଣ୍ଡ ନେଟୱାର୍କ")</f>
        <v>ଟ୍ରେଞ୍ଚ କମ୍ ବଣ୍ଡ ନେଟୱାର୍କ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3.5" customHeight="1">
      <c r="A33" s="11" t="s">
        <v>321</v>
      </c>
      <c r="B33" s="11" t="s">
        <v>365</v>
      </c>
      <c r="C33" s="11" t="s">
        <v>366</v>
      </c>
      <c r="D33" s="12" t="s">
        <v>367</v>
      </c>
      <c r="E33" s="12" t="str">
        <f>IFERROR(__xludf.DUMMYFUNCTION("GOOGLETRANSLATE(D33, ""hi"", ""gu"")"),"મોટા પાણીના સ્ત્રોતો")</f>
        <v>મોટા પાણીના સ્ત્રોતો</v>
      </c>
      <c r="F33" s="40" t="s">
        <v>368</v>
      </c>
      <c r="G33" s="16" t="str">
        <f>IFERROR(__xludf.DUMMYFUNCTION("GOOGLETRANSLATE(C33, ""en"", ""or"")"),"ବୃହତ ଜଳାଶୟ")</f>
        <v>ବୃହତ ଜଳାଶୟ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3.5" customHeight="1">
      <c r="A34" s="11" t="s">
        <v>321</v>
      </c>
      <c r="B34" s="11" t="s">
        <v>369</v>
      </c>
      <c r="C34" s="11" t="s">
        <v>370</v>
      </c>
      <c r="D34" s="12" t="s">
        <v>371</v>
      </c>
      <c r="E34" s="12" t="str">
        <f>IFERROR(__xludf.DUMMYFUNCTION("GOOGLETRANSLATE(D34, ""hi"", ""gu"")"),"સિંચાઈ નહેરો")</f>
        <v>સિંચાઈ નહેરો</v>
      </c>
      <c r="F34" s="40" t="s">
        <v>372</v>
      </c>
      <c r="G34" s="16" t="str">
        <f>IFERROR(__xludf.DUMMYFUNCTION("GOOGLETRANSLATE(C34, ""en"", ""or"")"),"ଜଳସେଚନ ଚ୍ୟାନେଲ")</f>
        <v>ଜଳସେଚନ ଚ୍ୟାନେଲ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3.5" customHeight="1">
      <c r="A35" s="11" t="s">
        <v>321</v>
      </c>
      <c r="B35" s="11" t="s">
        <v>373</v>
      </c>
      <c r="C35" s="11" t="s">
        <v>374</v>
      </c>
      <c r="D35" s="12" t="s">
        <v>375</v>
      </c>
      <c r="E35" s="12" t="str">
        <f>IFERROR(__xludf.DUMMYFUNCTION("GOOGLETRANSLATE(D35, ""hi"", ""gu"")"),"સતત કોન્ટૂર ટ્રેન્ચ (CCT)")</f>
        <v>સતત કોન્ટૂર ટ્રેન્ચ (CCT)</v>
      </c>
      <c r="F35" s="40" t="s">
        <v>376</v>
      </c>
      <c r="G35" s="16" t="str">
        <f>IFERROR(__xludf.DUMMYFUNCTION("GOOGLETRANSLATE(C35, ""en"", ""or"")"),"ନିରନ୍ତର କଣ୍ଟୋର ଟ୍ରେଞ୍ଚ (CCT)")</f>
        <v>ନିରନ୍ତର କଣ୍ଟୋର ଟ୍ରେଞ୍ଚ (CCT)</v>
      </c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3.5" customHeight="1">
      <c r="A36" s="11" t="s">
        <v>321</v>
      </c>
      <c r="B36" s="11" t="s">
        <v>377</v>
      </c>
      <c r="C36" s="11" t="s">
        <v>378</v>
      </c>
      <c r="D36" s="12" t="s">
        <v>379</v>
      </c>
      <c r="E36" s="12" t="str">
        <f>IFERROR(__xludf.DUMMYFUNCTION("GOOGLETRANSLATE(D36, ""hi"", ""gu"")"),"સ્ટેગર્ડ કોન્ટૂર ટ્રેન્ચ (SCT)")</f>
        <v>સ્ટેગર્ડ કોન્ટૂર ટ્રેન્ચ (SCT)</v>
      </c>
      <c r="F36" s="40" t="s">
        <v>380</v>
      </c>
      <c r="G36" s="16" t="str">
        <f>IFERROR(__xludf.DUMMYFUNCTION("GOOGLETRANSLATE(C36, ""en"", ""or"")"),"ଷ୍ଟାଗର୍ଡ କଣ୍ଟୁର ଟ୍ରେଞ୍ଚ (SCT)")</f>
        <v>ଷ୍ଟାଗର୍ଡ କଣ୍ଟୁର ଟ୍ରେଞ୍ଚ (SCT)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3.5" customHeight="1">
      <c r="A37" s="11" t="s">
        <v>321</v>
      </c>
      <c r="B37" s="11" t="s">
        <v>381</v>
      </c>
      <c r="C37" s="11" t="s">
        <v>382</v>
      </c>
      <c r="D37" s="12" t="s">
        <v>383</v>
      </c>
      <c r="E37" s="12" t="str">
        <f>IFERROR(__xludf.DUMMYFUNCTION("GOOGLETRANSLATE(D37, ""hi"", ""gu"")"),"વોટર ઓબ્સ્ક્યુરેશન ટ્રેન્ચ (WAT)")</f>
        <v>વોટર ઓબ્સ્ક્યુરેશન ટ્રેન્ચ (WAT)</v>
      </c>
      <c r="F37" s="40" t="s">
        <v>384</v>
      </c>
      <c r="G37" s="16" t="str">
        <f>IFERROR(__xludf.DUMMYFUNCTION("GOOGLETRANSLATE(C37, ""en"", ""or"")"),"ଜଳ ଶୋଷଣ ଟ୍ରେଞ୍ଚ (WAT)")</f>
        <v>ଜଳ ଶୋଷଣ ଟ୍ରେଞ୍ଚ (WAT)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3.5" customHeight="1">
      <c r="A38" s="11" t="s">
        <v>321</v>
      </c>
      <c r="B38" s="11" t="s">
        <v>385</v>
      </c>
      <c r="C38" s="11" t="s">
        <v>386</v>
      </c>
      <c r="D38" s="12" t="s">
        <v>387</v>
      </c>
      <c r="E38" s="12" t="str">
        <f>IFERROR(__xludf.DUMMYFUNCTION("GOOGLETRANSLATE(D38, ""hi"", ""gu"")"),"રોકફિલ ડેમ")</f>
        <v>રોકફિલ ડેમ</v>
      </c>
      <c r="F38" s="40" t="s">
        <v>388</v>
      </c>
      <c r="G38" s="16" t="str">
        <f>IFERROR(__xludf.DUMMYFUNCTION("GOOGLETRANSLATE(C38, ""en"", ""or"")"),"ପଥର ପୂରଣ ବନ୍ଧ")</f>
        <v>ପଥର ପୂରଣ ବନ୍ଧ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3.5" customHeight="1">
      <c r="A39" s="11" t="s">
        <v>321</v>
      </c>
      <c r="B39" s="11" t="s">
        <v>389</v>
      </c>
      <c r="C39" s="11" t="s">
        <v>390</v>
      </c>
      <c r="D39" s="12" t="s">
        <v>391</v>
      </c>
      <c r="E39" s="12" t="str">
        <f>IFERROR(__xludf.DUMMYFUNCTION("GOOGLETRANSLATE(D39, ""hi"", ""gu"")"),"છૂટા પથ્થરના માળખાં")</f>
        <v>છૂટા પથ્થરના માળખાં</v>
      </c>
      <c r="F39" s="40" t="s">
        <v>392</v>
      </c>
      <c r="G39" s="16" t="str">
        <f>IFERROR(__xludf.DUMMYFUNCTION("GOOGLETRANSLATE(C39, ""en"", ""or"")"),"ଲୁଜ୍ ବୋଲ୍ଡର୍ ଗଠନ")</f>
        <v>ଲୁଜ୍ ବୋଲ୍ଡର୍ ଗଠନ</v>
      </c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3.5" customHeight="1">
      <c r="A40" s="11" t="s">
        <v>321</v>
      </c>
      <c r="B40" s="11" t="s">
        <v>393</v>
      </c>
      <c r="C40" s="11" t="s">
        <v>394</v>
      </c>
      <c r="D40" s="12" t="s">
        <v>395</v>
      </c>
      <c r="E40" s="12" t="str">
        <f>IFERROR(__xludf.DUMMYFUNCTION("GOOGLETRANSLATE(D40, ""hi"", ""gu"")"),"પથ્થર બંધ")</f>
        <v>પથ્થર બંધ</v>
      </c>
      <c r="F40" s="40" t="s">
        <v>396</v>
      </c>
      <c r="G40" s="16" t="str">
        <f>IFERROR(__xludf.DUMMYFUNCTION("GOOGLETRANSLATE(C40, ""en"", ""or"")"),"ପଥର ବାଣ୍ଡିଂ")</f>
        <v>ପଥର ବାଣ୍ଡିଂ</v>
      </c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3.5" customHeight="1">
      <c r="A41" s="11" t="s">
        <v>321</v>
      </c>
      <c r="B41" s="11" t="s">
        <v>397</v>
      </c>
      <c r="C41" s="11" t="s">
        <v>398</v>
      </c>
      <c r="D41" s="12" t="s">
        <v>399</v>
      </c>
      <c r="E41" s="12" t="str">
        <f>IFERROR(__xludf.DUMMYFUNCTION("GOOGLETRANSLATE(D41, ""hi"", ""gu"")"),"ડાયવર્ઝન ડ્રેઇન")</f>
        <v>ડાયવર્ઝન ડ્રેઇન</v>
      </c>
      <c r="F41" s="40" t="s">
        <v>400</v>
      </c>
      <c r="G41" s="16" t="str">
        <f>IFERROR(__xludf.DUMMYFUNCTION("GOOGLETRANSLATE(C41, ""en"", ""or"")"),"ଡାଇଭର୍ସନ ଡ୍ରେନ")</f>
        <v>ଡାଇଭର୍ସନ ଡ୍ରେନ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3.5" customHeight="1">
      <c r="A42" s="11" t="s">
        <v>321</v>
      </c>
      <c r="B42" s="11" t="s">
        <v>401</v>
      </c>
      <c r="C42" s="11" t="s">
        <v>402</v>
      </c>
      <c r="D42" s="12" t="s">
        <v>403</v>
      </c>
      <c r="E42" s="12" t="str">
        <f>IFERROR(__xludf.DUMMYFUNCTION("GOOGLETRANSLATE(D42, ""hi"", ""gu"")"),"બંધન: કોન્ટૂર બંધ/ગ્રેડ બંધ")</f>
        <v>બંધન: કોન્ટૂર બંધ/ગ્રેડ બંધ</v>
      </c>
      <c r="F42" s="40" t="s">
        <v>404</v>
      </c>
      <c r="G42" s="16" t="str">
        <f>IFERROR(__xludf.DUMMYFUNCTION("GOOGLETRANSLATE(C42, ""en"", ""or"")"),"ବାଣ୍ଡିଂ: କଣ୍ଟୁର ବାଣ୍ଡ / ଗ୍ରେଡେଡ୍ ବାଣ୍ଡ")</f>
        <v>ବାଣ୍ଡିଂ: କଣ୍ଟୁର ବାଣ୍ଡ / ଗ୍ରେଡେଡ୍ ବାଣ୍ଡ</v>
      </c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3.5" customHeight="1">
      <c r="A43" s="11" t="s">
        <v>321</v>
      </c>
      <c r="B43" s="11" t="s">
        <v>405</v>
      </c>
      <c r="C43" s="11" t="s">
        <v>406</v>
      </c>
      <c r="D43" s="12" t="s">
        <v>407</v>
      </c>
      <c r="E43" s="12" t="str">
        <f>IFERROR(__xludf.DUMMYFUNCTION("GOOGLETRANSLATE(D43, ""hi"", ""gu"")"),"ખેતરની સીમા")</f>
        <v>ખેતરની સીમા</v>
      </c>
      <c r="F43" s="40" t="s">
        <v>408</v>
      </c>
      <c r="G43" s="16" t="str">
        <f>IFERROR(__xludf.DUMMYFUNCTION("GOOGLETRANSLATE(C43, ""en"", ""or"")"),"ଫାର୍ମ ବନ୍ଧ")</f>
        <v>ଫାର୍ମ ବନ୍ଧ</v>
      </c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3.5" customHeight="1">
      <c r="A44" s="11" t="s">
        <v>321</v>
      </c>
      <c r="B44" s="11" t="s">
        <v>409</v>
      </c>
      <c r="C44" s="11" t="s">
        <v>409</v>
      </c>
      <c r="D44" s="12" t="s">
        <v>410</v>
      </c>
      <c r="E44" s="12" t="str">
        <f>IFERROR(__xludf.DUMMYFUNCTION("GOOGLETRANSLATE(D44, ""hi"", ""gu"")"),"કૂવો")</f>
        <v>કૂવો</v>
      </c>
      <c r="F44" s="40" t="s">
        <v>411</v>
      </c>
      <c r="G44" s="16" t="str">
        <f>IFERROR(__xludf.DUMMYFUNCTION("GOOGLETRANSLATE(C44, ""en"", ""or"")"),"କୂପ")</f>
        <v>କୂପ</v>
      </c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3.5" customHeight="1">
      <c r="A45" s="11" t="s">
        <v>321</v>
      </c>
      <c r="B45" s="11" t="s">
        <v>412</v>
      </c>
      <c r="C45" s="11" t="s">
        <v>413</v>
      </c>
      <c r="D45" s="12" t="s">
        <v>414</v>
      </c>
      <c r="E45" s="12" t="str">
        <f>IFERROR(__xludf.DUMMYFUNCTION("GOOGLETRANSLATE(D45, ""hi"", ""gu"")"),"૫% મોડેલ")</f>
        <v>૫% મોડેલ</v>
      </c>
      <c r="F45" s="40" t="s">
        <v>415</v>
      </c>
      <c r="G45" s="16" t="str">
        <f>IFERROR(__xludf.DUMMYFUNCTION("GOOGLETRANSLATE(C45, ""en"", ""or"")"),"୫% ମଡେଲ")</f>
        <v>୫% ମଡେଲ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3.5" customHeight="1">
      <c r="A46" s="11" t="s">
        <v>321</v>
      </c>
      <c r="B46" s="11" t="s">
        <v>416</v>
      </c>
      <c r="C46" s="11" t="s">
        <v>417</v>
      </c>
      <c r="D46" s="12" t="s">
        <v>418</v>
      </c>
      <c r="E46" s="12" t="str">
        <f>IFERROR(__xludf.DUMMYFUNCTION("GOOGLETRANSLATE(D46, ""hi"", ""gu"")"),"30-40 મોડેલ")</f>
        <v>30-40 મોડેલ</v>
      </c>
      <c r="F46" s="40" t="s">
        <v>419</v>
      </c>
      <c r="G46" s="16" t="str">
        <f>IFERROR(__xludf.DUMMYFUNCTION("GOOGLETRANSLATE(C46, ""en"", ""or"")"),"30-40 ମଡେଲ୍")</f>
        <v>30-40 ମଡେଲ୍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3.5" customHeight="1">
      <c r="A47" s="11" t="s">
        <v>321</v>
      </c>
      <c r="B47" s="16" t="s">
        <v>420</v>
      </c>
      <c r="C47" s="16" t="s">
        <v>421</v>
      </c>
      <c r="D47" s="11" t="str">
        <f>IFERROR(__xludf.DUMMYFUNCTION("GOOGLETRANSLATE(C47, ""en"", ""hi"")"),"कोई मांग नहीं उठाई गई")</f>
        <v>कोई मांग नहीं उठाई गई</v>
      </c>
      <c r="E47" s="12" t="str">
        <f>IFERROR(__xludf.DUMMYFUNCTION("GOOGLETRANSLATE(C47, ""en"", ""gu"")"),"કોઈ માંગણીઓ ઉઠાવવામાં આવી ન હતી")</f>
        <v>કોઈ માંગણીઓ ઉઠાવવામાં આવી ન હતી</v>
      </c>
      <c r="F47" s="40" t="str">
        <f>IFERROR(__xludf.DUMMYFUNCTION("GOOGLETRANSLATE(C47, ""en"", ""kn"")"),"ಯಾವುದೇ ಬೇಡಿಕೆಗಳನ್ನು ಎತ್ತಲಾಗಿಲ್ಲ")</f>
        <v>ಯಾವುದೇ ಬೇಡಿಕೆಗಳನ್ನು ಎತ್ತಲಾಗಿಲ್ಲ</v>
      </c>
      <c r="G47" s="16" t="str">
        <f>IFERROR(__xludf.DUMMYFUNCTION("GOOGLETRANSLATE(C47, ""en"", ""or"")"),"କୌଣସି ଦାବି ଉଠାଯାଇ ନାହିଁ।")</f>
        <v>କୌଣସି ଦାବି ଉଠାଯାଇ ନାହିଁ।</v>
      </c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3.5" customHeight="1">
      <c r="A48" s="16"/>
      <c r="B48" s="16"/>
      <c r="C48" s="16"/>
      <c r="D48" s="11"/>
      <c r="E48" s="12"/>
      <c r="F48" s="40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3.5" customHeight="1">
      <c r="A49" s="16" t="s">
        <v>422</v>
      </c>
      <c r="B49" s="16" t="s">
        <v>423</v>
      </c>
      <c r="C49" s="16" t="s">
        <v>423</v>
      </c>
      <c r="D49" s="12" t="s">
        <v>424</v>
      </c>
      <c r="E49" s="12" t="str">
        <f>IFERROR(__xludf.DUMMYFUNCTION("GOOGLETRANSLATE(D49, ""hi"", ""gu"")"),"હા")</f>
        <v>હા</v>
      </c>
      <c r="F49" s="40" t="s">
        <v>425</v>
      </c>
      <c r="G49" s="16" t="str">
        <f>IFERROR(__xludf.DUMMYFUNCTION("GOOGLETRANSLATE(C49, ""en"", ""or"")"),"ହଁ")</f>
        <v>ହଁ</v>
      </c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3.5" customHeight="1">
      <c r="A50" s="16" t="s">
        <v>422</v>
      </c>
      <c r="B50" s="16" t="s">
        <v>426</v>
      </c>
      <c r="C50" s="16" t="s">
        <v>426</v>
      </c>
      <c r="D50" s="12" t="s">
        <v>427</v>
      </c>
      <c r="E50" s="12" t="str">
        <f>IFERROR(__xludf.DUMMYFUNCTION("GOOGLETRANSLATE(D50, ""hi"", ""gu"")"),"ના")</f>
        <v>ના</v>
      </c>
      <c r="F50" s="40" t="s">
        <v>428</v>
      </c>
      <c r="G50" s="16" t="str">
        <f>IFERROR(__xludf.DUMMYFUNCTION("GOOGLETRANSLATE(C50, ""en"", ""or"")"),"ନା")</f>
        <v>ନା</v>
      </c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3.5" customHeight="1">
      <c r="A51" s="16"/>
      <c r="B51" s="16"/>
      <c r="C51" s="16"/>
      <c r="D51" s="11"/>
      <c r="E51" s="12"/>
      <c r="F51" s="40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3.5" customHeight="1">
      <c r="A52" s="16"/>
      <c r="B52" s="16"/>
      <c r="C52" s="16"/>
      <c r="D52" s="11"/>
      <c r="E52" s="12"/>
      <c r="F52" s="40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3.5" customHeight="1">
      <c r="A53" s="16"/>
      <c r="B53" s="16"/>
      <c r="C53" s="16"/>
      <c r="D53" s="11"/>
      <c r="E53" s="12"/>
      <c r="F53" s="40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3.5" customHeight="1">
      <c r="A54" s="16"/>
      <c r="B54" s="16"/>
      <c r="C54" s="16"/>
      <c r="D54" s="11"/>
      <c r="E54" s="12"/>
      <c r="F54" s="40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3.5" customHeight="1">
      <c r="A55" s="16"/>
      <c r="B55" s="16"/>
      <c r="C55" s="16"/>
      <c r="D55" s="11"/>
      <c r="E55" s="12"/>
      <c r="F55" s="40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3.5" customHeight="1">
      <c r="A56" s="16" t="s">
        <v>429</v>
      </c>
      <c r="B56" s="16" t="s">
        <v>430</v>
      </c>
      <c r="C56" s="16" t="s">
        <v>431</v>
      </c>
      <c r="D56" s="12" t="s">
        <v>432</v>
      </c>
      <c r="E56" s="12" t="str">
        <f>IFERROR(__xludf.DUMMYFUNCTION("GOOGLETRANSLATE(D56, ""hi"", ""gu"")"),"હા, લગભગ બધા જ")</f>
        <v>હા, લગભગ બધા જ</v>
      </c>
      <c r="F56" s="40" t="s">
        <v>433</v>
      </c>
      <c r="G56" s="16" t="str">
        <f>IFERROR(__xludf.DUMMYFUNCTION("GOOGLETRANSLATE(C56, ""en"", ""or"")"),"ହଁ, ପ୍ରାୟ ସମସ୍ତ")</f>
        <v>ହଁ, ପ୍ରାୟ ସମସ୍ତ</v>
      </c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3.5" customHeight="1">
      <c r="A57" s="16" t="s">
        <v>429</v>
      </c>
      <c r="B57" s="16" t="s">
        <v>434</v>
      </c>
      <c r="C57" s="16" t="s">
        <v>435</v>
      </c>
      <c r="D57" s="12" t="s">
        <v>436</v>
      </c>
      <c r="E57" s="12" t="str">
        <f>IFERROR(__xludf.DUMMYFUNCTION("GOOGLETRANSLATE(D57, ""hi"", ""gu"")"),"કેટલાક લોકો")</f>
        <v>કેટલાક લોકો</v>
      </c>
      <c r="F57" s="40" t="s">
        <v>437</v>
      </c>
      <c r="G57" s="16" t="str">
        <f>IFERROR(__xludf.DUMMYFUNCTION("GOOGLETRANSLATE(C57, ""en"", ""or"")"),"କିଛି")</f>
        <v>କିଛି</v>
      </c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3.5" customHeight="1">
      <c r="A58" s="16" t="s">
        <v>429</v>
      </c>
      <c r="B58" s="16" t="s">
        <v>438</v>
      </c>
      <c r="C58" s="16" t="s">
        <v>438</v>
      </c>
      <c r="D58" s="12" t="s">
        <v>439</v>
      </c>
      <c r="E58" s="12" t="str">
        <f>IFERROR(__xludf.DUMMYFUNCTION("GOOGLETRANSLATE(D58, ""hi"", ""gu"")"),"મોટાભાગના લોકો નથી કરતા")</f>
        <v>મોટાભાગના લોકો નથી કરતા</v>
      </c>
      <c r="F58" s="40" t="s">
        <v>440</v>
      </c>
      <c r="G58" s="16" t="str">
        <f>IFERROR(__xludf.DUMMYFUNCTION("GOOGLETRANSLATE(C58, ""en"", ""or"")"),"ପ୍ରାୟତଃ କିଛି ନୁହେଁ")</f>
        <v>ପ୍ରାୟତଃ କିଛି ନୁହେଁ</v>
      </c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3.5" customHeight="1">
      <c r="A59" s="16"/>
      <c r="B59" s="16"/>
      <c r="C59" s="16"/>
      <c r="D59" s="11"/>
      <c r="E59" s="12"/>
      <c r="F59" s="40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3.5" customHeight="1">
      <c r="A60" s="16" t="s">
        <v>441</v>
      </c>
      <c r="B60" s="16" t="s">
        <v>442</v>
      </c>
      <c r="C60" s="16" t="s">
        <v>443</v>
      </c>
      <c r="D60" s="12" t="s">
        <v>444</v>
      </c>
      <c r="E60" s="12" t="str">
        <f>IFERROR(__xludf.DUMMYFUNCTION("GOOGLETRANSLATE(D60, ""hi"", ""gu"")"),"થયેલા ખર્ચની ભરપાઈમાં વિલંબ")</f>
        <v>થયેલા ખર્ચની ભરપાઈમાં વિલંબ</v>
      </c>
      <c r="F60" s="40" t="s">
        <v>445</v>
      </c>
      <c r="G60" s="16" t="str">
        <f>IFERROR(__xludf.DUMMYFUNCTION("GOOGLETRANSLATE(C60, ""en"", ""or"")"),"ହୋଇଥିବା ଖର୍ଚ୍ଚ ପାଇଁ ବିଳମ୍ବରେ ପରିଶୋଧ")</f>
        <v>ହୋଇଥିବା ଖର୍ଚ୍ଚ ପାଇଁ ବିଳମ୍ବରେ ପରିଶୋଧ</v>
      </c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3.5" customHeight="1">
      <c r="A61" s="16" t="s">
        <v>441</v>
      </c>
      <c r="B61" s="16" t="s">
        <v>446</v>
      </c>
      <c r="C61" s="16" t="s">
        <v>447</v>
      </c>
      <c r="D61" s="12" t="s">
        <v>448</v>
      </c>
      <c r="E61" s="12" t="str">
        <f>IFERROR(__xludf.DUMMYFUNCTION("GOOGLETRANSLATE(D61, ""hi"", ""gu"")"),"મનરેગા માટે કામદારો શોધવા")</f>
        <v>મનરેગા માટે કામદારો શોધવા</v>
      </c>
      <c r="F61" s="40" t="s">
        <v>449</v>
      </c>
      <c r="G61" s="16" t="str">
        <f>IFERROR(__xludf.DUMMYFUNCTION("GOOGLETRANSLATE(C61, ""en"", ""or"")"),"NREGA ପାଇଁ ଶ୍ରମିକ ଖୋଜିବା")</f>
        <v>NREGA ପାଇଁ ଶ୍ରମିକ ଖୋଜିବା</v>
      </c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3.5" customHeight="1">
      <c r="A62" s="16" t="s">
        <v>441</v>
      </c>
      <c r="B62" s="16" t="s">
        <v>450</v>
      </c>
      <c r="C62" s="16" t="s">
        <v>451</v>
      </c>
      <c r="D62" s="12" t="s">
        <v>452</v>
      </c>
      <c r="E62" s="12" t="str">
        <f>IFERROR(__xludf.DUMMYFUNCTION("GOOGLETRANSLATE(D62, ""hi"", ""gu"")"),"નવા કામની માંગ પૂરી થતી નથી")</f>
        <v>નવા કામની માંગ પૂરી થતી નથી</v>
      </c>
      <c r="F62" s="40" t="s">
        <v>453</v>
      </c>
      <c r="G62" s="16" t="str">
        <f>IFERROR(__xludf.DUMMYFUNCTION("GOOGLETRANSLATE(C62, ""en"", ""or"")"),"ନୂତନ କାର୍ଯ୍ୟର ଦାବି ପୂରଣ ହେଉନାହିଁ")</f>
        <v>ନୂତନ କାର୍ଯ୍ୟର ଦାବି ପୂରଣ ହେଉନାହିଁ</v>
      </c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3.5" customHeight="1">
      <c r="A63" s="16" t="s">
        <v>441</v>
      </c>
      <c r="B63" s="16" t="s">
        <v>454</v>
      </c>
      <c r="C63" s="12" t="s">
        <v>455</v>
      </c>
      <c r="D63" s="12" t="s">
        <v>456</v>
      </c>
      <c r="E63" s="12" t="str">
        <f>IFERROR(__xludf.DUMMYFUNCTION("GOOGLETRANSLATE(D63, ""hi"", ""gu"")"),"મનરેગા હેઠળ કામ કેવી રીતે મેળવવું તે અંગે કોઈ વિગતવાર માહિતી નથી.")</f>
        <v>મનરેગા હેઠળ કામ કેવી રીતે મેળવવું તે અંગે કોઈ વિગતવાર માહિતી નથી.</v>
      </c>
      <c r="F63" s="40" t="s">
        <v>457</v>
      </c>
      <c r="G63" s="16" t="str">
        <f>IFERROR(__xludf.DUMMYFUNCTION("GOOGLETRANSLATE(C63, ""en"", ""or"")"),"NREGA ବିବରଣୀ ଏବଂ କାମ କିପରି ପାଇବେ ସେ ବିଷୟରେ ଅବଗତ ନୁହେଁ")</f>
        <v>NREGA ବିବରଣୀ ଏବଂ କାମ କିପରି ପାଇବେ ସେ ବିଷୟରେ ଅବଗତ ନୁହେଁ</v>
      </c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3.5" customHeight="1">
      <c r="A64" s="16" t="s">
        <v>441</v>
      </c>
      <c r="B64" s="16" t="s">
        <v>458</v>
      </c>
      <c r="C64" s="12" t="s">
        <v>459</v>
      </c>
      <c r="D64" s="12" t="s">
        <v>460</v>
      </c>
      <c r="E64" s="12" t="str">
        <f>IFERROR(__xludf.DUMMYFUNCTION("GOOGLETRANSLATE(D64, ""hi"", ""gu"")"),"મને કામની જરૂર છે પણ મને માંગવા માટે કોઈ ટેકો મળતો નથી.")</f>
        <v>મને કામની જરૂર છે પણ મને માંગવા માટે કોઈ ટેકો મળતો નથી.</v>
      </c>
      <c r="F64" s="40" t="s">
        <v>461</v>
      </c>
      <c r="G64" s="16" t="str">
        <f>IFERROR(__xludf.DUMMYFUNCTION("GOOGLETRANSLATE(C64, ""en"", ""or"")"),"କାମ ଚାହୁଁଛନ୍ତି କିନ୍ତୁ ଦାବି ପଞ୍ଜିକରଣ ପାଇଁ ସମର୍ଥନ ପାଉନାହାଁନ୍ତି")</f>
        <v>କାମ ଚାହୁଁଛନ୍ତି କିନ୍ତୁ ଦାବି ପଞ୍ଜିକରଣ ପାଇଁ ସମର୍ଥନ ପାଉନାହାଁନ୍ତି</v>
      </c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40.5" customHeight="1">
      <c r="A65" s="16" t="s">
        <v>441</v>
      </c>
      <c r="B65" s="12" t="s">
        <v>462</v>
      </c>
      <c r="C65" s="12" t="s">
        <v>463</v>
      </c>
      <c r="D65" s="12" t="s">
        <v>464</v>
      </c>
      <c r="E65" s="12" t="str">
        <f>IFERROR(__xludf.DUMMYFUNCTION("GOOGLETRANSLATE(D65, ""hi"", ""gu"")"),"ઇન્ટરનેટ કે સ્માર્ટ ફોનના અભાવે હાજરી ઓનલાઈન માર્ક કરવામાં સમસ્યાઓ")</f>
        <v>ઇન્ટરનેટ કે સ્માર્ટ ફોનના અભાવે હાજરી ઓનલાઈન માર્ક કરવામાં સમસ્યાઓ</v>
      </c>
      <c r="F65" s="40" t="s">
        <v>465</v>
      </c>
      <c r="G65" s="16" t="str">
        <f>IFERROR(__xludf.DUMMYFUNCTION("GOOGLETRANSLATE(C65, ""en"", ""or"")"),"ଇଣ୍ଟରନେଟ୍ ଅଭାବ କିମ୍ବା ସ୍ମାର୍ଟ ଫୋନ୍ ନଥିବାରୁ ଅନଲାଇନ୍ ଉପସ୍ଥାନରେ ମେଳ ଖାଉନାହିଁ
")</f>
        <v>ଇଣ୍ଟରନେଟ୍ ଅଭାବ କିମ୍ବା ସ୍ମାର୍ଟ ଫୋନ୍ ନଥିବାରୁ ଅନଲାଇନ୍ ଉପସ୍ଥାନରେ ମେଳ ଖାଉନାହିଁ
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3.5" customHeight="1">
      <c r="A66" s="16" t="s">
        <v>441</v>
      </c>
      <c r="B66" s="12" t="s">
        <v>466</v>
      </c>
      <c r="C66" s="12" t="s">
        <v>467</v>
      </c>
      <c r="D66" s="11" t="s">
        <v>468</v>
      </c>
      <c r="E66" s="12" t="s">
        <v>469</v>
      </c>
      <c r="F66" s="40" t="s">
        <v>470</v>
      </c>
      <c r="G66" s="16" t="str">
        <f>IFERROR(__xludf.DUMMYFUNCTION("GOOGLETRANSLATE(C66, ""en"", ""or"")"),"ଅନ୍ୟାନ୍ୟ")</f>
        <v>ଅନ୍ୟାନ୍ୟ</v>
      </c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3.5" customHeight="1">
      <c r="A67" s="11"/>
      <c r="B67" s="12"/>
      <c r="C67" s="12"/>
      <c r="D67" s="11"/>
      <c r="E67" s="12"/>
      <c r="F67" s="40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3.5" customHeight="1">
      <c r="A68" s="11" t="s">
        <v>0</v>
      </c>
      <c r="B68" s="12" t="s">
        <v>471</v>
      </c>
      <c r="C68" s="12" t="s">
        <v>471</v>
      </c>
      <c r="D68" s="11" t="s">
        <v>472</v>
      </c>
      <c r="E68" s="12" t="str">
        <f>IFERROR(__xludf.DUMMYFUNCTION("GOOGLETRANSLATE(D68, ""hi"", ""gu"")"),"એકલ વંશીય જૂથ")</f>
        <v>એકલ વંશીય જૂથ</v>
      </c>
      <c r="F68" s="40" t="s">
        <v>473</v>
      </c>
      <c r="G68" s="16" t="str">
        <f>IFERROR(__xludf.DUMMYFUNCTION("GOOGLETRANSLATE(C68, ""en"", ""or"")"),"ଏକକ ଜାତି ଗୋଷ୍ଠୀ")</f>
        <v>ଏକକ ଜାତି ଗୋଷ୍ଠୀ</v>
      </c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3.5" customHeight="1">
      <c r="A69" s="11" t="s">
        <v>0</v>
      </c>
      <c r="B69" s="12" t="s">
        <v>474</v>
      </c>
      <c r="C69" s="12" t="s">
        <v>474</v>
      </c>
      <c r="D69" s="11" t="s">
        <v>475</v>
      </c>
      <c r="E69" s="12" t="str">
        <f>IFERROR(__xludf.DUMMYFUNCTION("GOOGLETRANSLATE(D69, ""hi"", ""gu"")"),"મિશ્ર વંશીય જૂથ")</f>
        <v>મિશ્ર વંશીય જૂથ</v>
      </c>
      <c r="F69" s="40" t="s">
        <v>476</v>
      </c>
      <c r="G69" s="16" t="str">
        <f>IFERROR(__xludf.DUMMYFUNCTION("GOOGLETRANSLATE(C69, ""en"", ""or"")"),"ମିଶ୍ରିତ ଜାତି ଗୋଷ୍ଠୀ")</f>
        <v>ମିଶ୍ରିତ ଜାତି ଗୋଷ୍ଠୀ</v>
      </c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3.5" customHeight="1">
      <c r="A70" s="11"/>
      <c r="B70" s="12"/>
      <c r="C70" s="12"/>
      <c r="D70" s="11"/>
      <c r="E70" s="11"/>
      <c r="F70" s="40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3.5" customHeight="1">
      <c r="A71" s="11" t="s">
        <v>477</v>
      </c>
      <c r="B71" s="12" t="s">
        <v>478</v>
      </c>
      <c r="C71" s="12" t="s">
        <v>478</v>
      </c>
      <c r="D71" s="11" t="s">
        <v>479</v>
      </c>
      <c r="E71" s="11" t="s">
        <v>480</v>
      </c>
      <c r="F71" s="40" t="s">
        <v>481</v>
      </c>
      <c r="G71" s="16" t="str">
        <f>IFERROR(__xludf.DUMMYFUNCTION("GOOGLETRANSLATE(C71, ""en"", ""or"")"),"ସ୍ଥାନାନ୍ତର")</f>
        <v>ସ୍ଥାନାନ୍ତର</v>
      </c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3.5" customHeight="1">
      <c r="A72" s="11" t="s">
        <v>477</v>
      </c>
      <c r="B72" s="12" t="s">
        <v>482</v>
      </c>
      <c r="C72" s="12" t="s">
        <v>483</v>
      </c>
      <c r="D72" s="11" t="s">
        <v>484</v>
      </c>
      <c r="E72" s="11" t="s">
        <v>485</v>
      </c>
      <c r="F72" s="40" t="s">
        <v>486</v>
      </c>
      <c r="G72" s="16" t="str">
        <f>IFERROR(__xludf.DUMMYFUNCTION("GOOGLETRANSLATE(C72, ""en"", ""or"")"),"କମ୍ ମଜୁରୀ")</f>
        <v>କମ୍ ମଜୁରୀ</v>
      </c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22.5" customHeight="1">
      <c r="A73" s="11" t="s">
        <v>477</v>
      </c>
      <c r="B73" s="12" t="s">
        <v>487</v>
      </c>
      <c r="C73" s="12" t="s">
        <v>488</v>
      </c>
      <c r="D73" s="11" t="s">
        <v>489</v>
      </c>
      <c r="E73" s="11" t="s">
        <v>490</v>
      </c>
      <c r="F73" s="40" t="s">
        <v>491</v>
      </c>
      <c r="G73" s="16" t="str">
        <f>IFERROR(__xludf.DUMMYFUNCTION("GOOGLETRANSLATE(C73, ""en"", ""or"")"),"କାର୍ଯ୍ୟର ପରିପୂର୍ଣ୍ଣତା")</f>
        <v>କାର୍ଯ୍ୟର ପରିପୂର୍ଣ୍ଣତା</v>
      </c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3.5" customHeight="1">
      <c r="A74" s="11"/>
      <c r="B74" s="12"/>
      <c r="C74" s="12"/>
      <c r="D74" s="11"/>
      <c r="E74" s="11"/>
      <c r="F74" s="40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3.5" customHeight="1">
      <c r="A75" s="11"/>
      <c r="B75" s="12"/>
      <c r="C75" s="12"/>
      <c r="D75" s="11"/>
      <c r="E75" s="11"/>
      <c r="F75" s="40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3.5" customHeight="1">
      <c r="A76" s="11"/>
      <c r="B76" s="12"/>
      <c r="C76" s="12"/>
      <c r="D76" s="11"/>
      <c r="E76" s="11"/>
      <c r="F76" s="40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3.5" customHeight="1">
      <c r="A77" s="11"/>
      <c r="B77" s="12"/>
      <c r="C77" s="12"/>
      <c r="D77" s="11"/>
      <c r="E77" s="11"/>
      <c r="F77" s="40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3.5" customHeight="1">
      <c r="A78" s="11"/>
      <c r="B78" s="12"/>
      <c r="C78" s="12"/>
      <c r="D78" s="11"/>
      <c r="E78" s="11"/>
      <c r="F78" s="40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3.5" customHeight="1">
      <c r="A79" s="11"/>
      <c r="B79" s="12"/>
      <c r="C79" s="12"/>
      <c r="D79" s="11"/>
      <c r="E79" s="11"/>
      <c r="F79" s="40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3.5" customHeight="1">
      <c r="A80" s="11"/>
      <c r="B80" s="12"/>
      <c r="C80" s="12"/>
      <c r="D80" s="11"/>
      <c r="E80" s="11"/>
      <c r="F80" s="40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3.5" customHeight="1">
      <c r="A81" s="11"/>
      <c r="B81" s="12"/>
      <c r="C81" s="12"/>
      <c r="D81" s="11"/>
      <c r="E81" s="11"/>
      <c r="F81" s="40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3.5" customHeight="1">
      <c r="A82" s="11"/>
      <c r="B82" s="12"/>
      <c r="C82" s="12"/>
      <c r="D82" s="11"/>
      <c r="E82" s="11"/>
      <c r="F82" s="40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3.5" customHeight="1">
      <c r="A83" s="11"/>
      <c r="B83" s="12"/>
      <c r="C83" s="12"/>
      <c r="D83" s="11"/>
      <c r="E83" s="11"/>
      <c r="F83" s="40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3.5" customHeight="1">
      <c r="A84" s="16"/>
      <c r="B84" s="16"/>
      <c r="C84" s="16"/>
      <c r="D84" s="11"/>
      <c r="E84" s="11"/>
      <c r="F84" s="40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3.5" customHeight="1">
      <c r="A85" s="16"/>
      <c r="B85" s="16"/>
      <c r="C85" s="16"/>
      <c r="D85" s="11"/>
      <c r="E85" s="11"/>
      <c r="F85" s="40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3.5" customHeight="1">
      <c r="A86" s="16"/>
      <c r="B86" s="16"/>
      <c r="C86" s="16"/>
      <c r="D86" s="11"/>
      <c r="E86" s="11"/>
      <c r="F86" s="40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3.5" customHeight="1">
      <c r="A87" s="16"/>
      <c r="B87" s="16"/>
      <c r="C87" s="16"/>
      <c r="D87" s="11"/>
      <c r="E87" s="11"/>
      <c r="F87" s="40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3.5" customHeight="1">
      <c r="A88" s="16"/>
      <c r="B88" s="16"/>
      <c r="C88" s="16"/>
      <c r="D88" s="11"/>
      <c r="E88" s="11"/>
      <c r="F88" s="40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3.5" customHeight="1">
      <c r="A89" s="16"/>
      <c r="B89" s="16"/>
      <c r="C89" s="16"/>
      <c r="D89" s="11"/>
      <c r="E89" s="11"/>
      <c r="F89" s="40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3.5" customHeight="1">
      <c r="A90" s="16"/>
      <c r="B90" s="16"/>
      <c r="C90" s="16"/>
      <c r="D90" s="11"/>
      <c r="E90" s="11"/>
      <c r="F90" s="40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3.5" customHeight="1">
      <c r="A91" s="16"/>
      <c r="B91" s="16"/>
      <c r="C91" s="16"/>
      <c r="D91" s="11"/>
      <c r="E91" s="11"/>
      <c r="F91" s="40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3.5" customHeight="1">
      <c r="A92" s="16"/>
      <c r="B92" s="16"/>
      <c r="C92" s="16"/>
      <c r="D92" s="11"/>
      <c r="E92" s="11"/>
      <c r="F92" s="40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3.5" customHeight="1">
      <c r="A93" s="16"/>
      <c r="B93" s="16"/>
      <c r="C93" s="16"/>
      <c r="D93" s="11"/>
      <c r="E93" s="11"/>
      <c r="F93" s="40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3.5" customHeight="1">
      <c r="A94" s="16"/>
      <c r="B94" s="16"/>
      <c r="C94" s="16"/>
      <c r="D94" s="11"/>
      <c r="E94" s="11"/>
      <c r="F94" s="40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3.5" customHeight="1">
      <c r="A95" s="16"/>
      <c r="B95" s="16"/>
      <c r="C95" s="16"/>
      <c r="D95" s="11"/>
      <c r="E95" s="11"/>
      <c r="F95" s="40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3.5" customHeight="1">
      <c r="A96" s="16"/>
      <c r="B96" s="16"/>
      <c r="C96" s="16"/>
      <c r="D96" s="11"/>
      <c r="E96" s="11"/>
      <c r="F96" s="40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3.5" customHeight="1">
      <c r="A97" s="16"/>
      <c r="B97" s="16"/>
      <c r="C97" s="16"/>
      <c r="D97" s="11"/>
      <c r="E97" s="11"/>
      <c r="F97" s="40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3.5" customHeight="1">
      <c r="A98" s="16"/>
      <c r="B98" s="16"/>
      <c r="C98" s="16"/>
      <c r="D98" s="11"/>
      <c r="E98" s="11"/>
      <c r="F98" s="40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3.5" customHeight="1">
      <c r="A99" s="16"/>
      <c r="B99" s="16"/>
      <c r="C99" s="16"/>
      <c r="D99" s="11"/>
      <c r="E99" s="11"/>
      <c r="F99" s="40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3.5" customHeight="1">
      <c r="A100" s="16"/>
      <c r="B100" s="16"/>
      <c r="C100" s="16"/>
      <c r="D100" s="11"/>
      <c r="E100" s="11"/>
      <c r="F100" s="40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3.5" customHeight="1">
      <c r="A101" s="16"/>
      <c r="B101" s="16"/>
      <c r="C101" s="16"/>
      <c r="D101" s="11"/>
      <c r="E101" s="11"/>
      <c r="F101" s="40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3.5" customHeight="1">
      <c r="A102" s="16"/>
      <c r="B102" s="16"/>
      <c r="C102" s="16"/>
      <c r="D102" s="11"/>
      <c r="E102" s="11"/>
      <c r="F102" s="40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3.5" customHeight="1">
      <c r="A103" s="16"/>
      <c r="B103" s="16"/>
      <c r="C103" s="16"/>
      <c r="D103" s="11"/>
      <c r="E103" s="11"/>
      <c r="F103" s="40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3.5" customHeight="1">
      <c r="A104" s="16"/>
      <c r="B104" s="16"/>
      <c r="C104" s="16"/>
      <c r="D104" s="11"/>
      <c r="E104" s="11"/>
      <c r="F104" s="40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3.5" customHeight="1">
      <c r="A105" s="16"/>
      <c r="B105" s="16"/>
      <c r="C105" s="16"/>
      <c r="D105" s="11"/>
      <c r="E105" s="11"/>
      <c r="F105" s="40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3.5" customHeight="1">
      <c r="A106" s="16"/>
      <c r="B106" s="16"/>
      <c r="C106" s="16"/>
      <c r="D106" s="11"/>
      <c r="E106" s="11"/>
      <c r="F106" s="40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3.5" customHeight="1">
      <c r="A107" s="16"/>
      <c r="B107" s="16"/>
      <c r="C107" s="16"/>
      <c r="D107" s="11"/>
      <c r="E107" s="11"/>
      <c r="F107" s="40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3.5" customHeight="1">
      <c r="A108" s="16"/>
      <c r="B108" s="16"/>
      <c r="C108" s="16"/>
      <c r="D108" s="11"/>
      <c r="E108" s="11"/>
      <c r="F108" s="40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3.5" customHeight="1">
      <c r="A109" s="16"/>
      <c r="B109" s="16"/>
      <c r="C109" s="16"/>
      <c r="D109" s="11"/>
      <c r="E109" s="11"/>
      <c r="F109" s="40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3.5" customHeight="1">
      <c r="A110" s="16"/>
      <c r="B110" s="16"/>
      <c r="C110" s="16"/>
      <c r="D110" s="11"/>
      <c r="E110" s="11"/>
      <c r="F110" s="40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3.5" customHeight="1">
      <c r="A111" s="16"/>
      <c r="B111" s="16"/>
      <c r="C111" s="16"/>
      <c r="D111" s="11"/>
      <c r="E111" s="11"/>
      <c r="F111" s="40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3.5" customHeight="1">
      <c r="A112" s="16"/>
      <c r="B112" s="16"/>
      <c r="C112" s="16"/>
      <c r="D112" s="11"/>
      <c r="E112" s="11"/>
      <c r="F112" s="40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3.5" customHeight="1">
      <c r="A113" s="16"/>
      <c r="B113" s="16"/>
      <c r="C113" s="16"/>
      <c r="D113" s="11"/>
      <c r="E113" s="11"/>
      <c r="F113" s="40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3.5" customHeight="1">
      <c r="A114" s="16"/>
      <c r="B114" s="16"/>
      <c r="C114" s="16"/>
      <c r="D114" s="11"/>
      <c r="E114" s="11"/>
      <c r="F114" s="40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3.5" customHeight="1">
      <c r="A115" s="16"/>
      <c r="B115" s="16"/>
      <c r="C115" s="16"/>
      <c r="D115" s="11"/>
      <c r="E115" s="11"/>
      <c r="F115" s="40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3.5" customHeight="1">
      <c r="A116" s="16"/>
      <c r="B116" s="16"/>
      <c r="C116" s="16"/>
      <c r="D116" s="11"/>
      <c r="E116" s="11"/>
      <c r="F116" s="40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3.5" customHeight="1">
      <c r="A117" s="16"/>
      <c r="B117" s="16"/>
      <c r="C117" s="16"/>
      <c r="D117" s="11"/>
      <c r="E117" s="11"/>
      <c r="F117" s="40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3.5" customHeight="1">
      <c r="A118" s="16"/>
      <c r="B118" s="16"/>
      <c r="C118" s="16"/>
      <c r="D118" s="11"/>
      <c r="E118" s="11"/>
      <c r="F118" s="40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3.5" customHeight="1">
      <c r="A119" s="16"/>
      <c r="B119" s="16"/>
      <c r="C119" s="16"/>
      <c r="D119" s="11"/>
      <c r="E119" s="11"/>
      <c r="F119" s="40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3.5" customHeight="1">
      <c r="A120" s="16"/>
      <c r="B120" s="16"/>
      <c r="C120" s="16"/>
      <c r="D120" s="11"/>
      <c r="E120" s="11"/>
      <c r="F120" s="40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3.5" customHeight="1">
      <c r="A121" s="16"/>
      <c r="B121" s="16"/>
      <c r="C121" s="16"/>
      <c r="D121" s="11"/>
      <c r="E121" s="11"/>
      <c r="F121" s="40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3.5" customHeight="1">
      <c r="A122" s="16"/>
      <c r="B122" s="16"/>
      <c r="C122" s="16"/>
      <c r="D122" s="11"/>
      <c r="E122" s="11"/>
      <c r="F122" s="40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3.5" customHeight="1">
      <c r="A123" s="16"/>
      <c r="B123" s="16"/>
      <c r="C123" s="16"/>
      <c r="D123" s="11"/>
      <c r="E123" s="11"/>
      <c r="F123" s="40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3.5" customHeight="1">
      <c r="A124" s="16"/>
      <c r="B124" s="16"/>
      <c r="C124" s="16"/>
      <c r="D124" s="11"/>
      <c r="E124" s="11"/>
      <c r="F124" s="40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3.5" customHeight="1">
      <c r="A125" s="16"/>
      <c r="B125" s="16"/>
      <c r="C125" s="16"/>
      <c r="D125" s="11"/>
      <c r="E125" s="11"/>
      <c r="F125" s="40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3.5" customHeight="1">
      <c r="A126" s="16"/>
      <c r="B126" s="16"/>
      <c r="C126" s="16"/>
      <c r="D126" s="11"/>
      <c r="E126" s="11"/>
      <c r="F126" s="40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3.5" customHeight="1">
      <c r="A127" s="16"/>
      <c r="B127" s="16"/>
      <c r="C127" s="16"/>
      <c r="D127" s="11"/>
      <c r="E127" s="11"/>
      <c r="F127" s="40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3.5" customHeight="1">
      <c r="A128" s="16"/>
      <c r="B128" s="16"/>
      <c r="C128" s="16"/>
      <c r="D128" s="11"/>
      <c r="E128" s="11"/>
      <c r="F128" s="40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3.5" customHeight="1">
      <c r="A129" s="16"/>
      <c r="B129" s="16"/>
      <c r="C129" s="16"/>
      <c r="D129" s="11"/>
      <c r="E129" s="11"/>
      <c r="F129" s="40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3.5" customHeight="1">
      <c r="A130" s="16"/>
      <c r="B130" s="16"/>
      <c r="C130" s="16"/>
      <c r="D130" s="11"/>
      <c r="E130" s="11"/>
      <c r="F130" s="40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3.5" customHeight="1">
      <c r="A131" s="16"/>
      <c r="B131" s="16"/>
      <c r="C131" s="16"/>
      <c r="D131" s="11"/>
      <c r="E131" s="11"/>
      <c r="F131" s="40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3.5" customHeight="1">
      <c r="A132" s="16"/>
      <c r="B132" s="16"/>
      <c r="C132" s="16"/>
      <c r="D132" s="11"/>
      <c r="E132" s="11"/>
      <c r="F132" s="40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3.5" customHeight="1">
      <c r="A133" s="16"/>
      <c r="B133" s="16"/>
      <c r="C133" s="16"/>
      <c r="D133" s="11"/>
      <c r="E133" s="11"/>
      <c r="F133" s="40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3.5" customHeight="1">
      <c r="A134" s="16"/>
      <c r="B134" s="16"/>
      <c r="C134" s="16"/>
      <c r="D134" s="11"/>
      <c r="E134" s="11"/>
      <c r="F134" s="40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3.5" customHeight="1">
      <c r="A135" s="16"/>
      <c r="B135" s="16"/>
      <c r="C135" s="16"/>
      <c r="D135" s="11"/>
      <c r="E135" s="11"/>
      <c r="F135" s="40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3.5" customHeight="1">
      <c r="A136" s="16"/>
      <c r="B136" s="16"/>
      <c r="C136" s="16"/>
      <c r="D136" s="11"/>
      <c r="E136" s="11"/>
      <c r="F136" s="40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3.5" customHeight="1">
      <c r="A137" s="16"/>
      <c r="B137" s="16"/>
      <c r="C137" s="16"/>
      <c r="D137" s="11"/>
      <c r="E137" s="11"/>
      <c r="F137" s="40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3.5" customHeight="1">
      <c r="A138" s="16"/>
      <c r="B138" s="16"/>
      <c r="C138" s="16"/>
      <c r="D138" s="11"/>
      <c r="E138" s="11"/>
      <c r="F138" s="40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3.5" customHeight="1">
      <c r="A139" s="16"/>
      <c r="B139" s="16"/>
      <c r="C139" s="16"/>
      <c r="D139" s="11"/>
      <c r="E139" s="11"/>
      <c r="F139" s="40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3.5" customHeight="1">
      <c r="A140" s="16"/>
      <c r="B140" s="16"/>
      <c r="C140" s="16"/>
      <c r="D140" s="11"/>
      <c r="E140" s="11"/>
      <c r="F140" s="40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3.5" customHeight="1">
      <c r="A141" s="16"/>
      <c r="B141" s="16"/>
      <c r="C141" s="16"/>
      <c r="D141" s="11"/>
      <c r="E141" s="11"/>
      <c r="F141" s="40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3.5" customHeight="1">
      <c r="A142" s="16"/>
      <c r="B142" s="16"/>
      <c r="C142" s="16"/>
      <c r="D142" s="11"/>
      <c r="E142" s="11"/>
      <c r="F142" s="40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3.5" customHeight="1">
      <c r="A143" s="16"/>
      <c r="B143" s="16"/>
      <c r="C143" s="16"/>
      <c r="D143" s="11"/>
      <c r="E143" s="11"/>
      <c r="F143" s="40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3.5" customHeight="1">
      <c r="A144" s="16"/>
      <c r="B144" s="16"/>
      <c r="C144" s="16"/>
      <c r="D144" s="11"/>
      <c r="E144" s="11"/>
      <c r="F144" s="40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3.5" customHeight="1">
      <c r="A145" s="16"/>
      <c r="B145" s="16"/>
      <c r="C145" s="16"/>
      <c r="D145" s="11"/>
      <c r="E145" s="11"/>
      <c r="F145" s="40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3.5" customHeight="1">
      <c r="A146" s="16"/>
      <c r="B146" s="16"/>
      <c r="C146" s="16"/>
      <c r="D146" s="11"/>
      <c r="E146" s="11"/>
      <c r="F146" s="40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3.5" customHeight="1">
      <c r="A147" s="16"/>
      <c r="B147" s="16"/>
      <c r="C147" s="16"/>
      <c r="D147" s="11"/>
      <c r="E147" s="11"/>
      <c r="F147" s="40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3.5" customHeight="1">
      <c r="A148" s="16"/>
      <c r="B148" s="16"/>
      <c r="C148" s="16"/>
      <c r="D148" s="11"/>
      <c r="E148" s="11"/>
      <c r="F148" s="40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3.5" customHeight="1">
      <c r="A149" s="16"/>
      <c r="B149" s="16"/>
      <c r="C149" s="16"/>
      <c r="D149" s="11"/>
      <c r="E149" s="11"/>
      <c r="F149" s="40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3.5" customHeight="1">
      <c r="A150" s="16"/>
      <c r="B150" s="16"/>
      <c r="C150" s="16"/>
      <c r="D150" s="11"/>
      <c r="E150" s="11"/>
      <c r="F150" s="40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3.5" customHeight="1">
      <c r="A151" s="16"/>
      <c r="B151" s="16"/>
      <c r="C151" s="16"/>
      <c r="D151" s="11"/>
      <c r="E151" s="11"/>
      <c r="F151" s="40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3.5" customHeight="1">
      <c r="A152" s="16"/>
      <c r="B152" s="16"/>
      <c r="C152" s="16"/>
      <c r="D152" s="11"/>
      <c r="E152" s="11"/>
      <c r="F152" s="40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3.5" customHeight="1">
      <c r="A153" s="16"/>
      <c r="B153" s="16"/>
      <c r="C153" s="16"/>
      <c r="D153" s="11"/>
      <c r="E153" s="11"/>
      <c r="F153" s="40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3.5" customHeight="1">
      <c r="A154" s="16"/>
      <c r="B154" s="16"/>
      <c r="C154" s="16"/>
      <c r="D154" s="11"/>
      <c r="E154" s="11"/>
      <c r="F154" s="40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3.5" customHeight="1">
      <c r="A155" s="16"/>
      <c r="B155" s="16"/>
      <c r="C155" s="16"/>
      <c r="D155" s="11"/>
      <c r="E155" s="11"/>
      <c r="F155" s="40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3.5" customHeight="1">
      <c r="A156" s="16"/>
      <c r="B156" s="16"/>
      <c r="C156" s="16"/>
      <c r="D156" s="11"/>
      <c r="E156" s="11"/>
      <c r="F156" s="40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3.5" customHeight="1">
      <c r="A157" s="16"/>
      <c r="B157" s="16"/>
      <c r="C157" s="16"/>
      <c r="D157" s="11"/>
      <c r="E157" s="11"/>
      <c r="F157" s="40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3.5" customHeight="1">
      <c r="A158" s="16"/>
      <c r="B158" s="16"/>
      <c r="C158" s="16"/>
      <c r="D158" s="11"/>
      <c r="E158" s="11"/>
      <c r="F158" s="40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3.5" customHeight="1">
      <c r="A159" s="16"/>
      <c r="B159" s="16"/>
      <c r="C159" s="16"/>
      <c r="D159" s="11"/>
      <c r="E159" s="11"/>
      <c r="F159" s="40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3.5" customHeight="1">
      <c r="A160" s="16"/>
      <c r="B160" s="16"/>
      <c r="C160" s="16"/>
      <c r="D160" s="11"/>
      <c r="E160" s="11"/>
      <c r="F160" s="40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3.5" customHeight="1">
      <c r="A161" s="16"/>
      <c r="B161" s="16"/>
      <c r="C161" s="16"/>
      <c r="D161" s="11"/>
      <c r="E161" s="11"/>
      <c r="F161" s="40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3.5" customHeight="1">
      <c r="A162" s="16"/>
      <c r="B162" s="16"/>
      <c r="C162" s="16"/>
      <c r="D162" s="11"/>
      <c r="E162" s="11"/>
      <c r="F162" s="40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3.5" customHeight="1">
      <c r="A163" s="16"/>
      <c r="B163" s="16"/>
      <c r="C163" s="16"/>
      <c r="D163" s="11"/>
      <c r="E163" s="11"/>
      <c r="F163" s="40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3.5" customHeight="1">
      <c r="A164" s="16"/>
      <c r="B164" s="16"/>
      <c r="C164" s="16"/>
      <c r="D164" s="11"/>
      <c r="E164" s="11"/>
      <c r="F164" s="40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3.5" customHeight="1">
      <c r="A165" s="16"/>
      <c r="B165" s="16"/>
      <c r="C165" s="16"/>
      <c r="D165" s="11"/>
      <c r="E165" s="11"/>
      <c r="F165" s="40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3.5" customHeight="1">
      <c r="A166" s="16"/>
      <c r="B166" s="16"/>
      <c r="C166" s="16"/>
      <c r="D166" s="11"/>
      <c r="E166" s="11"/>
      <c r="F166" s="40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3.5" customHeight="1">
      <c r="A167" s="16"/>
      <c r="B167" s="16"/>
      <c r="C167" s="16"/>
      <c r="D167" s="11"/>
      <c r="E167" s="11"/>
      <c r="F167" s="40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3.5" customHeight="1">
      <c r="A168" s="16"/>
      <c r="B168" s="16"/>
      <c r="C168" s="16"/>
      <c r="D168" s="11"/>
      <c r="E168" s="11"/>
      <c r="F168" s="40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3.5" customHeight="1">
      <c r="A169" s="16"/>
      <c r="B169" s="16"/>
      <c r="C169" s="16"/>
      <c r="D169" s="11"/>
      <c r="E169" s="11"/>
      <c r="F169" s="40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3.5" customHeight="1">
      <c r="A170" s="16"/>
      <c r="B170" s="16"/>
      <c r="C170" s="16"/>
      <c r="D170" s="11"/>
      <c r="E170" s="11"/>
      <c r="F170" s="40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3.5" customHeight="1">
      <c r="A171" s="16"/>
      <c r="B171" s="16"/>
      <c r="C171" s="16"/>
      <c r="D171" s="11"/>
      <c r="E171" s="11"/>
      <c r="F171" s="40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3.5" customHeight="1">
      <c r="A172" s="16"/>
      <c r="B172" s="16"/>
      <c r="C172" s="16"/>
      <c r="D172" s="11"/>
      <c r="E172" s="11"/>
      <c r="F172" s="40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3.5" customHeight="1">
      <c r="A173" s="16"/>
      <c r="B173" s="16"/>
      <c r="C173" s="16"/>
      <c r="D173" s="11"/>
      <c r="E173" s="11"/>
      <c r="F173" s="40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3.5" customHeight="1">
      <c r="A174" s="16"/>
      <c r="B174" s="16"/>
      <c r="C174" s="16"/>
      <c r="D174" s="11"/>
      <c r="E174" s="11"/>
      <c r="F174" s="40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3.5" customHeight="1">
      <c r="A175" s="16"/>
      <c r="B175" s="16"/>
      <c r="C175" s="16"/>
      <c r="D175" s="11"/>
      <c r="E175" s="11"/>
      <c r="F175" s="40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3.5" customHeight="1">
      <c r="A176" s="16"/>
      <c r="B176" s="16"/>
      <c r="C176" s="16"/>
      <c r="D176" s="11"/>
      <c r="E176" s="11"/>
      <c r="F176" s="40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3.5" customHeight="1">
      <c r="A177" s="16"/>
      <c r="B177" s="16"/>
      <c r="C177" s="16"/>
      <c r="D177" s="11"/>
      <c r="E177" s="11"/>
      <c r="F177" s="40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3.5" customHeight="1">
      <c r="A178" s="16"/>
      <c r="B178" s="16"/>
      <c r="C178" s="16"/>
      <c r="D178" s="11"/>
      <c r="E178" s="11"/>
      <c r="F178" s="40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3.5" customHeight="1">
      <c r="A179" s="16"/>
      <c r="B179" s="16"/>
      <c r="C179" s="16"/>
      <c r="D179" s="11"/>
      <c r="E179" s="11"/>
      <c r="F179" s="40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3.5" customHeight="1">
      <c r="A180" s="16"/>
      <c r="B180" s="16"/>
      <c r="C180" s="16"/>
      <c r="D180" s="11"/>
      <c r="E180" s="11"/>
      <c r="F180" s="40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3.5" customHeight="1">
      <c r="A181" s="16"/>
      <c r="B181" s="16"/>
      <c r="C181" s="16"/>
      <c r="D181" s="11"/>
      <c r="E181" s="11"/>
      <c r="F181" s="40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3.5" customHeight="1">
      <c r="A182" s="16"/>
      <c r="B182" s="16"/>
      <c r="C182" s="16"/>
      <c r="D182" s="11"/>
      <c r="E182" s="11"/>
      <c r="F182" s="40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3.5" customHeight="1">
      <c r="A183" s="16"/>
      <c r="B183" s="16"/>
      <c r="C183" s="16"/>
      <c r="D183" s="11"/>
      <c r="E183" s="11"/>
      <c r="F183" s="40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3.5" customHeight="1">
      <c r="A184" s="16"/>
      <c r="B184" s="16"/>
      <c r="C184" s="16"/>
      <c r="D184" s="11"/>
      <c r="E184" s="11"/>
      <c r="F184" s="40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3.5" customHeight="1">
      <c r="A185" s="16"/>
      <c r="B185" s="16"/>
      <c r="C185" s="16"/>
      <c r="D185" s="11"/>
      <c r="E185" s="11"/>
      <c r="F185" s="40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3.5" customHeight="1">
      <c r="A186" s="16"/>
      <c r="B186" s="16"/>
      <c r="C186" s="16"/>
      <c r="D186" s="11"/>
      <c r="E186" s="11"/>
      <c r="F186" s="40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3.5" customHeight="1">
      <c r="A187" s="16"/>
      <c r="B187" s="16"/>
      <c r="C187" s="16"/>
      <c r="D187" s="11"/>
      <c r="E187" s="11"/>
      <c r="F187" s="40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3.5" customHeight="1">
      <c r="A188" s="16"/>
      <c r="B188" s="16"/>
      <c r="C188" s="16"/>
      <c r="D188" s="11"/>
      <c r="E188" s="11"/>
      <c r="F188" s="40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3.5" customHeight="1">
      <c r="A189" s="16"/>
      <c r="B189" s="16"/>
      <c r="C189" s="16"/>
      <c r="D189" s="11"/>
      <c r="E189" s="11"/>
      <c r="F189" s="40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3.5" customHeight="1">
      <c r="A190" s="16"/>
      <c r="B190" s="16"/>
      <c r="C190" s="16"/>
      <c r="D190" s="11"/>
      <c r="E190" s="11"/>
      <c r="F190" s="40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3.5" customHeight="1">
      <c r="A191" s="16"/>
      <c r="B191" s="16"/>
      <c r="C191" s="16"/>
      <c r="D191" s="11"/>
      <c r="E191" s="11"/>
      <c r="F191" s="40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3.5" customHeight="1">
      <c r="A192" s="16"/>
      <c r="B192" s="16"/>
      <c r="C192" s="16"/>
      <c r="D192" s="11"/>
      <c r="E192" s="11"/>
      <c r="F192" s="40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3.5" customHeight="1">
      <c r="A193" s="16"/>
      <c r="B193" s="16"/>
      <c r="C193" s="16"/>
      <c r="D193" s="11"/>
      <c r="E193" s="11"/>
      <c r="F193" s="40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3.5" customHeight="1">
      <c r="A194" s="16"/>
      <c r="B194" s="16"/>
      <c r="C194" s="16"/>
      <c r="D194" s="11"/>
      <c r="E194" s="11"/>
      <c r="F194" s="40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3.5" customHeight="1">
      <c r="A195" s="16"/>
      <c r="B195" s="16"/>
      <c r="C195" s="16"/>
      <c r="D195" s="11"/>
      <c r="E195" s="11"/>
      <c r="F195" s="40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3.5" customHeight="1">
      <c r="A196" s="16"/>
      <c r="B196" s="16"/>
      <c r="C196" s="16"/>
      <c r="D196" s="11"/>
      <c r="E196" s="11"/>
      <c r="F196" s="40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3.5" customHeight="1">
      <c r="A197" s="16"/>
      <c r="B197" s="16"/>
      <c r="C197" s="16"/>
      <c r="D197" s="11"/>
      <c r="E197" s="11"/>
      <c r="F197" s="40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3.5" customHeight="1">
      <c r="A198" s="16"/>
      <c r="B198" s="16"/>
      <c r="C198" s="16"/>
      <c r="D198" s="11"/>
      <c r="E198" s="11"/>
      <c r="F198" s="40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3.5" customHeight="1">
      <c r="A199" s="16"/>
      <c r="B199" s="16"/>
      <c r="C199" s="16"/>
      <c r="D199" s="11"/>
      <c r="E199" s="11"/>
      <c r="F199" s="40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3.5" customHeight="1">
      <c r="A200" s="16"/>
      <c r="B200" s="16"/>
      <c r="C200" s="16"/>
      <c r="D200" s="11"/>
      <c r="E200" s="11"/>
      <c r="F200" s="40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3.5" customHeight="1">
      <c r="A201" s="16"/>
      <c r="B201" s="16"/>
      <c r="C201" s="16"/>
      <c r="D201" s="11"/>
      <c r="E201" s="11"/>
      <c r="F201" s="40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3.5" customHeight="1">
      <c r="A202" s="16"/>
      <c r="B202" s="16"/>
      <c r="C202" s="16"/>
      <c r="D202" s="11"/>
      <c r="E202" s="11"/>
      <c r="F202" s="40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3.5" customHeight="1">
      <c r="A203" s="16"/>
      <c r="B203" s="16"/>
      <c r="C203" s="16"/>
      <c r="D203" s="11"/>
      <c r="E203" s="11"/>
      <c r="F203" s="40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3.5" customHeight="1">
      <c r="A204" s="16"/>
      <c r="B204" s="16"/>
      <c r="C204" s="16"/>
      <c r="D204" s="11"/>
      <c r="E204" s="11"/>
      <c r="F204" s="40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3.5" customHeight="1">
      <c r="A205" s="16"/>
      <c r="B205" s="16"/>
      <c r="C205" s="16"/>
      <c r="D205" s="11"/>
      <c r="E205" s="11"/>
      <c r="F205" s="40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3.5" customHeight="1">
      <c r="A206" s="16"/>
      <c r="B206" s="16"/>
      <c r="C206" s="16"/>
      <c r="D206" s="11"/>
      <c r="E206" s="11"/>
      <c r="F206" s="40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3.5" customHeight="1">
      <c r="A207" s="16"/>
      <c r="B207" s="16"/>
      <c r="C207" s="16"/>
      <c r="D207" s="11"/>
      <c r="E207" s="11"/>
      <c r="F207" s="40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3.5" customHeight="1">
      <c r="A208" s="16"/>
      <c r="B208" s="16"/>
      <c r="C208" s="16"/>
      <c r="D208" s="11"/>
      <c r="E208" s="11"/>
      <c r="F208" s="40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3.5" customHeight="1">
      <c r="A209" s="16"/>
      <c r="B209" s="16"/>
      <c r="C209" s="16"/>
      <c r="D209" s="11"/>
      <c r="E209" s="11"/>
      <c r="F209" s="40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3.5" customHeight="1">
      <c r="A210" s="16"/>
      <c r="B210" s="16"/>
      <c r="C210" s="16"/>
      <c r="D210" s="11"/>
      <c r="E210" s="11"/>
      <c r="F210" s="40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3.5" customHeight="1">
      <c r="A211" s="16"/>
      <c r="B211" s="16"/>
      <c r="C211" s="16"/>
      <c r="D211" s="11"/>
      <c r="E211" s="11"/>
      <c r="F211" s="40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3.5" customHeight="1">
      <c r="A212" s="16"/>
      <c r="B212" s="16"/>
      <c r="C212" s="16"/>
      <c r="D212" s="11"/>
      <c r="E212" s="11"/>
      <c r="F212" s="40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3.5" customHeight="1">
      <c r="A213" s="16"/>
      <c r="B213" s="16"/>
      <c r="C213" s="16"/>
      <c r="D213" s="11"/>
      <c r="E213" s="11"/>
      <c r="F213" s="40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3.5" customHeight="1">
      <c r="A214" s="16"/>
      <c r="B214" s="16"/>
      <c r="C214" s="16"/>
      <c r="D214" s="11"/>
      <c r="E214" s="11"/>
      <c r="F214" s="40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3.5" customHeight="1">
      <c r="A215" s="16"/>
      <c r="B215" s="16"/>
      <c r="C215" s="16"/>
      <c r="D215" s="11"/>
      <c r="E215" s="11"/>
      <c r="F215" s="40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3.5" customHeight="1">
      <c r="A216" s="16"/>
      <c r="B216" s="16"/>
      <c r="C216" s="16"/>
      <c r="D216" s="11"/>
      <c r="E216" s="11"/>
      <c r="F216" s="40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3.5" customHeight="1">
      <c r="A217" s="16"/>
      <c r="B217" s="16"/>
      <c r="C217" s="16"/>
      <c r="D217" s="11"/>
      <c r="E217" s="11"/>
      <c r="F217" s="40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3.5" customHeight="1">
      <c r="A218" s="16"/>
      <c r="B218" s="16"/>
      <c r="C218" s="16"/>
      <c r="D218" s="11"/>
      <c r="E218" s="11"/>
      <c r="F218" s="40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3.5" customHeight="1">
      <c r="A219" s="16"/>
      <c r="B219" s="16"/>
      <c r="C219" s="16"/>
      <c r="D219" s="11"/>
      <c r="E219" s="11"/>
      <c r="F219" s="40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3.5" customHeight="1">
      <c r="A220" s="16"/>
      <c r="B220" s="16"/>
      <c r="C220" s="16"/>
      <c r="D220" s="11"/>
      <c r="E220" s="11"/>
      <c r="F220" s="40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3.5" customHeight="1">
      <c r="A221" s="16"/>
      <c r="B221" s="16"/>
      <c r="C221" s="16"/>
      <c r="D221" s="11"/>
      <c r="E221" s="11"/>
      <c r="F221" s="40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3.5" customHeight="1">
      <c r="A222" s="16"/>
      <c r="B222" s="16"/>
      <c r="C222" s="16"/>
      <c r="D222" s="11"/>
      <c r="E222" s="11"/>
      <c r="F222" s="40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3.5" customHeight="1">
      <c r="A223" s="16"/>
      <c r="B223" s="16"/>
      <c r="C223" s="16"/>
      <c r="D223" s="11"/>
      <c r="E223" s="11"/>
      <c r="F223" s="40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3.5" customHeight="1">
      <c r="A224" s="16"/>
      <c r="B224" s="16"/>
      <c r="C224" s="16"/>
      <c r="D224" s="11"/>
      <c r="E224" s="11"/>
      <c r="F224" s="40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3.5" customHeight="1">
      <c r="A225" s="16"/>
      <c r="B225" s="16"/>
      <c r="C225" s="16"/>
      <c r="D225" s="11"/>
      <c r="E225" s="11"/>
      <c r="F225" s="40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3.5" customHeight="1">
      <c r="A226" s="16"/>
      <c r="B226" s="16"/>
      <c r="C226" s="16"/>
      <c r="D226" s="11"/>
      <c r="E226" s="11"/>
      <c r="F226" s="40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3.5" customHeight="1">
      <c r="A227" s="16"/>
      <c r="B227" s="16"/>
      <c r="C227" s="16"/>
      <c r="D227" s="11"/>
      <c r="E227" s="11"/>
      <c r="F227" s="40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3.5" customHeight="1">
      <c r="A228" s="16"/>
      <c r="B228" s="16"/>
      <c r="C228" s="16"/>
      <c r="D228" s="11"/>
      <c r="E228" s="11"/>
      <c r="F228" s="40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3.5" customHeight="1">
      <c r="A229" s="16"/>
      <c r="B229" s="16"/>
      <c r="C229" s="16"/>
      <c r="D229" s="11"/>
      <c r="E229" s="11"/>
      <c r="F229" s="40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3.5" customHeight="1">
      <c r="A230" s="16"/>
      <c r="B230" s="16"/>
      <c r="C230" s="16"/>
      <c r="D230" s="11"/>
      <c r="E230" s="11"/>
      <c r="F230" s="40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3.5" customHeight="1">
      <c r="A231" s="16"/>
      <c r="B231" s="16"/>
      <c r="C231" s="16"/>
      <c r="D231" s="11"/>
      <c r="E231" s="11"/>
      <c r="F231" s="40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3.5" customHeight="1">
      <c r="A232" s="16"/>
      <c r="B232" s="16"/>
      <c r="C232" s="16"/>
      <c r="D232" s="11"/>
      <c r="E232" s="11"/>
      <c r="F232" s="40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3.5" customHeight="1">
      <c r="A233" s="16"/>
      <c r="B233" s="16"/>
      <c r="C233" s="16"/>
      <c r="D233" s="11"/>
      <c r="E233" s="11"/>
      <c r="F233" s="40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3.5" customHeight="1">
      <c r="A234" s="16"/>
      <c r="B234" s="16"/>
      <c r="C234" s="16"/>
      <c r="D234" s="11"/>
      <c r="E234" s="11"/>
      <c r="F234" s="40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3.5" customHeight="1">
      <c r="A235" s="16"/>
      <c r="B235" s="16"/>
      <c r="C235" s="16"/>
      <c r="D235" s="11"/>
      <c r="E235" s="11"/>
      <c r="F235" s="40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3.5" customHeight="1">
      <c r="A236" s="16"/>
      <c r="B236" s="16"/>
      <c r="C236" s="16"/>
      <c r="D236" s="11"/>
      <c r="E236" s="11"/>
      <c r="F236" s="40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3.5" customHeight="1">
      <c r="A237" s="16"/>
      <c r="B237" s="16"/>
      <c r="C237" s="16"/>
      <c r="D237" s="11"/>
      <c r="E237" s="11"/>
      <c r="F237" s="40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3.5" customHeight="1">
      <c r="A238" s="16"/>
      <c r="B238" s="16"/>
      <c r="C238" s="16"/>
      <c r="D238" s="11"/>
      <c r="E238" s="11"/>
      <c r="F238" s="40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3.5" customHeight="1">
      <c r="A239" s="16"/>
      <c r="B239" s="16"/>
      <c r="C239" s="16"/>
      <c r="D239" s="11"/>
      <c r="E239" s="11"/>
      <c r="F239" s="40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3.5" customHeight="1">
      <c r="A240" s="16"/>
      <c r="B240" s="16"/>
      <c r="C240" s="16"/>
      <c r="D240" s="11"/>
      <c r="E240" s="11"/>
      <c r="F240" s="40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3.5" customHeight="1">
      <c r="A241" s="16"/>
      <c r="B241" s="16"/>
      <c r="C241" s="16"/>
      <c r="D241" s="11"/>
      <c r="E241" s="11"/>
      <c r="F241" s="40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3.5" customHeight="1">
      <c r="A242" s="16"/>
      <c r="B242" s="16"/>
      <c r="C242" s="16"/>
      <c r="D242" s="11"/>
      <c r="E242" s="11"/>
      <c r="F242" s="40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3.5" customHeight="1">
      <c r="A243" s="16"/>
      <c r="B243" s="16"/>
      <c r="C243" s="16"/>
      <c r="D243" s="11"/>
      <c r="E243" s="11"/>
      <c r="F243" s="40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3.5" customHeight="1">
      <c r="A244" s="16"/>
      <c r="B244" s="16"/>
      <c r="C244" s="16"/>
      <c r="D244" s="11"/>
      <c r="E244" s="11"/>
      <c r="F244" s="40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3.5" customHeight="1">
      <c r="A245" s="16"/>
      <c r="B245" s="16"/>
      <c r="C245" s="16"/>
      <c r="D245" s="11"/>
      <c r="E245" s="11"/>
      <c r="F245" s="40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3.5" customHeight="1">
      <c r="A246" s="16"/>
      <c r="B246" s="16"/>
      <c r="C246" s="16"/>
      <c r="D246" s="11"/>
      <c r="E246" s="11"/>
      <c r="F246" s="40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3.5" customHeight="1">
      <c r="A247" s="16"/>
      <c r="B247" s="16"/>
      <c r="C247" s="16"/>
      <c r="D247" s="11"/>
      <c r="E247" s="11"/>
      <c r="F247" s="40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3.5" customHeight="1">
      <c r="A248" s="16"/>
      <c r="B248" s="16"/>
      <c r="C248" s="16"/>
      <c r="D248" s="11"/>
      <c r="E248" s="11"/>
      <c r="F248" s="40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3.5" customHeight="1">
      <c r="A249" s="16"/>
      <c r="B249" s="16"/>
      <c r="C249" s="16"/>
      <c r="D249" s="11"/>
      <c r="E249" s="11"/>
      <c r="F249" s="40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3.5" customHeight="1">
      <c r="A250" s="16"/>
      <c r="B250" s="16"/>
      <c r="C250" s="16"/>
      <c r="D250" s="11"/>
      <c r="E250" s="11"/>
      <c r="F250" s="40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3.5" customHeight="1">
      <c r="A251" s="16"/>
      <c r="B251" s="16"/>
      <c r="C251" s="16"/>
      <c r="D251" s="11"/>
      <c r="E251" s="11"/>
      <c r="F251" s="40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3.5" customHeight="1">
      <c r="A252" s="16"/>
      <c r="B252" s="16"/>
      <c r="C252" s="16"/>
      <c r="D252" s="11"/>
      <c r="E252" s="11"/>
      <c r="F252" s="40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3.5" customHeight="1">
      <c r="A253" s="16"/>
      <c r="B253" s="16"/>
      <c r="C253" s="16"/>
      <c r="D253" s="11"/>
      <c r="E253" s="11"/>
      <c r="F253" s="40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3.5" customHeight="1">
      <c r="A254" s="16"/>
      <c r="B254" s="16"/>
      <c r="C254" s="16"/>
      <c r="D254" s="11"/>
      <c r="E254" s="11"/>
      <c r="F254" s="40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3.5" customHeight="1">
      <c r="A255" s="16"/>
      <c r="B255" s="16"/>
      <c r="C255" s="16"/>
      <c r="D255" s="11"/>
      <c r="E255" s="11"/>
      <c r="F255" s="40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3.5" customHeight="1">
      <c r="A256" s="16"/>
      <c r="B256" s="16"/>
      <c r="C256" s="16"/>
      <c r="D256" s="11"/>
      <c r="E256" s="11"/>
      <c r="F256" s="40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3.5" customHeight="1">
      <c r="A257" s="16"/>
      <c r="B257" s="16"/>
      <c r="C257" s="16"/>
      <c r="D257" s="11"/>
      <c r="E257" s="11"/>
      <c r="F257" s="40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3.5" customHeight="1">
      <c r="A258" s="16"/>
      <c r="B258" s="16"/>
      <c r="C258" s="16"/>
      <c r="D258" s="11"/>
      <c r="E258" s="11"/>
      <c r="F258" s="40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3.5" customHeight="1">
      <c r="A259" s="16"/>
      <c r="B259" s="16"/>
      <c r="C259" s="16"/>
      <c r="D259" s="11"/>
      <c r="E259" s="11"/>
      <c r="F259" s="40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3.5" customHeight="1">
      <c r="A260" s="16"/>
      <c r="B260" s="16"/>
      <c r="C260" s="16"/>
      <c r="D260" s="11"/>
      <c r="E260" s="11"/>
      <c r="F260" s="40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3.5" customHeight="1">
      <c r="A261" s="16"/>
      <c r="B261" s="16"/>
      <c r="C261" s="16"/>
      <c r="D261" s="11"/>
      <c r="E261" s="11"/>
      <c r="F261" s="40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3.5" customHeight="1">
      <c r="A262" s="16"/>
      <c r="B262" s="16"/>
      <c r="C262" s="16"/>
      <c r="D262" s="11"/>
      <c r="E262" s="11"/>
      <c r="F262" s="40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3.5" customHeight="1">
      <c r="A263" s="16"/>
      <c r="B263" s="16"/>
      <c r="C263" s="16"/>
      <c r="D263" s="11"/>
      <c r="E263" s="11"/>
      <c r="F263" s="40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3.5" customHeight="1">
      <c r="A264" s="16"/>
      <c r="B264" s="16"/>
      <c r="C264" s="16"/>
      <c r="D264" s="11"/>
      <c r="E264" s="11"/>
      <c r="F264" s="40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3.5" customHeight="1">
      <c r="A265" s="16"/>
      <c r="B265" s="16"/>
      <c r="C265" s="16"/>
      <c r="D265" s="11"/>
      <c r="E265" s="11"/>
      <c r="F265" s="40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3.5" customHeight="1">
      <c r="A266" s="16"/>
      <c r="B266" s="16"/>
      <c r="C266" s="16"/>
      <c r="D266" s="11"/>
      <c r="E266" s="11"/>
      <c r="F266" s="40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3.5" customHeight="1">
      <c r="A267" s="16"/>
      <c r="B267" s="16"/>
      <c r="C267" s="16"/>
      <c r="D267" s="11"/>
      <c r="E267" s="11"/>
      <c r="F267" s="40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3.5" customHeight="1">
      <c r="A268" s="16"/>
      <c r="B268" s="16"/>
      <c r="C268" s="16"/>
      <c r="D268" s="11"/>
      <c r="E268" s="11"/>
      <c r="F268" s="40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3.5" customHeight="1">
      <c r="A269" s="16"/>
      <c r="B269" s="16"/>
      <c r="C269" s="16"/>
      <c r="D269" s="11"/>
      <c r="E269" s="11"/>
      <c r="F269" s="40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3.5" customHeight="1">
      <c r="A270" s="16"/>
      <c r="B270" s="16"/>
      <c r="C270" s="16"/>
      <c r="D270" s="16"/>
      <c r="E270" s="16"/>
      <c r="F270" s="40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3.5" customHeight="1">
      <c r="A271" s="16"/>
      <c r="B271" s="16"/>
      <c r="C271" s="16"/>
      <c r="D271" s="16"/>
      <c r="E271" s="16"/>
      <c r="F271" s="40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3.5" customHeight="1">
      <c r="A272" s="16"/>
      <c r="B272" s="16"/>
      <c r="C272" s="16"/>
      <c r="D272" s="16"/>
      <c r="E272" s="16"/>
      <c r="F272" s="40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3.5" customHeight="1">
      <c r="A273" s="16"/>
      <c r="B273" s="16"/>
      <c r="C273" s="16"/>
      <c r="D273" s="16"/>
      <c r="E273" s="16"/>
      <c r="F273" s="40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57"/>
    <col customWidth="1" min="2" max="2" width="43.29"/>
    <col customWidth="1" min="3" max="3" width="24.71"/>
    <col customWidth="1" min="4" max="4" width="38.57"/>
    <col customWidth="1" min="5" max="5" width="19.0"/>
    <col customWidth="1" min="6" max="6" width="16.57"/>
    <col customWidth="1" min="7" max="26" width="9.14"/>
  </cols>
  <sheetData>
    <row r="1" ht="13.5" customHeight="1">
      <c r="A1" s="67" t="s">
        <v>492</v>
      </c>
      <c r="B1" s="2" t="s">
        <v>493</v>
      </c>
      <c r="C1" s="67" t="s">
        <v>494</v>
      </c>
      <c r="D1" s="68" t="s">
        <v>495</v>
      </c>
      <c r="E1" s="68" t="s">
        <v>496</v>
      </c>
      <c r="F1" s="68" t="s">
        <v>497</v>
      </c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ht="13.5" customHeight="1">
      <c r="A2" s="11" t="s">
        <v>498</v>
      </c>
      <c r="B2" s="12" t="s">
        <v>499</v>
      </c>
      <c r="C2" s="11" t="s">
        <v>500</v>
      </c>
      <c r="D2" s="16" t="s">
        <v>501</v>
      </c>
      <c r="E2" s="16" t="s">
        <v>502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3.5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3.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3.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3.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3.5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3.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3.5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3.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3.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3.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3.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3.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3.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3.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3.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3.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3.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3.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3.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3.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3.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3.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3.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3.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3.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3.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3.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3.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3.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3.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3.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3.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3.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3.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3.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3.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3.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3.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3.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3.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3.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3.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3.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3.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3.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3.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3.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3.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3.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3.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3.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3.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3.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3.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3.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3.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3.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3.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3.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3.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3.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3.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3.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3.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3.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3.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3.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3.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3.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3.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3.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3.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3.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3.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3.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3.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3.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3.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3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3.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3.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3.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3.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3.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3.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3.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3.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3.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3.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3.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3.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3.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3.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3.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3.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3.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3.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3.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3.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3.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3.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3.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3.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3.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3.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3.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3.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3.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3.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3.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3.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3.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3.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3.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3.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3.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3.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3.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3.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3.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3.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3.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3.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3.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3.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3.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3.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3.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3.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3.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3.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3.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3.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3.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3.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3.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3.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3.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3.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3.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3.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3.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3.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3.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3.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3.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3.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3.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3.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3.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3.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3.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3.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3.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3.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3.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3.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3.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3.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3.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3.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3.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3.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3.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3.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3.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3.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3.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3.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3.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3.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3.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3.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3.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3.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3.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3.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3.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3.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3.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3.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3.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3.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3.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3.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3.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3.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3.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3.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3.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3.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3.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3.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3.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3.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3.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3.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3.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3.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3.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3.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3.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3.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3.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3.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3.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3.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3.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3.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3.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3.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3.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3.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3.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3.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3.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3.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3.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