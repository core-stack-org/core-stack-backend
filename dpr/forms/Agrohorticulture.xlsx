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FLy9HT+As1uFguYCRfjXTBcPUXS5Iij3ZhQmwSAq3iA="/>
    </ext>
  </extLst>
</workbook>
</file>

<file path=xl/sharedStrings.xml><?xml version="1.0" encoding="utf-8"?>
<sst xmlns="http://schemas.openxmlformats.org/spreadsheetml/2006/main" count="300" uniqueCount="175">
  <si>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</si>
  <si>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</si>
  <si>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</si>
  <si>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</si>
  <si>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</si>
  <si>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</si>
  <si>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</si>
  <si>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appearance</t>
  </si>
  <si>
    <t>required</t>
  </si>
  <si>
    <t>relevant</t>
  </si>
  <si>
    <t>constraint</t>
  </si>
  <si>
    <t>constraint_message</t>
  </si>
  <si>
    <t>hint::English(en)</t>
  </si>
  <si>
    <t>start</t>
  </si>
  <si>
    <t>end</t>
  </si>
  <si>
    <t>today</t>
  </si>
  <si>
    <t>deviceid</t>
  </si>
  <si>
    <t>text</t>
  </si>
  <si>
    <t>beneficiary_settlement</t>
  </si>
  <si>
    <t xml:space="preserve">Name of Beneficiary Settlement </t>
  </si>
  <si>
    <t>लाभार्थी का नाम</t>
  </si>
  <si>
    <t>yes</t>
  </si>
  <si>
    <t>select_one Y_N</t>
  </si>
  <si>
    <t>select_one_y_n</t>
  </si>
  <si>
    <t xml:space="preserve">Are there demands for plantation in the settlement </t>
  </si>
  <si>
    <t>select_one demand</t>
  </si>
  <si>
    <t>demand_type_plantations</t>
  </si>
  <si>
    <t>Type of Demand</t>
  </si>
  <si>
    <t>${select_one_y_n}='Yes'</t>
  </si>
  <si>
    <t>name_cluster</t>
  </si>
  <si>
    <t>Name of Cluster  Group / FPO / SHG</t>
  </si>
  <si>
    <t>${demand_type_plantations}='Cluster_demand'</t>
  </si>
  <si>
    <t>integer</t>
  </si>
  <si>
    <t>total_cluster</t>
  </si>
  <si>
    <t>Total number of members in the cluster</t>
  </si>
  <si>
    <t>beneficiary_name</t>
  </si>
  <si>
    <t>Beneficiary Name</t>
  </si>
  <si>
    <t>${demand_type_plantations}='Individual_demand'</t>
  </si>
  <si>
    <t>select_one gender</t>
  </si>
  <si>
    <t>gender</t>
  </si>
  <si>
    <t>Gender</t>
  </si>
  <si>
    <t>ben_father</t>
  </si>
  <si>
    <t>Beneficiary Fathers/Husband Name</t>
  </si>
  <si>
    <t>select_multiple species or_other</t>
  </si>
  <si>
    <t>select_multiple_species</t>
  </si>
  <si>
    <t>Preferred Plant/ species for Plantation</t>
  </si>
  <si>
    <t>${demand_type_plantations}='Community_demand' or ${demand_type_plantations}='Individual_demand' or ${demand_type_plantations}='Cluster_demand'</t>
  </si>
  <si>
    <t>decimal</t>
  </si>
  <si>
    <t>crop_area</t>
  </si>
  <si>
    <t xml:space="preserve">Total area of the plantation </t>
  </si>
  <si>
    <t>Acres</t>
  </si>
  <si>
    <t>total_saplings</t>
  </si>
  <si>
    <t>Total number of saplings needed</t>
  </si>
  <si>
    <t>select_multiple land_type</t>
  </si>
  <si>
    <t>land_type</t>
  </si>
  <si>
    <t>Land Type</t>
  </si>
  <si>
    <t>select_one ownership or_other</t>
  </si>
  <si>
    <t>land_ownership</t>
  </si>
  <si>
    <t>Land Ownership / Tenure</t>
  </si>
  <si>
    <t xml:space="preserve">select_multiple land_use </t>
  </si>
  <si>
    <t>current_land_use</t>
  </si>
  <si>
    <t>Current Land Use</t>
  </si>
  <si>
    <t>select_one soil_type</t>
  </si>
  <si>
    <t>soil_type</t>
  </si>
  <si>
    <t>Soil Type</t>
  </si>
  <si>
    <t>select_one water_availability</t>
  </si>
  <si>
    <t>water_availability</t>
  </si>
  <si>
    <t>Water Availability</t>
  </si>
  <si>
    <t>select_one agro_model</t>
  </si>
  <si>
    <t>agro_model</t>
  </si>
  <si>
    <t xml:space="preserve">Preferred agroforestry model
</t>
  </si>
  <si>
    <t>select_multiple departments_converged or_other</t>
  </si>
  <si>
    <t>departments_converged</t>
  </si>
  <si>
    <t xml:space="preserve">Which departments / schemes may be converged with? </t>
  </si>
  <si>
    <t>note</t>
  </si>
  <si>
    <t>sett_note_3</t>
  </si>
  <si>
    <t>&lt;span style="font-size: large; font-weight: bold; color:red;"&gt; DO NOT MODIFY ANYTHING BEYOND THIS POINT AND SUBMIT YOUR FORM DATA&lt;/span&gt;</t>
  </si>
  <si>
    <t>begin_group</t>
  </si>
  <si>
    <t>GPS_point</t>
  </si>
  <si>
    <t>Lat/Lon</t>
  </si>
  <si>
    <t>compact</t>
  </si>
  <si>
    <t>sett_note_4</t>
  </si>
  <si>
    <t>&lt;span style="color:red"&gt;PLEASE DO NOT SPAN AROUND IN THE MAP BELOW&lt;/span&gt;</t>
  </si>
  <si>
    <t>geopoint</t>
  </si>
  <si>
    <t>point_mapsappearance</t>
  </si>
  <si>
    <t>end_group</t>
  </si>
  <si>
    <t>block_name</t>
  </si>
  <si>
    <t xml:space="preserve">Block name </t>
  </si>
  <si>
    <t>plan_id</t>
  </si>
  <si>
    <t>Plan ID</t>
  </si>
  <si>
    <t>plan_name</t>
  </si>
  <si>
    <t>Plan name</t>
  </si>
  <si>
    <t>user_latlon</t>
  </si>
  <si>
    <t>Current location of the user</t>
  </si>
  <si>
    <t>list_name</t>
  </si>
  <si>
    <t>Y_N</t>
  </si>
  <si>
    <t>Yes</t>
  </si>
  <si>
    <t>No</t>
  </si>
  <si>
    <t>demand</t>
  </si>
  <si>
    <t>Community_demand</t>
  </si>
  <si>
    <t>Community Demand</t>
  </si>
  <si>
    <t xml:space="preserve">Cluster_demand
</t>
  </si>
  <si>
    <t>Cluster Demand</t>
  </si>
  <si>
    <t>Individual_demand</t>
  </si>
  <si>
    <t>Individual Demand</t>
  </si>
  <si>
    <t>species</t>
  </si>
  <si>
    <t>Mango</t>
  </si>
  <si>
    <t>Guava</t>
  </si>
  <si>
    <t>Banana</t>
  </si>
  <si>
    <t>Subabul</t>
  </si>
  <si>
    <t>Bamboo</t>
  </si>
  <si>
    <t>Moringa</t>
  </si>
  <si>
    <t>Neem</t>
  </si>
  <si>
    <t>Teak</t>
  </si>
  <si>
    <t>Cashew</t>
  </si>
  <si>
    <t>Mahua</t>
  </si>
  <si>
    <t>Tamarind</t>
  </si>
  <si>
    <t>Upland</t>
  </si>
  <si>
    <t>Midland</t>
  </si>
  <si>
    <t>Lowland</t>
  </si>
  <si>
    <t>ownership</t>
  </si>
  <si>
    <t>Own_land</t>
  </si>
  <si>
    <t>Own land</t>
  </si>
  <si>
    <t>Leased_land</t>
  </si>
  <si>
    <t>Leased land</t>
  </si>
  <si>
    <t>Community_land</t>
  </si>
  <si>
    <t>Community land</t>
  </si>
  <si>
    <t>Forest_land</t>
  </si>
  <si>
    <t>Forest land</t>
  </si>
  <si>
    <t>Joint_ownership</t>
  </si>
  <si>
    <t>Joint ownership</t>
  </si>
  <si>
    <t xml:space="preserve">land_use </t>
  </si>
  <si>
    <t>Crop</t>
  </si>
  <si>
    <t>Fallow</t>
  </si>
  <si>
    <t>Grazing</t>
  </si>
  <si>
    <t>Homestead</t>
  </si>
  <si>
    <t>Sandy</t>
  </si>
  <si>
    <t>Loam</t>
  </si>
  <si>
    <t>Red</t>
  </si>
  <si>
    <t>Black</t>
  </si>
  <si>
    <t>Rocky</t>
  </si>
  <si>
    <t>Seasonal</t>
  </si>
  <si>
    <t>12 Months</t>
  </si>
  <si>
    <t>No water available</t>
  </si>
  <si>
    <t>Boundary_plantation</t>
  </si>
  <si>
    <t>Boundary plantation</t>
  </si>
  <si>
    <t>Orchard_development</t>
  </si>
  <si>
    <t>Orchard development</t>
  </si>
  <si>
    <t>Block_plantation</t>
  </si>
  <si>
    <t>Block plantation</t>
  </si>
  <si>
    <t>Silvi_pasture</t>
  </si>
  <si>
    <t>Silvi-pasture</t>
  </si>
  <si>
    <t>Homestead_plantation</t>
  </si>
  <si>
    <t>Homestead plantation</t>
  </si>
  <si>
    <t>male</t>
  </si>
  <si>
    <t>Male</t>
  </si>
  <si>
    <t>female</t>
  </si>
  <si>
    <t>Female</t>
  </si>
  <si>
    <t>Forest</t>
  </si>
  <si>
    <t xml:space="preserve"> Forest Department</t>
  </si>
  <si>
    <t>Agri</t>
  </si>
  <si>
    <t>Agriculture Department</t>
  </si>
  <si>
    <t>Horticulture</t>
  </si>
  <si>
    <t>Horticulture Department</t>
  </si>
  <si>
    <t>MGNREGA</t>
  </si>
  <si>
    <t>Tribal_welfare</t>
  </si>
  <si>
    <t>Tribal Welfare Department</t>
  </si>
  <si>
    <t>Panchayati_raj</t>
  </si>
  <si>
    <t>Panchayati Raj Department</t>
  </si>
  <si>
    <t>NRLM</t>
  </si>
  <si>
    <t>form_title</t>
  </si>
  <si>
    <t>form_id</t>
  </si>
  <si>
    <t>default_language</t>
  </si>
  <si>
    <t>Agrohorticulture</t>
  </si>
  <si>
    <t>Hindi(hi)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</si>
</sst>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0.0"/>
      <color theme="1"/>
      <name val="Arial"/>
    </font>
    <font>
      <i/>
      <color theme="1"/>
      <name val="Courier New"/>
    </font>
    <font>
      <color theme="1"/>
      <name val="Arial"/>
    </font>
    <font>
      <sz val="9.0"/>
      <color theme="1"/>
      <name val="Arial"/>
    </font>
    <font>
      <sz val="9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Courier New"/>
    </font>
    <font>
      <sz val="11.0"/>
      <color theme="1"/>
      <name val="Arial"/>
    </font>
    <font>
      <color theme="1"/>
      <name val="Calibri"/>
    </font>
    <font>
      <b/>
      <sz val="14.0"/>
      <color rgb="FF3E75A6"/>
      <name val="Bell MT"/>
    </font>
    <font>
      <b/>
      <sz val="11.0"/>
      <color theme="1"/>
      <name val="Bell MT"/>
    </font>
    <font>
      <sz val="11.0"/>
      <color theme="1"/>
      <name val="Inconsolata"/>
    </font>
    <font>
      <sz val="11.0"/>
      <color rgb="FF000000"/>
      <name val="Arial"/>
    </font>
    <font>
      <sz val="11.0"/>
      <color theme="1"/>
      <name val="Courier New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6D"/>
        <bgColor rgb="FFFFFF6D"/>
      </patternFill>
    </fill>
    <fill>
      <patternFill patternType="solid">
        <fgColor rgb="FF5983B0"/>
        <bgColor rgb="FF5983B0"/>
      </patternFill>
    </fill>
  </fills>
  <borders count="6">
    <border/>
    <border>
      <left/>
      <right/>
      <top/>
    </border>
    <border>
      <left/>
      <right/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3" fillId="3" fontId="1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4" fillId="4" fontId="2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vertical="bottom"/>
    </xf>
    <xf borderId="2" fillId="4" fontId="2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3" fontId="13" numFmtId="0" xfId="0" applyAlignment="1" applyFont="1">
      <alignment vertical="bottom"/>
    </xf>
    <xf borderId="2" fillId="5" fontId="1" numFmtId="0" xfId="0" applyAlignment="1" applyBorder="1" applyFill="1" applyFont="1">
      <alignment shrinkToFit="0" vertical="bottom" wrapText="0"/>
    </xf>
    <xf borderId="2" fillId="5" fontId="1" numFmtId="0" xfId="0" applyAlignment="1" applyBorder="1" applyFont="1">
      <alignment readingOrder="0" shrinkToFit="0" vertical="bottom" wrapText="0"/>
    </xf>
    <xf borderId="5" fillId="3" fontId="1" numFmtId="0" xfId="0" applyAlignment="1" applyBorder="1" applyFont="1">
      <alignment shrinkToFit="0" vertical="bottom" wrapText="0"/>
    </xf>
    <xf borderId="0" fillId="0" fontId="6" numFmtId="0" xfId="0" applyFont="1"/>
    <xf borderId="0" fillId="0" fontId="14" numFmtId="0" xfId="0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shrinkToFit="0" vertical="bottom" wrapText="1"/>
    </xf>
    <xf borderId="2" fillId="6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6.5"/>
    <col customWidth="1" min="3" max="7" width="38.0"/>
    <col customWidth="1" min="8" max="8" width="9.75"/>
    <col customWidth="1" min="9" max="9" width="7.13"/>
    <col customWidth="1" min="10" max="10" width="78.25"/>
    <col customWidth="1" min="11" max="11" width="12.13"/>
    <col customWidth="1" min="12" max="12" width="22.75"/>
    <col customWidth="1" min="13" max="13" width="13.0"/>
    <col customWidth="1" min="14" max="33" width="11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6"/>
      <c r="AE2" s="6"/>
      <c r="AF2" s="6"/>
      <c r="AG2" s="6"/>
    </row>
    <row r="3" ht="12.75" customHeight="1">
      <c r="A3" s="9" t="s">
        <v>13</v>
      </c>
      <c r="B3" s="10" t="s">
        <v>13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ht="12.75" customHeight="1">
      <c r="A4" s="9" t="s">
        <v>14</v>
      </c>
      <c r="B4" s="12" t="s">
        <v>14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12.75" customHeight="1">
      <c r="A5" s="9" t="s">
        <v>15</v>
      </c>
      <c r="B5" s="12" t="s">
        <v>15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12.75" customHeight="1">
      <c r="A6" s="9" t="s">
        <v>16</v>
      </c>
      <c r="B6" s="12" t="s">
        <v>16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12.75" customHeight="1">
      <c r="A7" s="13"/>
      <c r="B7" s="13"/>
      <c r="C7" s="13"/>
      <c r="D7" s="13"/>
      <c r="E7" s="13"/>
      <c r="F7" s="13"/>
      <c r="G7" s="13"/>
      <c r="H7" s="14"/>
      <c r="I7" s="14"/>
      <c r="J7" s="13"/>
      <c r="K7" s="5"/>
      <c r="L7" s="5"/>
    </row>
    <row r="8" ht="12.75" customHeight="1">
      <c r="A8" s="13" t="s">
        <v>17</v>
      </c>
      <c r="B8" s="13" t="s">
        <v>18</v>
      </c>
      <c r="C8" s="13" t="s">
        <v>19</v>
      </c>
      <c r="D8" s="15" t="s">
        <v>20</v>
      </c>
      <c r="E8" s="13" t="str">
        <f>IFERROR(__xludf.DUMMYFUNCTION("GOOGLETRANSLATE(C8, ""en"", ""gu"")"),"લાભાર્થી સમાધાનનું નામ")</f>
        <v>લાભાર્થી સમાધાનનું નામ</v>
      </c>
      <c r="F8" s="13" t="str">
        <f>IFERROR(__xludf.DUMMYFUNCTION("GOOGLETRANSLATE(C8, ""en"", ""kn"")"),"ಫಲಾನುಭವಿಯ ಹೆಸರು ಇತ್ಯರ್ಥ")</f>
        <v>ಫಲಾನುಭವಿಯ ಹೆಸರು ಇತ್ಯರ್ಥ</v>
      </c>
      <c r="G8" s="13" t="str">
        <f>IFERROR(__xludf.DUMMYFUNCTION("GOOGLETRANSLATE(C8,""en"",""or"")"),"ହିତାଧିକାରୀ ବନ୍ଦୋବସ୍ତଙ୍କ ନାମ")</f>
        <v>ହିତାଧିକାରୀ ବନ୍ଦୋବସ୍ତଙ୍କ ନାମ</v>
      </c>
      <c r="H8" s="14"/>
      <c r="I8" s="14" t="s">
        <v>21</v>
      </c>
      <c r="J8" s="13"/>
      <c r="K8" s="5"/>
      <c r="L8" s="5"/>
    </row>
    <row r="9" ht="12.75" customHeight="1">
      <c r="E9" s="13"/>
      <c r="F9" s="13"/>
      <c r="G9" s="13"/>
    </row>
    <row r="10" ht="12.75" customHeight="1">
      <c r="A10" s="16" t="s">
        <v>22</v>
      </c>
      <c r="B10" s="16" t="s">
        <v>23</v>
      </c>
      <c r="C10" s="15" t="s">
        <v>24</v>
      </c>
      <c r="D10" s="15" t="str">
        <f>IFERROR(__xludf.DUMMYFUNCTION("GOOGLETRANSLATE(C10, ""en"", ""hi"")"),"क्या बस्ती में वृक्षारोपण की मांग है?")</f>
        <v>क्या बस्ती में वृक्षारोपण की मांग है?</v>
      </c>
      <c r="E10" s="13" t="str">
        <f>IFERROR(__xludf.DUMMYFUNCTION("GOOGLETRANSLATE(C10, ""en"", ""gu"")"),"શું વસાહતમાં વાવેતરની માંગણીઓ છે?")</f>
        <v>શું વસાહતમાં વાવેતરની માંગણીઓ છે?</v>
      </c>
      <c r="F10" s="13" t="str">
        <f>IFERROR(__xludf.DUMMYFUNCTION("GOOGLETRANSLATE(C10, ""en"", ""kn"")"),"ವಸಾಹತು ಪ್ರದೇಶದಲ್ಲಿ ತೋಟಗಾರಿಕೆಗೆ ಬೇಡಿಕೆಗಳಿವೆಯೇ?")</f>
        <v>ವಸಾಹತು ಪ್ರದೇಶದಲ್ಲಿ ತೋಟಗಾರಿಕೆಗೆ ಬೇಡಿಕೆಗಳಿವೆಯೇ?</v>
      </c>
      <c r="G10" s="13" t="str">
        <f>IFERROR(__xludf.DUMMYFUNCTION("GOOGLETRANSLATE(C10,""en"",""or"")"),"ବସ୍ତିରେ ବୃକ୍ଷରୋପଣ ପାଇଁ କିଛି ଦାବି ଅଛି କି?")</f>
        <v>ବସ୍ତିରେ ବୃକ୍ଷରୋପଣ ପାଇଁ କିଛି ଦାବି ଅଛି କି?</v>
      </c>
      <c r="I10" s="16" t="s">
        <v>21</v>
      </c>
    </row>
    <row r="11" ht="12.75" customHeight="1">
      <c r="D11" s="15"/>
      <c r="E11" s="13"/>
      <c r="F11" s="13"/>
      <c r="G11" s="13"/>
    </row>
    <row r="12" ht="12.75" customHeight="1">
      <c r="A12" s="16" t="s">
        <v>25</v>
      </c>
      <c r="B12" s="16" t="s">
        <v>26</v>
      </c>
      <c r="C12" s="15" t="s">
        <v>27</v>
      </c>
      <c r="D12" s="15" t="str">
        <f>IFERROR(__xludf.DUMMYFUNCTION("GOOGLETRANSLATE(C12, ""en"", ""hi"")"),"मांग का प्रकार")</f>
        <v>मांग का प्रकार</v>
      </c>
      <c r="E12" s="13" t="str">
        <f>IFERROR(__xludf.DUMMYFUNCTION("GOOGLETRANSLATE(C12, ""en"", ""gu"")"),"માંગનો પ્રકાર")</f>
        <v>માંગનો પ્રકાર</v>
      </c>
      <c r="F12" s="13" t="str">
        <f>IFERROR(__xludf.DUMMYFUNCTION("GOOGLETRANSLATE(C12, ""en"", ""kn"")"),"ಬೇಡಿಕೆಯ ಪ್ರಕಾರ")</f>
        <v>ಬೇಡಿಕೆಯ ಪ್ರಕಾರ</v>
      </c>
      <c r="G12" s="13" t="str">
        <f>IFERROR(__xludf.DUMMYFUNCTION("GOOGLETRANSLATE(C12,""en"",""or"")"),"ଚାହିଦାର ପ୍ରକାର")</f>
        <v>ଚାହିଦାର ପ୍ରକାର</v>
      </c>
      <c r="I12" s="17" t="s">
        <v>21</v>
      </c>
      <c r="J12" s="16" t="s">
        <v>28</v>
      </c>
    </row>
    <row r="13" ht="12.75" customHeight="1">
      <c r="A13" s="16" t="s">
        <v>17</v>
      </c>
      <c r="B13" s="16" t="s">
        <v>29</v>
      </c>
      <c r="C13" s="16" t="s">
        <v>30</v>
      </c>
      <c r="D13" s="15" t="str">
        <f>IFERROR(__xludf.DUMMYFUNCTION("GOOGLETRANSLATE(C13, ""en"", ""hi"")"),"क्लस्टर समूह / परिवार संगठन / स्वयं सहायता समूह का नाम")</f>
        <v>क्लस्टर समूह / परिवार संगठन / स्वयं सहायता समूह का नाम</v>
      </c>
      <c r="E13" s="13" t="str">
        <f>IFERROR(__xludf.DUMMYFUNCTION("GOOGLETRANSLATE(C13, ""en"", ""gu"")"),"ક્લસ્ટર ગ્રુપ / એફપીઓ / એસએચજીનું નામ")</f>
        <v>ક્લસ્ટર ગ્રુપ / એફપીઓ / એસએચજીનું નામ</v>
      </c>
      <c r="F13" s="13" t="str">
        <f>IFERROR(__xludf.DUMMYFUNCTION("GOOGLETRANSLATE(C13, ""en"", ""kn"")"),"ಕ್ಲಸ್ಟರ್ ಗುಂಪಿನ ಹೆಸರು / FPO / SHG")</f>
        <v>ಕ್ಲಸ್ಟರ್ ಗುಂಪಿನ ಹೆಸರು / FPO / SHG</v>
      </c>
      <c r="G13" s="13" t="str">
        <f>IFERROR(__xludf.DUMMYFUNCTION("GOOGLETRANSLATE(C13,""en"",""or"")"),"କ୍ଲଷ୍ଟର ଗ୍ରୁପ୍ / FPO / SHG ର ନାମ")</f>
        <v>କ୍ଲଷ୍ଟର ଗ୍ରୁପ୍ / FPO / SHG ର ନାମ</v>
      </c>
      <c r="I13" s="17" t="s">
        <v>21</v>
      </c>
      <c r="J13" s="16" t="s">
        <v>31</v>
      </c>
    </row>
    <row r="14" ht="12.75" customHeight="1">
      <c r="A14" s="16" t="s">
        <v>32</v>
      </c>
      <c r="B14" s="16" t="s">
        <v>33</v>
      </c>
      <c r="C14" s="16" t="s">
        <v>34</v>
      </c>
      <c r="D14" s="15" t="str">
        <f>IFERROR(__xludf.DUMMYFUNCTION("GOOGLETRANSLATE(C14, ""en"", ""hi"")"),"क्लस्टर में सदस्यों की कुल संख्या")</f>
        <v>क्लस्टर में सदस्यों की कुल संख्या</v>
      </c>
      <c r="E14" s="13" t="str">
        <f>IFERROR(__xludf.DUMMYFUNCTION("GOOGLETRANSLATE(C14, ""en"", ""gu"")"),"ક્લસ્ટરમાં કુલ સભ્યોની સંખ્યા")</f>
        <v>ક્લસ્ટરમાં કુલ સભ્યોની સંખ્યા</v>
      </c>
      <c r="F14" s="13" t="str">
        <f>IFERROR(__xludf.DUMMYFUNCTION("GOOGLETRANSLATE(C14, ""en"", ""kn"")"),"ಕ್ಲಸ್ಟರ್‌ನಲ್ಲಿರುವ ಒಟ್ಟು ಸದಸ್ಯರ ಸಂಖ್ಯೆ")</f>
        <v>ಕ್ಲಸ್ಟರ್‌ನಲ್ಲಿರುವ ಒಟ್ಟು ಸದಸ್ಯರ ಸಂಖ್ಯೆ</v>
      </c>
      <c r="G14" s="13" t="str">
        <f>IFERROR(__xludf.DUMMYFUNCTION("GOOGLETRANSLATE(C14,""en"",""or"")"),"କ୍ଲଷ୍ଟରରେ ମୋଟ ସଦସ୍ୟଙ୍କ ସଂଖ୍ୟା")</f>
        <v>କ୍ଲଷ୍ଟରରେ ମୋଟ ସଦସ୍ୟଙ୍କ ସଂଖ୍ୟା</v>
      </c>
      <c r="I14" s="17" t="s">
        <v>21</v>
      </c>
      <c r="J14" s="16" t="s">
        <v>31</v>
      </c>
    </row>
    <row r="15" ht="12.75" customHeight="1">
      <c r="D15" s="15"/>
      <c r="E15" s="13"/>
      <c r="F15" s="13"/>
      <c r="G15" s="13"/>
    </row>
    <row r="16" ht="12.75" customHeight="1">
      <c r="A16" s="16" t="s">
        <v>17</v>
      </c>
      <c r="B16" s="16" t="s">
        <v>35</v>
      </c>
      <c r="C16" s="15" t="s">
        <v>36</v>
      </c>
      <c r="D16" s="15" t="str">
        <f>IFERROR(__xludf.DUMMYFUNCTION("GOOGLETRANSLATE(C16, ""en"", ""hi"")"),"लाभार्थी का नाम")</f>
        <v>लाभार्थी का नाम</v>
      </c>
      <c r="E16" s="13" t="str">
        <f>IFERROR(__xludf.DUMMYFUNCTION("GOOGLETRANSLATE(C16, ""en"", ""gu"")"),"લાભાર્થીનું નામ")</f>
        <v>લાભાર્થીનું નામ</v>
      </c>
      <c r="F16" s="13" t="str">
        <f>IFERROR(__xludf.DUMMYFUNCTION("GOOGLETRANSLATE(C16, ""en"", ""kn"")"),"ಫಲಾನುಭವಿಯ ಹೆಸರು")</f>
        <v>ಫಲಾನುಭವಿಯ ಹೆಸರು</v>
      </c>
      <c r="G16" s="13" t="str">
        <f>IFERROR(__xludf.DUMMYFUNCTION("GOOGLETRANSLATE(C16,""en"",""or"")"),"ହିତାଧିକାରୀଙ୍କ ନାମ")</f>
        <v>ହିତାଧିକାରୀଙ୍କ ନାମ</v>
      </c>
      <c r="I16" s="16" t="s">
        <v>21</v>
      </c>
      <c r="J16" s="16" t="s">
        <v>37</v>
      </c>
    </row>
    <row r="17" ht="12.75" customHeight="1">
      <c r="D17" s="15"/>
      <c r="E17" s="13"/>
      <c r="F17" s="13"/>
      <c r="G17" s="13"/>
    </row>
    <row r="18" ht="12.75" customHeight="1">
      <c r="A18" s="16" t="s">
        <v>38</v>
      </c>
      <c r="B18" s="16" t="s">
        <v>39</v>
      </c>
      <c r="C18" s="16" t="s">
        <v>40</v>
      </c>
      <c r="D18" s="15" t="str">
        <f>IFERROR(__xludf.DUMMYFUNCTION("GOOGLETRANSLATE(C18, ""en"", ""hi"")"),"लिंग")</f>
        <v>लिंग</v>
      </c>
      <c r="E18" s="13" t="str">
        <f>IFERROR(__xludf.DUMMYFUNCTION("GOOGLETRANSLATE(C18, ""en"", ""gu"")"),"લિંગ")</f>
        <v>લિંગ</v>
      </c>
      <c r="F18" s="13" t="str">
        <f>IFERROR(__xludf.DUMMYFUNCTION("GOOGLETRANSLATE(C18, ""en"", ""kn"")"),"ಲಿಂಗ")</f>
        <v>ಲಿಂಗ</v>
      </c>
      <c r="G18" s="13" t="str">
        <f>IFERROR(__xludf.DUMMYFUNCTION("GOOGLETRANSLATE(C18,""en"",""or"")"),"ଲିଙ୍ଗ")</f>
        <v>ଲିଙ୍ଗ</v>
      </c>
      <c r="I18" s="16" t="s">
        <v>21</v>
      </c>
      <c r="J18" s="16" t="s">
        <v>37</v>
      </c>
    </row>
    <row r="19" ht="12.75" customHeight="1">
      <c r="D19" s="15"/>
      <c r="E19" s="13"/>
      <c r="F19" s="13"/>
      <c r="G19" s="13"/>
    </row>
    <row r="20" ht="12.75" customHeight="1">
      <c r="A20" s="16" t="s">
        <v>17</v>
      </c>
      <c r="B20" s="16" t="s">
        <v>41</v>
      </c>
      <c r="C20" s="16" t="s">
        <v>42</v>
      </c>
      <c r="D20" s="15" t="str">
        <f>IFERROR(__xludf.DUMMYFUNCTION("GOOGLETRANSLATE(C20, ""en"", ""hi"")"),"लाभार्थी के पिता/पति का नाम")</f>
        <v>लाभार्थी के पिता/पति का नाम</v>
      </c>
      <c r="E20" s="13" t="str">
        <f>IFERROR(__xludf.DUMMYFUNCTION("GOOGLETRANSLATE(C20, ""en"", ""gu"")"),"લાભાર્થી પિતા/પતિનું નામ")</f>
        <v>લાભાર્થી પિતા/પતિનું નામ</v>
      </c>
      <c r="F20" s="13" t="str">
        <f>IFERROR(__xludf.DUMMYFUNCTION("GOOGLETRANSLATE(C20, ""en"", ""kn"")"),"ಫಲಾನುಭವಿ ತಂದೆ/ಗಂಡನ ಹೆಸರು")</f>
        <v>ಫಲಾನುಭವಿ ತಂದೆ/ಗಂಡನ ಹೆಸರು</v>
      </c>
      <c r="G20" s="13" t="str">
        <f>IFERROR(__xludf.DUMMYFUNCTION("GOOGLETRANSLATE(C20,""en"",""or"")"),"ହିତାଧିକାରୀଙ୍କ ପିତା/ସ୍ୱାମୀଙ୍କ ନାମ")</f>
        <v>ହିତାଧିକାରୀଙ୍କ ପିତା/ସ୍ୱାମୀଙ୍କ ନାମ</v>
      </c>
      <c r="I20" s="16" t="s">
        <v>21</v>
      </c>
      <c r="J20" s="16" t="s">
        <v>37</v>
      </c>
    </row>
    <row r="21" ht="12.75" customHeight="1">
      <c r="D21" s="15"/>
      <c r="E21" s="13"/>
      <c r="F21" s="13"/>
      <c r="G21" s="13"/>
    </row>
    <row r="22" ht="12.75" customHeight="1">
      <c r="A22" s="16" t="s">
        <v>43</v>
      </c>
      <c r="B22" s="16" t="s">
        <v>44</v>
      </c>
      <c r="C22" s="15" t="s">
        <v>45</v>
      </c>
      <c r="D22" s="15" t="str">
        <f>IFERROR(__xludf.DUMMYFUNCTION("GOOGLETRANSLATE(C22, ""en"", ""hi"")"),"वृक्षारोपण के लिए पसंदीदा पौधा/प्रजाति")</f>
        <v>वृक्षारोपण के लिए पसंदीदा पौधा/प्रजाति</v>
      </c>
      <c r="E22" s="13" t="str">
        <f>IFERROR(__xludf.DUMMYFUNCTION("GOOGLETRANSLATE(C22, ""en"", ""gu"")"),"વાવેતર માટે પસંદગીના છોડ/જાતિઓ")</f>
        <v>વાવેતર માટે પસંદગીના છોડ/જાતિઓ</v>
      </c>
      <c r="F22" s="13" t="str">
        <f>IFERROR(__xludf.DUMMYFUNCTION("GOOGLETRANSLATE(C22, ""en"", ""kn"")"),"ನೆಡುತೋಪುಗಳಿಗೆ ಆದ್ಯತೆಯ ಸಸ್ಯ/ಜಾತಿಗಳು")</f>
        <v>ನೆಡುತೋಪುಗಳಿಗೆ ಆದ್ಯತೆಯ ಸಸ್ಯ/ಜಾತಿಗಳು</v>
      </c>
      <c r="G22" s="13" t="str">
        <f>IFERROR(__xludf.DUMMYFUNCTION("GOOGLETRANSLATE(C22,""en"",""or"")"),"ବୃକ୍ଷରୋପଣ ପାଇଁ ପସନ୍ଦିତ ଉଦ୍ଭିଦ/ପ୍ରଜାତି")</f>
        <v>ବୃକ୍ଷରୋପଣ ପାଇଁ ପସନ୍ଦିତ ଉଦ୍ଭିଦ/ପ୍ରଜାତି</v>
      </c>
      <c r="I22" s="17" t="s">
        <v>21</v>
      </c>
      <c r="J22" s="16" t="s">
        <v>46</v>
      </c>
    </row>
    <row r="23" ht="12.75" customHeight="1">
      <c r="D23" s="15"/>
      <c r="E23" s="13"/>
      <c r="F23" s="13"/>
      <c r="G23" s="13"/>
    </row>
    <row r="24" ht="12.75" customHeight="1">
      <c r="A24" s="16" t="s">
        <v>47</v>
      </c>
      <c r="B24" s="16" t="s">
        <v>48</v>
      </c>
      <c r="C24" s="15" t="s">
        <v>49</v>
      </c>
      <c r="D24" s="15" t="str">
        <f>IFERROR(__xludf.DUMMYFUNCTION("GOOGLETRANSLATE(C24, ""en"", ""hi"")"),"वृक्षारोपण का कुल क्षेत्रफल")</f>
        <v>वृक्षारोपण का कुल क्षेत्रफल</v>
      </c>
      <c r="E24" s="13" t="str">
        <f>IFERROR(__xludf.DUMMYFUNCTION("GOOGLETRANSLATE(C24, ""en"", ""gu"")"),"વાવેતરનો કુલ વિસ્તાર")</f>
        <v>વાવેતરનો કુલ વિસ્તાર</v>
      </c>
      <c r="F24" s="13" t="str">
        <f>IFERROR(__xludf.DUMMYFUNCTION("GOOGLETRANSLATE(C24, ""en"", ""kn"")"),"ತೋಟದ ಒಟ್ಟು ವಿಸ್ತೀರ್ಣ")</f>
        <v>ತೋಟದ ಒಟ್ಟು ವಿಸ್ತೀರ್ಣ</v>
      </c>
      <c r="G24" s="13" t="str">
        <f>IFERROR(__xludf.DUMMYFUNCTION("GOOGLETRANSLATE(C24,""en"",""or"")"),"ମୋଟ ବୃକ୍ଷରୋପଣ କ୍ଷେତ୍ରଫଳ")</f>
        <v>ମୋଟ ବୃକ୍ଷରୋପଣ କ୍ଷେତ୍ରଫଳ</v>
      </c>
      <c r="I24" s="16" t="s">
        <v>21</v>
      </c>
      <c r="J24" s="16" t="s">
        <v>46</v>
      </c>
      <c r="M24" s="16" t="s">
        <v>50</v>
      </c>
    </row>
    <row r="25" ht="12.75" customHeight="1">
      <c r="C25" s="15"/>
      <c r="D25" s="15"/>
      <c r="E25" s="13"/>
      <c r="F25" s="13"/>
      <c r="G25" s="13"/>
    </row>
    <row r="26" ht="12.75" customHeight="1">
      <c r="A26" s="16" t="s">
        <v>32</v>
      </c>
      <c r="B26" s="16" t="s">
        <v>51</v>
      </c>
      <c r="C26" s="16" t="s">
        <v>52</v>
      </c>
      <c r="D26" s="15" t="str">
        <f>IFERROR(__xludf.DUMMYFUNCTION("GOOGLETRANSLATE(C26, ""en"", ""hi"")"),"आवश्यक पौधों की कुल संख्या")</f>
        <v>आवश्यक पौधों की कुल संख्या</v>
      </c>
      <c r="E26" s="13" t="str">
        <f>IFERROR(__xludf.DUMMYFUNCTION("GOOGLETRANSLATE(C26, ""en"", ""gu"")"),"જરૂરી કુલ રોપાઓની સંખ્યા")</f>
        <v>જરૂરી કુલ રોપાઓની સંખ્યા</v>
      </c>
      <c r="F26" s="13" t="str">
        <f>IFERROR(__xludf.DUMMYFUNCTION("GOOGLETRANSLATE(C26, ""en"", ""kn"")"),"ಅಗತ್ಯವಿರುವ ಒಟ್ಟು ಸಸಿಗಳ ಸಂಖ್ಯೆ")</f>
        <v>ಅಗತ್ಯವಿರುವ ಒಟ್ಟು ಸಸಿಗಳ ಸಂಖ್ಯೆ</v>
      </c>
      <c r="G26" s="13" t="str">
        <f>IFERROR(__xludf.DUMMYFUNCTION("GOOGLETRANSLATE(C26,""en"",""or"")"),"ଆବଶ୍ୟକ ମୋଟ ଚାରା ସଂଖ୍ୟା")</f>
        <v>ଆବଶ୍ୟକ ମୋଟ ଚାରା ସଂଖ୍ୟା</v>
      </c>
      <c r="I26" s="16" t="s">
        <v>21</v>
      </c>
      <c r="J26" s="16" t="s">
        <v>46</v>
      </c>
    </row>
    <row r="27" ht="12.75" customHeight="1">
      <c r="D27" s="15"/>
      <c r="E27" s="13"/>
      <c r="F27" s="13"/>
      <c r="G27" s="13"/>
    </row>
    <row r="28" ht="12.75" customHeight="1">
      <c r="A28" s="16" t="s">
        <v>53</v>
      </c>
      <c r="B28" s="16" t="s">
        <v>54</v>
      </c>
      <c r="C28" s="16" t="s">
        <v>55</v>
      </c>
      <c r="D28" s="15" t="str">
        <f>IFERROR(__xludf.DUMMYFUNCTION("GOOGLETRANSLATE(C28, ""en"", ""hi"")"),"भूमि का प्रकार")</f>
        <v>भूमि का प्रकार</v>
      </c>
      <c r="E28" s="13" t="str">
        <f>IFERROR(__xludf.DUMMYFUNCTION("GOOGLETRANSLATE(C28, ""en"", ""gu"")"),"જમીનનો પ્રકાર")</f>
        <v>જમીનનો પ્રકાર</v>
      </c>
      <c r="F28" s="13" t="str">
        <f>IFERROR(__xludf.DUMMYFUNCTION("GOOGLETRANSLATE(C28, ""en"", ""kn"")"),"ಭೂಮಿಯ ಪ್ರಕಾರ")</f>
        <v>ಭೂಮಿಯ ಪ್ರಕಾರ</v>
      </c>
      <c r="G28" s="13" t="str">
        <f>IFERROR(__xludf.DUMMYFUNCTION("GOOGLETRANSLATE(C28,""en"",""or"")"),"ଭୂମି ପ୍ରକାର")</f>
        <v>ଭୂମି ପ୍ରକାର</v>
      </c>
      <c r="I28" s="16" t="s">
        <v>21</v>
      </c>
      <c r="J28" s="16" t="s">
        <v>46</v>
      </c>
    </row>
    <row r="29" ht="12.75" customHeight="1">
      <c r="C29" s="15"/>
      <c r="D29" s="15"/>
      <c r="E29" s="13"/>
      <c r="F29" s="13"/>
      <c r="G29" s="13"/>
    </row>
    <row r="30" ht="12.75" customHeight="1">
      <c r="A30" s="16" t="s">
        <v>56</v>
      </c>
      <c r="B30" s="16" t="s">
        <v>57</v>
      </c>
      <c r="C30" s="15" t="s">
        <v>58</v>
      </c>
      <c r="D30" s="15" t="str">
        <f>IFERROR(__xludf.DUMMYFUNCTION("GOOGLETRANSLATE(C30, ""en"", ""hi"")"),"भूमि स्वामित्व / कार्यकाल")</f>
        <v>भूमि स्वामित्व / कार्यकाल</v>
      </c>
      <c r="E30" s="13" t="str">
        <f>IFERROR(__xludf.DUMMYFUNCTION("GOOGLETRANSLATE(C30, ""en"", ""gu"")"),"જમીન માલિકી / કાર્યકાળ")</f>
        <v>જમીન માલિકી / કાર્યકાળ</v>
      </c>
      <c r="F30" s="13" t="str">
        <f>IFERROR(__xludf.DUMMYFUNCTION("GOOGLETRANSLATE(C30, ""en"", ""kn"")"),"ಭೂಮಾಲೀಕತ್ವ / ಅವಧಿ")</f>
        <v>ಭೂಮಾಲೀಕತ್ವ / ಅವಧಿ</v>
      </c>
      <c r="G30" s="13" t="str">
        <f>IFERROR(__xludf.DUMMYFUNCTION("GOOGLETRANSLATE(C30,""en"",""or"")"),"ଭୂମି ମାଲିକାନା / ବାସସ୍ଥାନ")</f>
        <v>ଭୂମି ମାଲିକାନା / ବାସସ୍ଥାନ</v>
      </c>
      <c r="J30" s="16" t="s">
        <v>46</v>
      </c>
    </row>
    <row r="31" ht="12.75" customHeight="1">
      <c r="D31" s="15"/>
      <c r="E31" s="13"/>
      <c r="F31" s="13"/>
      <c r="G31" s="13"/>
    </row>
    <row r="32" ht="12.75" customHeight="1">
      <c r="A32" s="16" t="s">
        <v>59</v>
      </c>
      <c r="B32" s="16" t="s">
        <v>60</v>
      </c>
      <c r="C32" s="16" t="s">
        <v>61</v>
      </c>
      <c r="D32" s="15" t="str">
        <f>IFERROR(__xludf.DUMMYFUNCTION("GOOGLETRANSLATE(C32, ""en"", ""hi"")"),"वर्तमान भूमि उपयोग")</f>
        <v>वर्तमान भूमि उपयोग</v>
      </c>
      <c r="E32" s="13" t="str">
        <f>IFERROR(__xludf.DUMMYFUNCTION("GOOGLETRANSLATE(C32, ""en"", ""gu"")"),"વર્તમાન જમીન ઉપયોગ")</f>
        <v>વર્તમાન જમીન ઉપયોગ</v>
      </c>
      <c r="F32" s="13" t="str">
        <f>IFERROR(__xludf.DUMMYFUNCTION("GOOGLETRANSLATE(C32, ""en"", ""kn"")"),"ಪ್ರಸ್ತುತ ಭೂ ಬಳಕೆ")</f>
        <v>ಪ್ರಸ್ತುತ ಭೂ ಬಳಕೆ</v>
      </c>
      <c r="G32" s="13" t="str">
        <f>IFERROR(__xludf.DUMMYFUNCTION("GOOGLETRANSLATE(C32,""en"",""or"")"),"ବର୍ତ୍ତମାନର ଭୂମି ବ୍ୟବହାର")</f>
        <v>ବର୍ତ୍ତମାନର ଭୂମି ବ୍ୟବହାର</v>
      </c>
      <c r="I32" s="17" t="s">
        <v>21</v>
      </c>
      <c r="J32" s="16" t="s">
        <v>46</v>
      </c>
    </row>
    <row r="33" ht="12.75" customHeight="1">
      <c r="D33" s="15"/>
      <c r="E33" s="13"/>
      <c r="F33" s="13"/>
      <c r="G33" s="13"/>
    </row>
    <row r="34" ht="12.75" customHeight="1">
      <c r="A34" s="16" t="s">
        <v>62</v>
      </c>
      <c r="B34" s="16" t="s">
        <v>63</v>
      </c>
      <c r="C34" s="16" t="s">
        <v>64</v>
      </c>
      <c r="D34" s="15" t="str">
        <f>IFERROR(__xludf.DUMMYFUNCTION("GOOGLETRANSLATE(C34, ""en"", ""hi"")"),"मिट्टी का प्रकार")</f>
        <v>मिट्टी का प्रकार</v>
      </c>
      <c r="E34" s="13" t="str">
        <f>IFERROR(__xludf.DUMMYFUNCTION("GOOGLETRANSLATE(C34, ""en"", ""gu"")"),"માટીનો પ્રકાર")</f>
        <v>માટીનો પ્રકાર</v>
      </c>
      <c r="F34" s="13" t="str">
        <f>IFERROR(__xludf.DUMMYFUNCTION("GOOGLETRANSLATE(C34, ""en"", ""kn"")"),"ಮಣ್ಣಿನ ಪ್ರಕಾರ")</f>
        <v>ಮಣ್ಣಿನ ಪ್ರಕಾರ</v>
      </c>
      <c r="G34" s="13" t="str">
        <f>IFERROR(__xludf.DUMMYFUNCTION("GOOGLETRANSLATE(C34,""en"",""or"")"),"ମାଟିର ପ୍ରକାର")</f>
        <v>ମାଟିର ପ୍ରକାର</v>
      </c>
      <c r="I34" s="17" t="s">
        <v>21</v>
      </c>
      <c r="J34" s="16" t="s">
        <v>46</v>
      </c>
    </row>
    <row r="35" ht="12.75" customHeight="1">
      <c r="C35" s="15"/>
      <c r="D35" s="15"/>
      <c r="E35" s="13"/>
      <c r="F35" s="13"/>
      <c r="G35" s="13"/>
    </row>
    <row r="36" ht="12.75" customHeight="1">
      <c r="A36" s="16" t="s">
        <v>65</v>
      </c>
      <c r="B36" s="5" t="s">
        <v>66</v>
      </c>
      <c r="C36" s="15" t="s">
        <v>67</v>
      </c>
      <c r="D36" s="15" t="str">
        <f>IFERROR(__xludf.DUMMYFUNCTION("GOOGLETRANSLATE(C36, ""en"", ""hi"")"),"पानी की उपलब्धता")</f>
        <v>पानी की उपलब्धता</v>
      </c>
      <c r="E36" s="13" t="str">
        <f>IFERROR(__xludf.DUMMYFUNCTION("GOOGLETRANSLATE(C36, ""en"", ""gu"")"),"પાણીની ઉપલબ્ધતા")</f>
        <v>પાણીની ઉપલબ્ધતા</v>
      </c>
      <c r="F36" s="13" t="str">
        <f>IFERROR(__xludf.DUMMYFUNCTION("GOOGLETRANSLATE(C36, ""en"", ""kn"")"),"ನೀರಿನ ಲಭ್ಯತೆ")</f>
        <v>ನೀರಿನ ಲಭ್ಯತೆ</v>
      </c>
      <c r="G36" s="13" t="str">
        <f>IFERROR(__xludf.DUMMYFUNCTION("GOOGLETRANSLATE(C36,""en"",""or"")"),"ଜଳ ଉପଲବ୍ଧତା")</f>
        <v>ଜଳ ଉପଲବ୍ଧତା</v>
      </c>
      <c r="I36" s="17" t="s">
        <v>21</v>
      </c>
      <c r="J36" s="16" t="s">
        <v>46</v>
      </c>
    </row>
    <row r="37" ht="12.75" customHeight="1">
      <c r="D37" s="15"/>
      <c r="E37" s="13"/>
      <c r="F37" s="13"/>
      <c r="G37" s="13"/>
    </row>
    <row r="38" ht="12.75" customHeight="1">
      <c r="A38" s="16" t="s">
        <v>68</v>
      </c>
      <c r="B38" s="16" t="s">
        <v>69</v>
      </c>
      <c r="C38" s="16" t="s">
        <v>70</v>
      </c>
      <c r="D38" s="15" t="str">
        <f>IFERROR(__xludf.DUMMYFUNCTION("GOOGLETRANSLATE(C38, ""en"", ""hi"")"),"पसंदीदा कृषि वानिकी मॉडल
")</f>
        <v>पसंदीदा कृषि वानिकी मॉडल
</v>
      </c>
      <c r="E38" s="13" t="str">
        <f>IFERROR(__xludf.DUMMYFUNCTION("GOOGLETRANSLATE(C38, ""en"", ""gu"")"),"પસંદગીનું કૃષિ વનીકરણ મોડેલ
")</f>
        <v>પસંદગીનું કૃષિ વનીકરણ મોડેલ
</v>
      </c>
      <c r="F38" s="13" t="str">
        <f>IFERROR(__xludf.DUMMYFUNCTION("GOOGLETRANSLATE(C38, ""en"", ""kn"")"),"ಆದ್ಯತೆಯ ಕೃಷಿ ಅರಣ್ಯ ಮಾದರಿ
")</f>
        <v>ಆದ್ಯತೆಯ ಕೃಷಿ ಅರಣ್ಯ ಮಾದರಿ
</v>
      </c>
      <c r="G38" s="13" t="str">
        <f>IFERROR(__xludf.DUMMYFUNCTION("GOOGLETRANSLATE(C38,""en"",""or"")"),"ପସନ୍ଦିତ କୃଷି ବନୀକରଣ ମଡେଲ
")</f>
        <v>ପସନ୍ଦିତ କୃଷି ବନୀକରଣ ମଡେଲ
</v>
      </c>
      <c r="I38" s="17" t="s">
        <v>21</v>
      </c>
      <c r="J38" s="16" t="s">
        <v>46</v>
      </c>
    </row>
    <row r="39" ht="28.5" customHeight="1">
      <c r="A39" s="18" t="s">
        <v>71</v>
      </c>
      <c r="B39" s="18" t="s">
        <v>72</v>
      </c>
      <c r="C39" s="18" t="s">
        <v>73</v>
      </c>
      <c r="D39" s="15" t="str">
        <f>IFERROR(__xludf.DUMMYFUNCTION("GOOGLETRANSLATE(C39, ""en"", ""hi"")"),"किन विभागों/योजनाओं का विलय किया जा सकता है?")</f>
        <v>किन विभागों/योजनाओं का विलय किया जा सकता है?</v>
      </c>
      <c r="E39" s="13" t="str">
        <f>IFERROR(__xludf.DUMMYFUNCTION("GOOGLETRANSLATE(C39, ""en"", ""gu"")"),"કયા વિભાગો / યોજનાઓ સાથે ભેળવી શકાય?")</f>
        <v>કયા વિભાગો / યોજનાઓ સાથે ભેળવી શકાય?</v>
      </c>
      <c r="F39" s="13" t="str">
        <f>IFERROR(__xludf.DUMMYFUNCTION("GOOGLETRANSLATE(C39, ""en"", ""kn"")"),"ಯಾವ ಇಲಾಖೆಗಳು / ಯೋಜನೆಗಳೊಂದಿಗೆ ಒಗ್ಗೂಡಿಸಬಹುದು?")</f>
        <v>ಯಾವ ಇಲಾಖೆಗಳು / ಯೋಜನೆಗಳೊಂದಿಗೆ ಒಗ್ಗೂಡಿಸಬಹುದು?</v>
      </c>
      <c r="G39" s="13" t="str">
        <f>IFERROR(__xludf.DUMMYFUNCTION("GOOGLETRANSLATE(C39,""en"",""or"")"),"କେଉଁ ବିଭାଗ / ଯୋଜନାଗୁଡ଼ିକ ସହିତ ମିଶ୍ରିତ ହୋଇପାରିବ?")</f>
        <v>କେଉଁ ବିଭାଗ / ଯୋଜନାଗୁଡ଼ିକ ସହିତ ମିଶ୍ରିତ ହୋଇପାରିବ?</v>
      </c>
      <c r="H39" s="18"/>
      <c r="I39" s="19" t="s">
        <v>21</v>
      </c>
      <c r="J39" s="16" t="s">
        <v>46</v>
      </c>
      <c r="K39" s="18"/>
      <c r="L39" s="18"/>
      <c r="M39" s="18"/>
      <c r="N39" s="19"/>
      <c r="O39" s="18"/>
      <c r="P39" s="18"/>
      <c r="Q39" s="18"/>
      <c r="R39" s="18"/>
      <c r="S39" s="18"/>
      <c r="T39" s="20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12.75" customHeight="1">
      <c r="D40" s="15"/>
      <c r="E40" s="13"/>
      <c r="F40" s="13"/>
      <c r="G40" s="13"/>
    </row>
    <row r="41" ht="12.75" customHeight="1">
      <c r="A41" s="21" t="s">
        <v>74</v>
      </c>
      <c r="B41" s="21" t="s">
        <v>75</v>
      </c>
      <c r="C41" s="22" t="s">
        <v>76</v>
      </c>
      <c r="D41" s="15" t="str">
        <f>IFERROR(__xludf.DUMMYFUNCTION("GOOGLETRANSLATE(C41, ""en"", ""hi"")"),"इस बिंदु के बाद कुछ भी संशोधित न करें और अपना फॉर्म डेटा सबमिट करें।")</f>
        <v>इस बिंदु के बाद कुछ भी संशोधित न करें और अपना फॉर्म डेटा सबमिट करें।</v>
      </c>
      <c r="E41" s="13" t="str">
        <f>IFERROR(__xludf.DUMMYFUNCTION("GOOGLETRANSLATE(C41, ""en"", ""gu"")"),"&lt;span style=""font-size: large; font-weight: bold; color:red;""&gt; આ બિંદુથી આગળ કંઈપણ બદલશો નહીં અને તમારો ફોર્મ ડેટા સબમિટ કરો&lt;/span&gt;")</f>
        <v>&lt;span style="font-size: large; font-weight: bold; color:red;"&gt; આ બિંદુથી આગળ કંઈપણ બદલશો નહીં અને તમારો ફોર્મ ડેટા સબમિટ કરો&lt;/span&gt;</v>
      </c>
      <c r="F41" s="13" t="str">
        <f>IFERROR(__xludf.DUMMYFUNCTION("GOOGLETRANSLATE(C41, ""en"", ""kn"")"),"&lt;span style=""font-size: large; font-weight: bold; color:red;""&gt; ಈ ಅಂಶವನ್ನು ಮೀರಿ ಏನನ್ನೂ ಮಾರ್ಪಡಿಸಬೇಡಿ ಮತ್ತು ನಿಮ್ಮ ಫಾರ್ಮ್ ಡೇಟಾವನ್ನು ಸಲ್ಲಿಸಿ&lt;/span&gt;")</f>
        <v>&lt;span style="font-size: large; font-weight: bold; color:red;"&gt; ಈ ಅಂಶವನ್ನು ಮೀರಿ ಏನನ್ನೂ ಮಾರ್ಪಡಿಸಬೇಡಿ ಮತ್ತು ನಿಮ್ಮ ಫಾರ್ಮ್ ಡೇಟಾವನ್ನು ಸಲ್ಲಿಸಿ&lt;/span&gt;</v>
      </c>
      <c r="G41" s="13" t="str">
        <f>IFERROR(__xludf.DUMMYFUNCTION("GOOGLETRANSLATE(C41,""en"",""or"")"),"&lt;span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41" s="23"/>
      <c r="I41" s="23"/>
      <c r="J41" s="24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12.75" customHeight="1">
      <c r="A42" s="22" t="s">
        <v>77</v>
      </c>
      <c r="B42" s="22" t="s">
        <v>78</v>
      </c>
      <c r="C42" s="22" t="s">
        <v>79</v>
      </c>
      <c r="D42" s="15" t="str">
        <f>IFERROR(__xludf.DUMMYFUNCTION("GOOGLETRANSLATE(C42, ""en"", ""hi"")"),"अक्षांश/देशांश")</f>
        <v>अक्षांश/देशांश</v>
      </c>
      <c r="E42" s="13" t="str">
        <f>IFERROR(__xludf.DUMMYFUNCTION("GOOGLETRANSLATE(C42, ""en"", ""gu"")"),"અક્ષાંશ/લોન")</f>
        <v>અક્ષાંશ/લોન</v>
      </c>
      <c r="F42" s="13" t="str">
        <f>IFERROR(__xludf.DUMMYFUNCTION("GOOGLETRANSLATE(C42, ""en"", ""kn"")"),"ಅಕ್ಷಾಂಶ/ಲೋನ್")</f>
        <v>ಅಕ್ಷಾಂಶ/ಲೋನ್</v>
      </c>
      <c r="G42" s="13" t="str">
        <f>IFERROR(__xludf.DUMMYFUNCTION("GOOGLETRANSLATE(C42,""en"",""or"")"),"ଅକ୍ଷାଂଶ/ଲୋନ")</f>
        <v>ଅକ୍ଷାଂଶ/ଲୋନ</v>
      </c>
      <c r="H42" s="25" t="s">
        <v>80</v>
      </c>
      <c r="I42" s="23"/>
      <c r="J42" s="24"/>
      <c r="K42" s="26"/>
      <c r="L42" s="18"/>
      <c r="M42" s="18"/>
      <c r="N42" s="18"/>
      <c r="O42" s="18"/>
      <c r="P42" s="18"/>
      <c r="Q42" s="18"/>
      <c r="R42" s="18"/>
      <c r="S42" s="11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12.75" customHeight="1">
      <c r="A43" s="22" t="s">
        <v>74</v>
      </c>
      <c r="B43" s="22" t="s">
        <v>81</v>
      </c>
      <c r="C43" s="22" t="s">
        <v>82</v>
      </c>
      <c r="D43" s="15" t="str">
        <f>IFERROR(__xludf.DUMMYFUNCTION("GOOGLETRANSLATE(C43, ""en"", ""hi"")"),"कृपया नीचे दिए गए मानचित्र में इधर-उधर न घूमें।")</f>
        <v>कृपया नीचे दिए गए मानचित्र में इधर-उधर न घूमें।</v>
      </c>
      <c r="E43" s="13" t="str">
        <f>IFERROR(__xludf.DUMMYFUNCTION("GOOGLETRANSLATE(C43, ""en"", ""gu"")"),"&lt;span style=""color:red""&gt;કૃપા કરીને નીચેના નકશામાં ફરશો નહીં&lt;/span&gt;")</f>
        <v>&lt;span style="color:red"&gt;કૃપા કરીને નીચેના નકશામાં ફરશો નહીં&lt;/span&gt;</v>
      </c>
      <c r="F43" s="13" t="str">
        <f>IFERROR(__xludf.DUMMYFUNCTION("GOOGLETRANSLATE(C43, ""en"", ""kn"")"),"&lt;span style=""color:red""&gt;ದಯವಿಟ್ಟು ಕೆಳಗಿನ ನಕ್ಷೆಯಲ್ಲಿ ಹರಡಬೇಡಿ&lt;/span&gt;")</f>
        <v>&lt;span style="color:red"&gt;ದಯವಿಟ್ಟು ಕೆಳಗಿನ ನಕ್ಷೆಯಲ್ಲಿ ಹರಡಬೇಡಿ&lt;/span&gt;</v>
      </c>
      <c r="G43" s="13" t="str">
        <f>IFERROR(__xludf.DUMMYFUNCTION("GOOGLETRANSLATE(C43,""en"",""or"")"),"&lt;span style=""color:red""&gt;ଦୟାକରି ତଳେ ଥିବା ମାନଚିତ୍ରରେ ଏଣେତେଣେ ବୁଲି ଦେଖନ୍ତୁ ନାହିଁ&lt;/span&gt;")</f>
        <v>&lt;span style="color:red"&gt;ଦୟାକରି ତଳେ ଥିବା ମାନଚିତ୍ରରେ ଏଣେତେଣେ ବୁଲି ଦେଖନ୍ତୁ ନାହିଁ&lt;/span&gt;</v>
      </c>
      <c r="H43" s="25"/>
      <c r="I43" s="23"/>
      <c r="J43" s="24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12.75" customHeight="1">
      <c r="A44" s="22" t="s">
        <v>83</v>
      </c>
      <c r="B44" s="22" t="s">
        <v>84</v>
      </c>
      <c r="C44" s="18"/>
      <c r="D44" s="15"/>
      <c r="E44" s="13"/>
      <c r="F44" s="13"/>
      <c r="G44" s="13"/>
      <c r="H44" s="18"/>
      <c r="I44" s="23" t="s">
        <v>21</v>
      </c>
      <c r="J44" s="18"/>
      <c r="K44" s="18"/>
      <c r="L44" s="18"/>
      <c r="M44" s="18" t="s">
        <v>83</v>
      </c>
      <c r="N44" s="23"/>
      <c r="O44" s="23"/>
      <c r="P44" s="23"/>
      <c r="Q44" s="23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12.75" customHeight="1">
      <c r="A45" s="22" t="s">
        <v>85</v>
      </c>
      <c r="B45" s="18"/>
      <c r="C45" s="18"/>
      <c r="D45" s="15"/>
      <c r="E45" s="13"/>
      <c r="F45" s="13"/>
      <c r="G45" s="13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12.75" customHeight="1">
      <c r="A46" s="18"/>
      <c r="B46" s="18"/>
      <c r="C46" s="18"/>
      <c r="D46" s="15"/>
      <c r="E46" s="13"/>
      <c r="F46" s="13"/>
      <c r="G46" s="13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12.75" customHeight="1">
      <c r="A47" s="21" t="s">
        <v>17</v>
      </c>
      <c r="B47" s="22" t="s">
        <v>86</v>
      </c>
      <c r="C47" s="21" t="s">
        <v>87</v>
      </c>
      <c r="D47" s="15" t="str">
        <f>IFERROR(__xludf.DUMMYFUNCTION("GOOGLETRANSLATE(C47, ""en"", ""hi"")"),"ब्लॉक का नाम")</f>
        <v>ब्लॉक का नाम</v>
      </c>
      <c r="E47" s="13" t="str">
        <f>IFERROR(__xludf.DUMMYFUNCTION("GOOGLETRANSLATE(C47, ""en"", ""gu"")"),"બ્લોકનું નામ")</f>
        <v>બ્લોકનું નામ</v>
      </c>
      <c r="F47" s="13" t="str">
        <f>IFERROR(__xludf.DUMMYFUNCTION("GOOGLETRANSLATE(C47, ""en"", ""kn"")"),"ಬ್ಲಾಕ್ ಹೆಸರು")</f>
        <v>ಬ್ಲಾಕ್ ಹೆಸರು</v>
      </c>
      <c r="G47" s="13" t="str">
        <f>IFERROR(__xludf.DUMMYFUNCTION("GOOGLETRANSLATE(C47,""en"",""or"")"),"ବ୍ଲକ୍ ନାମ")</f>
        <v>ବ୍ଲକ୍ ନାମ</v>
      </c>
      <c r="H47" s="23"/>
      <c r="I47" s="23"/>
      <c r="J47" s="24"/>
      <c r="K47" s="27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12.75" customHeight="1">
      <c r="A48" s="22" t="s">
        <v>17</v>
      </c>
      <c r="B48" s="22" t="s">
        <v>88</v>
      </c>
      <c r="C48" s="22" t="s">
        <v>89</v>
      </c>
      <c r="D48" s="15" t="str">
        <f>IFERROR(__xludf.DUMMYFUNCTION("GOOGLETRANSLATE(C48, ""en"", ""hi"")"),"योजना आईडी")</f>
        <v>योजना आईडी</v>
      </c>
      <c r="E48" s="13" t="str">
        <f>IFERROR(__xludf.DUMMYFUNCTION("GOOGLETRANSLATE(C48, ""en"", ""gu"")"),"પ્લાન ID")</f>
        <v>પ્લાન ID</v>
      </c>
      <c r="F48" s="13" t="str">
        <f>IFERROR(__xludf.DUMMYFUNCTION("GOOGLETRANSLATE(C48, ""en"", ""kn"")"),"ಯೋಜನೆ ಐಡಿ")</f>
        <v>ಯೋಜನೆ ಐಡಿ</v>
      </c>
      <c r="G48" s="13" t="str">
        <f>IFERROR(__xludf.DUMMYFUNCTION("GOOGLETRANSLATE(C48,""en"",""or"")"),"ପ୍ଲାନ୍ ID")</f>
        <v>ପ୍ଲାନ୍ ID</v>
      </c>
      <c r="H48" s="23"/>
      <c r="I48" s="28"/>
      <c r="J48" s="24"/>
      <c r="K48" s="27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12.75" customHeight="1">
      <c r="A49" s="22" t="s">
        <v>17</v>
      </c>
      <c r="B49" s="22" t="s">
        <v>90</v>
      </c>
      <c r="C49" s="22" t="s">
        <v>91</v>
      </c>
      <c r="D49" s="15" t="str">
        <f>IFERROR(__xludf.DUMMYFUNCTION("GOOGLETRANSLATE(C49, ""en"", ""hi"")"),"योजना का नाम")</f>
        <v>योजना का नाम</v>
      </c>
      <c r="E49" s="13" t="str">
        <f>IFERROR(__xludf.DUMMYFUNCTION("GOOGLETRANSLATE(C49, ""en"", ""gu"")"),"યોજનાનું નામ")</f>
        <v>યોજનાનું નામ</v>
      </c>
      <c r="F49" s="13" t="str">
        <f>IFERROR(__xludf.DUMMYFUNCTION("GOOGLETRANSLATE(C49, ""en"", ""kn"")"),"ಯೋಜನೆಯ ಹೆಸರು")</f>
        <v>ಯೋಜನೆಯ ಹೆಸರು</v>
      </c>
      <c r="G49" s="13" t="str">
        <f>IFERROR(__xludf.DUMMYFUNCTION("GOOGLETRANSLATE(C49,""en"",""or"")"),"ଯୋଜନାର ନାମ")</f>
        <v>ଯୋଜନାର ନାମ</v>
      </c>
      <c r="H49" s="23"/>
      <c r="I49" s="23"/>
      <c r="J49" s="24"/>
      <c r="K49" s="27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12.75" customHeight="1">
      <c r="A50" s="22" t="s">
        <v>17</v>
      </c>
      <c r="B50" s="22" t="s">
        <v>92</v>
      </c>
      <c r="C50" s="22" t="s">
        <v>93</v>
      </c>
      <c r="D50" s="15" t="str">
        <f>IFERROR(__xludf.DUMMYFUNCTION("GOOGLETRANSLATE(C50, ""en"", ""hi"")"),"उपयोगकर्ता का वर्तमान स्थान")</f>
        <v>उपयोगकर्ता का वर्तमान स्थान</v>
      </c>
      <c r="E50" s="13" t="str">
        <f>IFERROR(__xludf.DUMMYFUNCTION("GOOGLETRANSLATE(C50, ""en"", ""gu"")"),"વપરાશકર્તાનું વર્તમાન સ્થાન")</f>
        <v>વપરાશકર્તાનું વર્તમાન સ્થાન</v>
      </c>
      <c r="F50" s="13" t="str">
        <f>IFERROR(__xludf.DUMMYFUNCTION("GOOGLETRANSLATE(C50, ""en"", ""kn"")"),"ಬಳಕೆದಾರರ ಪ್ರಸ್ತುತ ಸ್ಥಳ")</f>
        <v>ಬಳಕೆದಾರರ ಪ್ರಸ್ತುತ ಸ್ಥಳ</v>
      </c>
      <c r="G50" s="13" t="str">
        <f>IFERROR(__xludf.DUMMYFUNCTION("GOOGLETRANSLATE(C50,""en"",""or"")"),"ଉପଯୋଗକର୍ତ୍ତାଙ୍କ ବର୍ତ୍ତମାନର ସ୍ଥାନ")</f>
        <v>ଉପଯୋଗକର୍ତ୍ତାଙ୍କ ବର୍ତ୍ତମାନର ସ୍ଥାନ</v>
      </c>
      <c r="H50" s="18"/>
      <c r="I50" s="23"/>
      <c r="J50" s="24"/>
      <c r="K50" s="27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41:A50">
      <formula1>"start,end,today,deviceid,begin_group,end_group,text,integer,decimal,note,calculate,select_one list_name,select_multiple list_name,select_one_from_file file.extension,select_multiple_from_file file.extension,begin_repeat,end_repeat,geopoint,geotrace,geosha"&amp;"pe,start-geopoint,range,image,barcode,audio,background-audio,video,file,date,time,datetime,rank,csv-external,acknowledge,username,phonenumber,email,audit,select_multiple caste,select_multiple issues,select_multiple work_demands or_other,select_one caste,s"&amp;"elect_one contributions,select_one demands,select_one type,select_one Y_N,type,decimal,select_multiple low_work or_other"</formula1>
    </dataValidation>
    <dataValidation type="list" allowBlank="1" showErrorMessage="1" sqref="A3:A6">
      <formula1>"audio,begin_group,deviceid,end,end_group,geopoint,image,integer,note,select_multiple caste_use,select_multiple repairs_well or_other,select_one Functional_Non_functional,select_one observed_change,select_one owns,select_one pollutants_groundwater,select_o"&amp;"ne scheme or_other,select_one well_type or_other,select_one well_used or_other,select_one Y_N,select_one year,start,text,today,type,select_one caste_use,select_one changes_observed"</formula1>
    </dataValidation>
  </dataValidation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39.75"/>
    <col customWidth="1" min="3" max="3" width="20.5"/>
    <col customWidth="1" min="4" max="6" width="35.0"/>
    <col customWidth="1" min="7" max="26" width="11.88"/>
  </cols>
  <sheetData>
    <row r="1" ht="12.75" customHeight="1">
      <c r="A1" s="29" t="s">
        <v>94</v>
      </c>
      <c r="B1" s="29" t="s">
        <v>1</v>
      </c>
      <c r="C1" s="29" t="s">
        <v>2</v>
      </c>
      <c r="D1" s="15" t="s">
        <v>3</v>
      </c>
      <c r="E1" s="23" t="s">
        <v>5</v>
      </c>
      <c r="F1" s="23" t="s">
        <v>4</v>
      </c>
      <c r="G1" s="30" t="s">
        <v>6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2.75" customHeight="1">
      <c r="A2" s="31"/>
      <c r="D2" s="5"/>
      <c r="E2" s="11"/>
      <c r="F2" s="11"/>
    </row>
    <row r="3" ht="12.75" customHeight="1">
      <c r="A3" s="31" t="s">
        <v>95</v>
      </c>
      <c r="B3" s="16" t="s">
        <v>96</v>
      </c>
      <c r="C3" s="16" t="s">
        <v>96</v>
      </c>
      <c r="D3" s="5" t="str">
        <f>IFERROR(__xludf.DUMMYFUNCTION("GOOGLETRANSLATE(C3, ""en"", ""hi"")"),"हाँ")</f>
        <v>हाँ</v>
      </c>
      <c r="E3" s="11" t="str">
        <f>IFERROR(__xludf.DUMMYFUNCTION("GOOGLETRANSLATE(C3, ""en"", ""kn"")"),"ಹೌದು")</f>
        <v>ಹೌದು</v>
      </c>
      <c r="F3" s="11" t="str">
        <f>IFERROR(__xludf.DUMMYFUNCTION("GOOGLETRANSLATE(C3, ""en"", ""gu"")"),"હા")</f>
        <v>હા</v>
      </c>
      <c r="G3" s="32" t="str">
        <f>IFERROR(__xludf.DUMMYFUNCTION("GOOGLETRANSLATE(C3,""en"",""or"")"),"ହଁ")</f>
        <v>ହଁ</v>
      </c>
    </row>
    <row r="4" ht="12.75" customHeight="1">
      <c r="A4" s="31" t="s">
        <v>95</v>
      </c>
      <c r="B4" s="16" t="s">
        <v>97</v>
      </c>
      <c r="C4" s="16" t="s">
        <v>97</v>
      </c>
      <c r="D4" s="5" t="str">
        <f>IFERROR(__xludf.DUMMYFUNCTION("GOOGLETRANSLATE(C4, ""en"", ""hi"")"),"नहीं")</f>
        <v>नहीं</v>
      </c>
      <c r="E4" s="11" t="str">
        <f>IFERROR(__xludf.DUMMYFUNCTION("GOOGLETRANSLATE(C4, ""en"", ""kn"")"),"ಇಲ್ಲ")</f>
        <v>ಇಲ್ಲ</v>
      </c>
      <c r="F4" s="11" t="str">
        <f>IFERROR(__xludf.DUMMYFUNCTION("GOOGLETRANSLATE(C4, ""en"", ""gu"")"),"ના")</f>
        <v>ના</v>
      </c>
      <c r="G4" s="32" t="str">
        <f>IFERROR(__xludf.DUMMYFUNCTION("GOOGLETRANSLATE(C4,""en"",""or"")"),"ନା")</f>
        <v>ନା</v>
      </c>
    </row>
    <row r="5" ht="12.75" customHeight="1">
      <c r="A5" s="5"/>
      <c r="B5" s="5"/>
      <c r="C5" s="5"/>
      <c r="D5" s="5"/>
      <c r="E5" s="11"/>
      <c r="F5" s="11"/>
    </row>
    <row r="6" ht="12.75" customHeight="1">
      <c r="A6" s="5" t="s">
        <v>98</v>
      </c>
      <c r="B6" s="33" t="s">
        <v>99</v>
      </c>
      <c r="C6" s="33" t="s">
        <v>100</v>
      </c>
      <c r="D6" s="5" t="str">
        <f>IFERROR(__xludf.DUMMYFUNCTION("GOOGLETRANSLATE(C6, ""en"", ""hi"")"),"सामुदायिक मांग")</f>
        <v>सामुदायिक मांग</v>
      </c>
      <c r="E6" s="11" t="str">
        <f>IFERROR(__xludf.DUMMYFUNCTION("GOOGLETRANSLATE(C6, ""en"", ""kn"")"),"ಸಮುದಾಯದ ಬೇಡಿಕೆ")</f>
        <v>ಸಮುದಾಯದ ಬೇಡಿಕೆ</v>
      </c>
      <c r="F6" s="11" t="str">
        <f>IFERROR(__xludf.DUMMYFUNCTION("GOOGLETRANSLATE(C6, ""en"", ""gu"")"),"સમુદાય માંગ")</f>
        <v>સમુદાય માંગ</v>
      </c>
      <c r="G6" s="32" t="str">
        <f>IFERROR(__xludf.DUMMYFUNCTION("GOOGLETRANSLATE(C6,""en"",""or"")"),"ସମ୍ପ୍ରଦାୟ ଦାବି")</f>
        <v>ସମ୍ପ୍ରଦାୟ ଦାବି</v>
      </c>
    </row>
    <row r="7" ht="12.75" customHeight="1">
      <c r="A7" s="5" t="s">
        <v>98</v>
      </c>
      <c r="B7" s="33" t="s">
        <v>101</v>
      </c>
      <c r="C7" s="33" t="s">
        <v>102</v>
      </c>
      <c r="D7" s="5" t="str">
        <f>IFERROR(__xludf.DUMMYFUNCTION("GOOGLETRANSLATE(C7, ""en"", ""hi"")"),"क्लस्टर मांग")</f>
        <v>क्लस्टर मांग</v>
      </c>
      <c r="E7" s="11" t="str">
        <f>IFERROR(__xludf.DUMMYFUNCTION("GOOGLETRANSLATE(C7, ""en"", ""kn"")"),"ಕ್ಲಸ್ಟರ್ ಬೇಡಿಕೆ")</f>
        <v>ಕ್ಲಸ್ಟರ್ ಬೇಡಿಕೆ</v>
      </c>
      <c r="F7" s="11" t="str">
        <f>IFERROR(__xludf.DUMMYFUNCTION("GOOGLETRANSLATE(C7, ""en"", ""gu"")"),"ક્લસ્ટર માંગ")</f>
        <v>ક્લસ્ટર માંગ</v>
      </c>
      <c r="G7" s="32" t="str">
        <f>IFERROR(__xludf.DUMMYFUNCTION("GOOGLETRANSLATE(C7,""en"",""or"")"),"କ୍ଲଷ୍ଟର ଚାହିଦା")</f>
        <v>କ୍ଲଷ୍ଟର ଚାହିଦା</v>
      </c>
    </row>
    <row r="8" ht="12.75" customHeight="1">
      <c r="A8" s="5" t="s">
        <v>98</v>
      </c>
      <c r="B8" s="33" t="s">
        <v>103</v>
      </c>
      <c r="C8" s="33" t="s">
        <v>104</v>
      </c>
      <c r="D8" s="5" t="str">
        <f>IFERROR(__xludf.DUMMYFUNCTION("GOOGLETRANSLATE(C8, ""en"", ""hi"")"),"व्यक्तिगत मांग")</f>
        <v>व्यक्तिगत मांग</v>
      </c>
      <c r="E8" s="11" t="str">
        <f>IFERROR(__xludf.DUMMYFUNCTION("GOOGLETRANSLATE(C8, ""en"", ""kn"")"),"ವೈಯಕ್ತಿಕ ಬೇಡಿಕೆ")</f>
        <v>ವೈಯಕ್ತಿಕ ಬೇಡಿಕೆ</v>
      </c>
      <c r="F8" s="11" t="str">
        <f>IFERROR(__xludf.DUMMYFUNCTION("GOOGLETRANSLATE(C8, ""en"", ""gu"")"),"વ્યક્તિગત માંગ")</f>
        <v>વ્યક્તિગત માંગ</v>
      </c>
      <c r="G8" s="32" t="str">
        <f>IFERROR(__xludf.DUMMYFUNCTION("GOOGLETRANSLATE(C8,""en"",""or"")"),"ବ୍ୟକ୍ତିଗତ ଚାହିଦା")</f>
        <v>ବ୍ୟକ୍ତିଗତ ଚାହିଦା</v>
      </c>
    </row>
    <row r="9" ht="12.75" customHeight="1">
      <c r="A9" s="5"/>
      <c r="B9" s="33"/>
      <c r="C9" s="33"/>
      <c r="D9" s="5"/>
      <c r="E9" s="11"/>
      <c r="F9" s="11"/>
    </row>
    <row r="10" ht="12.75" customHeight="1">
      <c r="A10" s="5" t="s">
        <v>105</v>
      </c>
      <c r="B10" s="33" t="s">
        <v>106</v>
      </c>
      <c r="C10" s="33" t="s">
        <v>106</v>
      </c>
      <c r="D10" s="5" t="str">
        <f>IFERROR(__xludf.DUMMYFUNCTION("GOOGLETRANSLATE(C10, ""en"", ""hi"")"),"आम")</f>
        <v>आम</v>
      </c>
      <c r="E10" s="11" t="str">
        <f>IFERROR(__xludf.DUMMYFUNCTION("GOOGLETRANSLATE(C10, ""en"", ""kn"")"),"ಮಾವು")</f>
        <v>ಮಾವು</v>
      </c>
      <c r="F10" s="11" t="str">
        <f>IFERROR(__xludf.DUMMYFUNCTION("GOOGLETRANSLATE(C10, ""en"", ""gu"")"),"કેરી")</f>
        <v>કેરી</v>
      </c>
      <c r="G10" s="32" t="str">
        <f>IFERROR(__xludf.DUMMYFUNCTION("GOOGLETRANSLATE(C10,""en"",""or"")"),"ଆମ୍ବ")</f>
        <v>ଆମ୍ବ</v>
      </c>
    </row>
    <row r="11" ht="12.75" customHeight="1">
      <c r="A11" s="5" t="s">
        <v>105</v>
      </c>
      <c r="B11" s="33" t="s">
        <v>107</v>
      </c>
      <c r="C11" s="33" t="s">
        <v>107</v>
      </c>
      <c r="D11" s="5" t="str">
        <f>IFERROR(__xludf.DUMMYFUNCTION("GOOGLETRANSLATE(C11, ""en"", ""hi"")"),"अमरूद")</f>
        <v>अमरूद</v>
      </c>
      <c r="E11" s="11" t="str">
        <f>IFERROR(__xludf.DUMMYFUNCTION("GOOGLETRANSLATE(C11, ""en"", ""kn"")"),"ಪೇರಲ")</f>
        <v>ಪೇರಲ</v>
      </c>
      <c r="F11" s="11" t="str">
        <f>IFERROR(__xludf.DUMMYFUNCTION("GOOGLETRANSLATE(C11, ""en"", ""gu"")"),"જામફળ")</f>
        <v>જામફળ</v>
      </c>
      <c r="G11" s="32" t="str">
        <f>IFERROR(__xludf.DUMMYFUNCTION("GOOGLETRANSLATE(C11,""en"",""or"")"),"ଗୁଆଭା")</f>
        <v>ଗୁଆଭା</v>
      </c>
    </row>
    <row r="12" ht="12.75" customHeight="1">
      <c r="A12" s="5" t="s">
        <v>105</v>
      </c>
      <c r="B12" s="33" t="s">
        <v>108</v>
      </c>
      <c r="C12" s="33" t="s">
        <v>108</v>
      </c>
      <c r="D12" s="5" t="str">
        <f>IFERROR(__xludf.DUMMYFUNCTION("GOOGLETRANSLATE(C12, ""en"", ""hi"")"),"केला")</f>
        <v>केला</v>
      </c>
      <c r="E12" s="11" t="str">
        <f>IFERROR(__xludf.DUMMYFUNCTION("GOOGLETRANSLATE(C12, ""en"", ""kn"")"),"ಬಾಳೆಹಣ್ಣು")</f>
        <v>ಬಾಳೆಹಣ್ಣು</v>
      </c>
      <c r="F12" s="11" t="str">
        <f>IFERROR(__xludf.DUMMYFUNCTION("GOOGLETRANSLATE(C12, ""en"", ""gu"")"),"કેળા")</f>
        <v>કેળા</v>
      </c>
      <c r="G12" s="32" t="str">
        <f>IFERROR(__xludf.DUMMYFUNCTION("GOOGLETRANSLATE(C12,""en"",""or"")"),"କଦଳୀ")</f>
        <v>କଦଳୀ</v>
      </c>
    </row>
    <row r="13" ht="12.75" customHeight="1">
      <c r="A13" s="5" t="s">
        <v>105</v>
      </c>
      <c r="B13" s="33" t="s">
        <v>109</v>
      </c>
      <c r="C13" s="33" t="s">
        <v>109</v>
      </c>
      <c r="D13" s="5" t="str">
        <f>IFERROR(__xludf.DUMMYFUNCTION("GOOGLETRANSLATE(C13, ""en"", ""hi"")"),"Subabul")</f>
        <v>Subabul</v>
      </c>
      <c r="E13" s="11" t="str">
        <f>IFERROR(__xludf.DUMMYFUNCTION("GOOGLETRANSLATE(C13, ""en"", ""kn"")"),"ಸುಬಾಬುಲ್")</f>
        <v>ಸುಬಾಬುಲ್</v>
      </c>
      <c r="F13" s="11" t="str">
        <f>IFERROR(__xludf.DUMMYFUNCTION("GOOGLETRANSLATE(C13, ""en"", ""gu"")"),"સુબાબુલ")</f>
        <v>સુબાબુલ</v>
      </c>
      <c r="G13" s="32" t="str">
        <f>IFERROR(__xludf.DUMMYFUNCTION("GOOGLETRANSLATE(C13,""en"",""or"")"),"ସୁବାବୁଲ")</f>
        <v>ସୁବାବୁଲ</v>
      </c>
    </row>
    <row r="14" ht="12.75" customHeight="1">
      <c r="A14" s="5" t="s">
        <v>105</v>
      </c>
      <c r="B14" s="33" t="s">
        <v>110</v>
      </c>
      <c r="C14" s="33" t="s">
        <v>110</v>
      </c>
      <c r="D14" s="5" t="str">
        <f>IFERROR(__xludf.DUMMYFUNCTION("GOOGLETRANSLATE(C14, ""en"", ""hi"")"),"बांस")</f>
        <v>बांस</v>
      </c>
      <c r="E14" s="11" t="str">
        <f>IFERROR(__xludf.DUMMYFUNCTION("GOOGLETRANSLATE(C14, ""en"", ""kn"")"),"ಬಿದಿರು")</f>
        <v>ಬಿದಿರು</v>
      </c>
      <c r="F14" s="11" t="str">
        <f>IFERROR(__xludf.DUMMYFUNCTION("GOOGLETRANSLATE(C14, ""en"", ""gu"")"),"વાંસ")</f>
        <v>વાંસ</v>
      </c>
      <c r="G14" s="32" t="str">
        <f>IFERROR(__xludf.DUMMYFUNCTION("GOOGLETRANSLATE(C14,""en"",""or"")"),"ବାଉଁଶ")</f>
        <v>ବାଉଁଶ</v>
      </c>
    </row>
    <row r="15" ht="12.75" customHeight="1">
      <c r="A15" s="5" t="s">
        <v>105</v>
      </c>
      <c r="B15" s="33" t="s">
        <v>111</v>
      </c>
      <c r="C15" s="33" t="s">
        <v>111</v>
      </c>
      <c r="D15" s="5" t="str">
        <f>IFERROR(__xludf.DUMMYFUNCTION("GOOGLETRANSLATE(C15, ""en"", ""hi"")"),"मोरिंगा")</f>
        <v>मोरिंगा</v>
      </c>
      <c r="E15" s="11" t="str">
        <f>IFERROR(__xludf.DUMMYFUNCTION("GOOGLETRANSLATE(C15, ""en"", ""kn"")"),"ಮೊರಿಂಗಾ")</f>
        <v>ಮೊರಿಂಗಾ</v>
      </c>
      <c r="F15" s="11" t="str">
        <f>IFERROR(__xludf.DUMMYFUNCTION("GOOGLETRANSLATE(C15, ""en"", ""gu"")"),"મોરિંગા")</f>
        <v>મોરિંગા</v>
      </c>
      <c r="G15" s="32" t="str">
        <f>IFERROR(__xludf.DUMMYFUNCTION("GOOGLETRANSLATE(C15,""en"",""or"")"),"ମୋରିଙ୍ଗା")</f>
        <v>ମୋରିଙ୍ଗା</v>
      </c>
    </row>
    <row r="16" ht="12.75" customHeight="1">
      <c r="A16" s="5" t="s">
        <v>105</v>
      </c>
      <c r="B16" s="33" t="s">
        <v>112</v>
      </c>
      <c r="C16" s="33" t="s">
        <v>112</v>
      </c>
      <c r="D16" s="5" t="str">
        <f>IFERROR(__xludf.DUMMYFUNCTION("GOOGLETRANSLATE(C16, ""en"", ""hi"")"),"नीम")</f>
        <v>नीम</v>
      </c>
      <c r="E16" s="11" t="str">
        <f>IFERROR(__xludf.DUMMYFUNCTION("GOOGLETRANSLATE(C16, ""en"", ""kn"")"),"ಬೇವು")</f>
        <v>ಬೇವು</v>
      </c>
      <c r="F16" s="11" t="str">
        <f>IFERROR(__xludf.DUMMYFUNCTION("GOOGLETRANSLATE(C16, ""en"", ""gu"")"),"લીમડો")</f>
        <v>લીમડો</v>
      </c>
      <c r="G16" s="32" t="str">
        <f>IFERROR(__xludf.DUMMYFUNCTION("GOOGLETRANSLATE(C16,""en"",""or"")"),"ନିମ")</f>
        <v>ନିମ</v>
      </c>
    </row>
    <row r="17" ht="12.75" customHeight="1">
      <c r="A17" s="5" t="s">
        <v>105</v>
      </c>
      <c r="B17" s="33" t="s">
        <v>113</v>
      </c>
      <c r="C17" s="33" t="s">
        <v>113</v>
      </c>
      <c r="D17" s="5" t="str">
        <f>IFERROR(__xludf.DUMMYFUNCTION("GOOGLETRANSLATE(C17, ""en"", ""hi"")"),"टीक")</f>
        <v>टीक</v>
      </c>
      <c r="E17" s="11" t="str">
        <f>IFERROR(__xludf.DUMMYFUNCTION("GOOGLETRANSLATE(C17, ""en"", ""kn"")"),"ತೇಗ")</f>
        <v>ತೇಗ</v>
      </c>
      <c r="F17" s="11" t="str">
        <f>IFERROR(__xludf.DUMMYFUNCTION("GOOGLETRANSLATE(C17, ""en"", ""gu"")"),"સાગ")</f>
        <v>સાગ</v>
      </c>
      <c r="G17" s="32" t="str">
        <f>IFERROR(__xludf.DUMMYFUNCTION("GOOGLETRANSLATE(C17,""en"",""or"")"),"ସାଗୁଆନ୍")</f>
        <v>ସାଗୁଆନ୍</v>
      </c>
    </row>
    <row r="18" ht="12.75" customHeight="1">
      <c r="A18" s="5" t="s">
        <v>105</v>
      </c>
      <c r="B18" s="33" t="s">
        <v>114</v>
      </c>
      <c r="C18" s="33" t="s">
        <v>114</v>
      </c>
      <c r="D18" s="5" t="str">
        <f>IFERROR(__xludf.DUMMYFUNCTION("GOOGLETRANSLATE(C18, ""en"", ""hi"")"),"कश्यु")</f>
        <v>कश्यु</v>
      </c>
      <c r="E18" s="11" t="str">
        <f>IFERROR(__xludf.DUMMYFUNCTION("GOOGLETRANSLATE(C18, ""en"", ""kn"")"),"ಗೋಡಂಬಿ")</f>
        <v>ಗೋಡಂಬಿ</v>
      </c>
      <c r="F18" s="11" t="str">
        <f>IFERROR(__xludf.DUMMYFUNCTION("GOOGLETRANSLATE(C18, ""en"", ""gu"")"),"કાજુ")</f>
        <v>કાજુ</v>
      </c>
      <c r="G18" s="32" t="str">
        <f>IFERROR(__xludf.DUMMYFUNCTION("GOOGLETRANSLATE(C18,""en"",""or"")"),"କାଜୁ")</f>
        <v>କାଜୁ</v>
      </c>
    </row>
    <row r="19" ht="12.75" customHeight="1">
      <c r="A19" s="5" t="s">
        <v>105</v>
      </c>
      <c r="B19" s="33" t="s">
        <v>115</v>
      </c>
      <c r="C19" s="33" t="s">
        <v>115</v>
      </c>
      <c r="D19" s="5" t="str">
        <f>IFERROR(__xludf.DUMMYFUNCTION("GOOGLETRANSLATE(C19, ""en"", ""hi"")"),"महुआ")</f>
        <v>महुआ</v>
      </c>
      <c r="E19" s="11" t="str">
        <f>IFERROR(__xludf.DUMMYFUNCTION("GOOGLETRANSLATE(C19, ""en"", ""kn"")"),"ಮಹುವಾ")</f>
        <v>ಮಹುವಾ</v>
      </c>
      <c r="F19" s="11" t="str">
        <f>IFERROR(__xludf.DUMMYFUNCTION("GOOGLETRANSLATE(C19, ""en"", ""gu"")"),"મહુઆ")</f>
        <v>મહુઆ</v>
      </c>
      <c r="G19" s="32" t="str">
        <f>IFERROR(__xludf.DUMMYFUNCTION("GOOGLETRANSLATE(C19,""en"",""or"")"),"ମହୁଆ")</f>
        <v>ମହୁଆ</v>
      </c>
    </row>
    <row r="20" ht="12.75" customHeight="1">
      <c r="A20" s="5" t="s">
        <v>105</v>
      </c>
      <c r="B20" s="33" t="s">
        <v>116</v>
      </c>
      <c r="C20" s="33" t="s">
        <v>116</v>
      </c>
      <c r="D20" s="5" t="str">
        <f>IFERROR(__xludf.DUMMYFUNCTION("GOOGLETRANSLATE(C20, ""en"", ""hi"")"),"इमली")</f>
        <v>इमली</v>
      </c>
      <c r="E20" s="11" t="str">
        <f>IFERROR(__xludf.DUMMYFUNCTION("GOOGLETRANSLATE(C20, ""en"", ""kn"")"),"ಹುಣಸೆಹಣ್ಣು")</f>
        <v>ಹುಣಸೆಹಣ್ಣು</v>
      </c>
      <c r="F20" s="11" t="str">
        <f>IFERROR(__xludf.DUMMYFUNCTION("GOOGLETRANSLATE(C20, ""en"", ""gu"")"),"આમલી")</f>
        <v>આમલી</v>
      </c>
      <c r="G20" s="32" t="str">
        <f>IFERROR(__xludf.DUMMYFUNCTION("GOOGLETRANSLATE(C20,""en"",""or"")"),"ତେନ୍ତୁଳି")</f>
        <v>ତେନ୍ତୁଳି</v>
      </c>
    </row>
    <row r="21" ht="12.75" customHeight="1">
      <c r="D21" s="5"/>
      <c r="E21" s="11"/>
      <c r="F21" s="11"/>
    </row>
    <row r="22" ht="12.75" customHeight="1">
      <c r="A22" s="16" t="s">
        <v>54</v>
      </c>
      <c r="B22" s="33" t="s">
        <v>117</v>
      </c>
      <c r="C22" s="33" t="s">
        <v>117</v>
      </c>
      <c r="D22" s="5" t="str">
        <f>IFERROR(__xludf.DUMMYFUNCTION("GOOGLETRANSLATE(C22, ""en"", ""hi"")"),"अपलैंड")</f>
        <v>अपलैंड</v>
      </c>
      <c r="E22" s="11" t="str">
        <f>IFERROR(__xludf.DUMMYFUNCTION("GOOGLETRANSLATE(C22, ""en"", ""kn"")"),"ಅಪ್ಲ್ಯಾಂಡ್")</f>
        <v>ಅಪ್ಲ್ಯಾಂಡ್</v>
      </c>
      <c r="F22" s="11" t="str">
        <f>IFERROR(__xludf.DUMMYFUNCTION("GOOGLETRANSLATE(C22, ""en"", ""gu"")"),"અપલેન્ડ")</f>
        <v>અપલેન્ડ</v>
      </c>
      <c r="G22" s="32" t="str">
        <f>IFERROR(__xludf.DUMMYFUNCTION("GOOGLETRANSLATE(C22,""en"",""or"")"),"ଉପଭୂମି")</f>
        <v>ଉପଭୂମି</v>
      </c>
    </row>
    <row r="23" ht="12.75" customHeight="1">
      <c r="A23" s="16" t="s">
        <v>54</v>
      </c>
      <c r="B23" s="33" t="s">
        <v>118</v>
      </c>
      <c r="C23" s="33" t="s">
        <v>118</v>
      </c>
      <c r="D23" s="5" t="str">
        <f>IFERROR(__xludf.DUMMYFUNCTION("GOOGLETRANSLATE(C23, ""en"", ""hi"")"),"समुद्र से दूर")</f>
        <v>समुद्र से दूर</v>
      </c>
      <c r="E23" s="11" t="str">
        <f>IFERROR(__xludf.DUMMYFUNCTION("GOOGLETRANSLATE(C23, ""en"", ""kn"")"),"ಮಿಡ್‌ಲ್ಯಾಂಡ್")</f>
        <v>ಮಿಡ್‌ಲ್ಯಾಂಡ್</v>
      </c>
      <c r="F23" s="11" t="str">
        <f>IFERROR(__xludf.DUMMYFUNCTION("GOOGLETRANSLATE(C23, ""en"", ""gu"")"),"મિડલેન્ડ")</f>
        <v>મિડલેન્ડ</v>
      </c>
      <c r="G23" s="32" t="str">
        <f>IFERROR(__xludf.DUMMYFUNCTION("GOOGLETRANSLATE(C23,""en"",""or"")"),"ମିଡଲ୍ୟାଣ୍ଡ")</f>
        <v>ମିଡଲ୍ୟାଣ୍ଡ</v>
      </c>
    </row>
    <row r="24" ht="18.0" customHeight="1">
      <c r="A24" s="16" t="s">
        <v>54</v>
      </c>
      <c r="B24" s="33" t="s">
        <v>119</v>
      </c>
      <c r="C24" s="33" t="s">
        <v>119</v>
      </c>
      <c r="D24" s="5" t="str">
        <f>IFERROR(__xludf.DUMMYFUNCTION("GOOGLETRANSLATE(C24, ""en"", ""hi"")"),"समतल नीचा भूमि")</f>
        <v>समतल नीचा भूमि</v>
      </c>
      <c r="E24" s="11" t="str">
        <f>IFERROR(__xludf.DUMMYFUNCTION("GOOGLETRANSLATE(C24, ""en"", ""kn"")"),"ತಗ್ಗು ಪ್ರದೇಶ")</f>
        <v>ತಗ್ಗು ಪ್ರದೇಶ</v>
      </c>
      <c r="F24" s="11" t="str">
        <f>IFERROR(__xludf.DUMMYFUNCTION("GOOGLETRANSLATE(C24, ""en"", ""gu"")"),"નીચાણવાળી જમીન")</f>
        <v>નીચાણવાળી જમીન</v>
      </c>
      <c r="G24" s="32" t="str">
        <f>IFERROR(__xludf.DUMMYFUNCTION("GOOGLETRANSLATE(C24,""en"",""or"")"),"ତଳଭୂମି")</f>
        <v>ତଳଭୂମି</v>
      </c>
    </row>
    <row r="25" ht="12.75" customHeight="1">
      <c r="A25" s="5"/>
      <c r="D25" s="5"/>
      <c r="E25" s="11"/>
      <c r="F25" s="11"/>
    </row>
    <row r="26" ht="12.75" customHeight="1">
      <c r="A26" s="5" t="s">
        <v>120</v>
      </c>
      <c r="B26" s="33" t="s">
        <v>121</v>
      </c>
      <c r="C26" s="33" t="s">
        <v>122</v>
      </c>
      <c r="D26" s="5" t="str">
        <f>IFERROR(__xludf.DUMMYFUNCTION("GOOGLETRANSLATE(C26, ""en"", ""hi"")"),"अपने देश")</f>
        <v>अपने देश</v>
      </c>
      <c r="E26" s="11" t="str">
        <f>IFERROR(__xludf.DUMMYFUNCTION("GOOGLETRANSLATE(C26, ""en"", ""kn"")"),"ಸ್ವಂತ ಭೂಮಿ")</f>
        <v>ಸ್ವಂತ ಭೂಮಿ</v>
      </c>
      <c r="F26" s="11" t="str">
        <f>IFERROR(__xludf.DUMMYFUNCTION("GOOGLETRANSLATE(C26, ""en"", ""gu"")"),"પોતાની જમીન")</f>
        <v>પોતાની જમીન</v>
      </c>
      <c r="G26" s="32" t="str">
        <f>IFERROR(__xludf.DUMMYFUNCTION("GOOGLETRANSLATE(C26,""en"",""or"")"),"ନିଜସ୍ୱ ଜମି")</f>
        <v>ନିଜସ୍ୱ ଜମି</v>
      </c>
    </row>
    <row r="27" ht="12.75" customHeight="1">
      <c r="A27" s="5" t="s">
        <v>120</v>
      </c>
      <c r="B27" s="33" t="s">
        <v>123</v>
      </c>
      <c r="C27" s="33" t="s">
        <v>124</v>
      </c>
      <c r="D27" s="5" t="str">
        <f>IFERROR(__xludf.DUMMYFUNCTION("GOOGLETRANSLATE(C27, ""en"", ""hi"")"),"पट्टे पर दी गई भूमि")</f>
        <v>पट्टे पर दी गई भूमि</v>
      </c>
      <c r="E27" s="11" t="str">
        <f>IFERROR(__xludf.DUMMYFUNCTION("GOOGLETRANSLATE(C27, ""en"", ""kn"")"),"ಗುತ್ತಿಗೆ ಪಡೆದ ಭೂಮಿ")</f>
        <v>ಗುತ್ತಿಗೆ ಪಡೆದ ಭೂಮಿ</v>
      </c>
      <c r="F27" s="11" t="str">
        <f>IFERROR(__xludf.DUMMYFUNCTION("GOOGLETRANSLATE(C27, ""en"", ""gu"")"),"ભાડાપટ્ટે આપેલી જમીન")</f>
        <v>ભાડાપટ્ટે આપેલી જમીન</v>
      </c>
      <c r="G27" s="32" t="str">
        <f>IFERROR(__xludf.DUMMYFUNCTION("GOOGLETRANSLATE(C27,""en"",""or"")"),"ଲିଜ୍ ଦିଆ ଜମି")</f>
        <v>ଲିଜ୍ ଦିଆ ଜମି</v>
      </c>
    </row>
    <row r="28" ht="12.75" customHeight="1">
      <c r="A28" s="5" t="s">
        <v>120</v>
      </c>
      <c r="B28" s="33" t="s">
        <v>125</v>
      </c>
      <c r="C28" s="33" t="s">
        <v>126</v>
      </c>
      <c r="D28" s="5" t="str">
        <f>IFERROR(__xludf.DUMMYFUNCTION("GOOGLETRANSLATE(C28, ""en"", ""hi"")"),"सामुदायिक भूमि")</f>
        <v>सामुदायिक भूमि</v>
      </c>
      <c r="E28" s="11" t="str">
        <f>IFERROR(__xludf.DUMMYFUNCTION("GOOGLETRANSLATE(C28, ""en"", ""kn"")"),"ಸಮುದಾಯ ಭೂಮಿ")</f>
        <v>ಸಮುದಾಯ ಭೂಮಿ</v>
      </c>
      <c r="F28" s="11" t="str">
        <f>IFERROR(__xludf.DUMMYFUNCTION("GOOGLETRANSLATE(C28, ""en"", ""gu"")"),"સમુદાયની જમીન")</f>
        <v>સમુદાયની જમીન</v>
      </c>
      <c r="G28" s="32" t="str">
        <f>IFERROR(__xludf.DUMMYFUNCTION("GOOGLETRANSLATE(C28,""en"",""or"")"),"ସମ୍ପ୍ରଦାୟ ଜମି")</f>
        <v>ସମ୍ପ୍ରଦାୟ ଜମି</v>
      </c>
    </row>
    <row r="29" ht="12.75" customHeight="1">
      <c r="A29" s="5" t="s">
        <v>120</v>
      </c>
      <c r="B29" s="33" t="s">
        <v>127</v>
      </c>
      <c r="C29" s="33" t="s">
        <v>128</v>
      </c>
      <c r="D29" s="5" t="str">
        <f>IFERROR(__xludf.DUMMYFUNCTION("GOOGLETRANSLATE(C29, ""en"", ""hi"")"),"वन भूमि")</f>
        <v>वन भूमि</v>
      </c>
      <c r="E29" s="11" t="str">
        <f>IFERROR(__xludf.DUMMYFUNCTION("GOOGLETRANSLATE(C29, ""en"", ""kn"")"),"ಅರಣ್ಯ ಭೂಮಿ")</f>
        <v>ಅರಣ್ಯ ಭೂಮಿ</v>
      </c>
      <c r="F29" s="11" t="str">
        <f>IFERROR(__xludf.DUMMYFUNCTION("GOOGLETRANSLATE(C29, ""en"", ""gu"")"),"વન જમીન")</f>
        <v>વન જમીન</v>
      </c>
      <c r="G29" s="32" t="str">
        <f>IFERROR(__xludf.DUMMYFUNCTION("GOOGLETRANSLATE(C29,""en"",""or"")"),"ଜଙ୍ଗଲ ଜମି")</f>
        <v>ଜଙ୍ଗଲ ଜମି</v>
      </c>
    </row>
    <row r="30" ht="12.75" customHeight="1">
      <c r="A30" s="5" t="s">
        <v>120</v>
      </c>
      <c r="B30" s="33" t="s">
        <v>129</v>
      </c>
      <c r="C30" s="33" t="s">
        <v>130</v>
      </c>
      <c r="D30" s="5" t="str">
        <f>IFERROR(__xludf.DUMMYFUNCTION("GOOGLETRANSLATE(C30, ""en"", ""hi"")"),"संयुक्त स्वामित्व")</f>
        <v>संयुक्त स्वामित्व</v>
      </c>
      <c r="E30" s="11" t="str">
        <f>IFERROR(__xludf.DUMMYFUNCTION("GOOGLETRANSLATE(C30, ""en"", ""kn"")"),"ಜಂಟಿ ಮಾಲೀಕತ್ವ")</f>
        <v>ಜಂಟಿ ಮಾಲೀಕತ್ವ</v>
      </c>
      <c r="F30" s="11" t="str">
        <f>IFERROR(__xludf.DUMMYFUNCTION("GOOGLETRANSLATE(C30, ""en"", ""gu"")"),"સંયુક્ત માલિકી")</f>
        <v>સંયુક્ત માલિકી</v>
      </c>
      <c r="G30" s="32" t="str">
        <f>IFERROR(__xludf.DUMMYFUNCTION("GOOGLETRANSLATE(C30,""en"",""or"")"),"ମିଳିତ ମାଲିକାନା")</f>
        <v>ମିଳିତ ମାଲିକାନା</v>
      </c>
    </row>
    <row r="31" ht="12.75" customHeight="1">
      <c r="A31" s="5"/>
      <c r="D31" s="5"/>
      <c r="E31" s="11"/>
      <c r="F31" s="11"/>
    </row>
    <row r="32" ht="12.75" customHeight="1">
      <c r="A32" s="16" t="s">
        <v>131</v>
      </c>
      <c r="B32" s="33" t="s">
        <v>132</v>
      </c>
      <c r="C32" s="33" t="s">
        <v>132</v>
      </c>
      <c r="D32" s="5" t="str">
        <f>IFERROR(__xludf.DUMMYFUNCTION("GOOGLETRANSLATE(C32, ""en"", ""hi"")"),"काटना")</f>
        <v>काटना</v>
      </c>
      <c r="E32" s="11" t="str">
        <f>IFERROR(__xludf.DUMMYFUNCTION("GOOGLETRANSLATE(C32, ""en"", ""kn"")"),"ಬೆಳೆ")</f>
        <v>ಬೆಳೆ</v>
      </c>
      <c r="F32" s="11" t="str">
        <f>IFERROR(__xludf.DUMMYFUNCTION("GOOGLETRANSLATE(C32, ""en"", ""gu"")"),"પાક")</f>
        <v>પાક</v>
      </c>
      <c r="G32" s="32" t="str">
        <f>IFERROR(__xludf.DUMMYFUNCTION("GOOGLETRANSLATE(C32,""en"",""or"")"),"କାଟନ୍ତୁ")</f>
        <v>କାଟନ୍ତୁ</v>
      </c>
    </row>
    <row r="33" ht="12.75" customHeight="1">
      <c r="A33" s="16" t="s">
        <v>131</v>
      </c>
      <c r="B33" s="33" t="s">
        <v>133</v>
      </c>
      <c r="C33" s="33" t="s">
        <v>133</v>
      </c>
      <c r="D33" s="5" t="str">
        <f>IFERROR(__xludf.DUMMYFUNCTION("GOOGLETRANSLATE(C33, ""en"", ""hi"")"),"परती")</f>
        <v>परती</v>
      </c>
      <c r="E33" s="11" t="str">
        <f>IFERROR(__xludf.DUMMYFUNCTION("GOOGLETRANSLATE(C33, ""en"", ""kn"")"),"ಪಾಳುಭೂಮಿ")</f>
        <v>ಪಾಳುಭೂಮಿ</v>
      </c>
      <c r="F33" s="11" t="str">
        <f>IFERROR(__xludf.DUMMYFUNCTION("GOOGLETRANSLATE(C33, ""en"", ""gu"")"),"પડતર")</f>
        <v>પડતર</v>
      </c>
      <c r="G33" s="32" t="str">
        <f>IFERROR(__xludf.DUMMYFUNCTION("GOOGLETRANSLATE(C33,""en"",""or"")"),"ପଡ଼ିଆ")</f>
        <v>ପଡ଼ିଆ</v>
      </c>
    </row>
    <row r="34" ht="12.75" customHeight="1">
      <c r="A34" s="16" t="s">
        <v>131</v>
      </c>
      <c r="B34" s="33" t="s">
        <v>134</v>
      </c>
      <c r="C34" s="33" t="s">
        <v>134</v>
      </c>
      <c r="D34" s="5" t="str">
        <f>IFERROR(__xludf.DUMMYFUNCTION("GOOGLETRANSLATE(C34, ""en"", ""hi"")"),"चराई")</f>
        <v>चराई</v>
      </c>
      <c r="E34" s="11" t="str">
        <f>IFERROR(__xludf.DUMMYFUNCTION("GOOGLETRANSLATE(C34, ""en"", ""kn"")"),"ಮೇಯಿಸುವಿಕೆ")</f>
        <v>ಮೇಯಿಸುವಿಕೆ</v>
      </c>
      <c r="F34" s="11" t="str">
        <f>IFERROR(__xludf.DUMMYFUNCTION("GOOGLETRANSLATE(C34, ""en"", ""gu"")"),"ચરાઈ")</f>
        <v>ચરાઈ</v>
      </c>
      <c r="G34" s="32" t="str">
        <f>IFERROR(__xludf.DUMMYFUNCTION("GOOGLETRANSLATE(C34,""en"",""or"")"),"ଚରିବା")</f>
        <v>ଚରିବା</v>
      </c>
    </row>
    <row r="35" ht="12.75" customHeight="1">
      <c r="A35" s="16" t="s">
        <v>131</v>
      </c>
      <c r="B35" s="33" t="s">
        <v>135</v>
      </c>
      <c r="C35" s="33" t="s">
        <v>135</v>
      </c>
      <c r="D35" s="5" t="str">
        <f>IFERROR(__xludf.DUMMYFUNCTION("GOOGLETRANSLATE(C35, ""en"", ""hi"")"),"रियासत")</f>
        <v>रियासत</v>
      </c>
      <c r="E35" s="11" t="str">
        <f>IFERROR(__xludf.DUMMYFUNCTION("GOOGLETRANSLATE(C35, ""en"", ""kn"")"),"ಹೋಮ್‌ಸ್ಟೆಡ್")</f>
        <v>ಹೋಮ್‌ಸ್ಟೆಡ್</v>
      </c>
      <c r="F35" s="11" t="str">
        <f>IFERROR(__xludf.DUMMYFUNCTION("GOOGLETRANSLATE(C35, ""en"", ""gu"")"),"હોમસ્ટેડ")</f>
        <v>હોમસ્ટેડ</v>
      </c>
      <c r="G35" s="32" t="str">
        <f>IFERROR(__xludf.DUMMYFUNCTION("GOOGLETRANSLATE(C35,""en"",""or"")"),"ହୋମଷ୍ଟେଡ୍")</f>
        <v>ହୋମଷ୍ଟେଡ୍</v>
      </c>
    </row>
    <row r="36" ht="12.75" customHeight="1">
      <c r="A36" s="5"/>
      <c r="D36" s="5"/>
      <c r="E36" s="11"/>
      <c r="F36" s="11"/>
    </row>
    <row r="37" ht="12.75" customHeight="1">
      <c r="A37" s="5" t="s">
        <v>63</v>
      </c>
      <c r="B37" s="33" t="s">
        <v>136</v>
      </c>
      <c r="C37" s="33" t="s">
        <v>136</v>
      </c>
      <c r="D37" s="5" t="str">
        <f>IFERROR(__xludf.DUMMYFUNCTION("GOOGLETRANSLATE(C37, ""en"", ""hi"")"),"रेतीले")</f>
        <v>रेतीले</v>
      </c>
      <c r="E37" s="11" t="str">
        <f>IFERROR(__xludf.DUMMYFUNCTION("GOOGLETRANSLATE(C37, ""en"", ""kn"")"),"ಸ್ಯಾಂಡಿ")</f>
        <v>ಸ್ಯಾಂಡಿ</v>
      </c>
      <c r="F37" s="11" t="str">
        <f>IFERROR(__xludf.DUMMYFUNCTION("GOOGLETRANSLATE(C37, ""en"", ""gu"")"),"રેતાળ")</f>
        <v>રેતાળ</v>
      </c>
      <c r="G37" s="32" t="str">
        <f>IFERROR(__xludf.DUMMYFUNCTION("GOOGLETRANSLATE(C37,""en"",""or"")"),"ବାଲିଆ")</f>
        <v>ବାଲିଆ</v>
      </c>
    </row>
    <row r="38" ht="12.75" customHeight="1">
      <c r="A38" s="5" t="s">
        <v>63</v>
      </c>
      <c r="B38" s="33" t="s">
        <v>137</v>
      </c>
      <c r="C38" s="33" t="s">
        <v>137</v>
      </c>
      <c r="D38" s="5" t="str">
        <f>IFERROR(__xludf.DUMMYFUNCTION("GOOGLETRANSLATE(C38, ""en"", ""hi"")"),"चिकनी बलुई मिट्टी")</f>
        <v>चिकनी बलुई मिट्टी</v>
      </c>
      <c r="E38" s="11" t="str">
        <f>IFERROR(__xludf.DUMMYFUNCTION("GOOGLETRANSLATE(C38, ""en"", ""kn"")"),"ಲೋಮ್")</f>
        <v>ಲೋಮ್</v>
      </c>
      <c r="F38" s="11" t="str">
        <f>IFERROR(__xludf.DUMMYFUNCTION("GOOGLETRANSLATE(C38, ""en"", ""gu"")"),"લોમ")</f>
        <v>લોમ</v>
      </c>
      <c r="G38" s="32" t="str">
        <f>IFERROR(__xludf.DUMMYFUNCTION("GOOGLETRANSLATE(C38,""en"",""or"")"),"ଲୁମ୍")</f>
        <v>ଲୁମ୍</v>
      </c>
    </row>
    <row r="39" ht="12.75" customHeight="1">
      <c r="A39" s="5" t="s">
        <v>63</v>
      </c>
      <c r="B39" s="33" t="s">
        <v>138</v>
      </c>
      <c r="C39" s="33" t="s">
        <v>138</v>
      </c>
      <c r="D39" s="5" t="str">
        <f>IFERROR(__xludf.DUMMYFUNCTION("GOOGLETRANSLATE(C39, ""en"", ""hi"")"),"लाल")</f>
        <v>लाल</v>
      </c>
      <c r="E39" s="11" t="str">
        <f>IFERROR(__xludf.DUMMYFUNCTION("GOOGLETRANSLATE(C39, ""en"", ""kn"")"),"ಕೆಂಪು")</f>
        <v>ಕೆಂಪು</v>
      </c>
      <c r="F39" s="11" t="str">
        <f>IFERROR(__xludf.DUMMYFUNCTION("GOOGLETRANSLATE(C39, ""en"", ""gu"")"),"લાલ")</f>
        <v>લાલ</v>
      </c>
      <c r="G39" s="32" t="str">
        <f>IFERROR(__xludf.DUMMYFUNCTION("GOOGLETRANSLATE(C39,""en"",""or"")"),"ଲାଲ")</f>
        <v>ଲାଲ</v>
      </c>
    </row>
    <row r="40" ht="12.75" customHeight="1">
      <c r="A40" s="5" t="s">
        <v>63</v>
      </c>
      <c r="B40" s="33" t="s">
        <v>139</v>
      </c>
      <c r="C40" s="33" t="s">
        <v>139</v>
      </c>
      <c r="D40" s="5" t="str">
        <f>IFERROR(__xludf.DUMMYFUNCTION("GOOGLETRANSLATE(C40, ""en"", ""hi"")"),"काला")</f>
        <v>काला</v>
      </c>
      <c r="E40" s="11" t="str">
        <f>IFERROR(__xludf.DUMMYFUNCTION("GOOGLETRANSLATE(C40, ""en"", ""kn"")"),"ಕಪ್ಪು")</f>
        <v>ಕಪ್ಪು</v>
      </c>
      <c r="F40" s="11" t="str">
        <f>IFERROR(__xludf.DUMMYFUNCTION("GOOGLETRANSLATE(C40, ""en"", ""gu"")"),"કાળો")</f>
        <v>કાળો</v>
      </c>
      <c r="G40" s="32" t="str">
        <f>IFERROR(__xludf.DUMMYFUNCTION("GOOGLETRANSLATE(C40,""en"",""or"")"),"କଳା")</f>
        <v>କଳା</v>
      </c>
    </row>
    <row r="41" ht="12.75" customHeight="1">
      <c r="A41" s="5" t="s">
        <v>63</v>
      </c>
      <c r="B41" s="33" t="s">
        <v>140</v>
      </c>
      <c r="C41" s="33" t="s">
        <v>140</v>
      </c>
      <c r="D41" s="5" t="str">
        <f>IFERROR(__xludf.DUMMYFUNCTION("GOOGLETRANSLATE(C41, ""en"", ""hi"")"),"चट्टान का")</f>
        <v>चट्टान का</v>
      </c>
      <c r="E41" s="11" t="str">
        <f>IFERROR(__xludf.DUMMYFUNCTION("GOOGLETRANSLATE(C41, ""en"", ""kn"")"),"ರಾಕಿ")</f>
        <v>ರಾಕಿ</v>
      </c>
      <c r="F41" s="11" t="str">
        <f>IFERROR(__xludf.DUMMYFUNCTION("GOOGLETRANSLATE(C41, ""en"", ""gu"")"),"રોકી")</f>
        <v>રોકી</v>
      </c>
      <c r="G41" s="32" t="str">
        <f>IFERROR(__xludf.DUMMYFUNCTION("GOOGLETRANSLATE(C41,""en"",""or"")"),"ରକ୍କା")</f>
        <v>ରକ୍କା</v>
      </c>
    </row>
    <row r="42" ht="12.75" customHeight="1">
      <c r="A42" s="5"/>
      <c r="D42" s="5"/>
      <c r="E42" s="11"/>
      <c r="F42" s="11"/>
    </row>
    <row r="43" ht="12.75" customHeight="1">
      <c r="A43" s="5" t="s">
        <v>66</v>
      </c>
      <c r="B43" s="33" t="s">
        <v>141</v>
      </c>
      <c r="C43" s="33" t="s">
        <v>141</v>
      </c>
      <c r="D43" s="5" t="str">
        <f>IFERROR(__xludf.DUMMYFUNCTION("GOOGLETRANSLATE(C43, ""en"", ""hi"")"),"मौसमी")</f>
        <v>मौसमी</v>
      </c>
      <c r="E43" s="11" t="str">
        <f>IFERROR(__xludf.DUMMYFUNCTION("GOOGLETRANSLATE(C43, ""en"", ""kn"")"),"ಕಾಲೋಚಿತ")</f>
        <v>ಕಾಲೋಚಿತ</v>
      </c>
      <c r="F43" s="11" t="str">
        <f>IFERROR(__xludf.DUMMYFUNCTION("GOOGLETRANSLATE(C43, ""en"", ""gu"")"),"મોસમી")</f>
        <v>મોસમી</v>
      </c>
      <c r="G43" s="32" t="str">
        <f>IFERROR(__xludf.DUMMYFUNCTION("GOOGLETRANSLATE(C43,""en"",""or"")"),"ଋତୁକାଳୀନ")</f>
        <v>ଋତୁକାଳୀନ</v>
      </c>
    </row>
    <row r="44" ht="12.75" customHeight="1">
      <c r="A44" s="5" t="s">
        <v>66</v>
      </c>
      <c r="B44" s="33" t="s">
        <v>142</v>
      </c>
      <c r="C44" s="33" t="s">
        <v>142</v>
      </c>
      <c r="D44" s="5" t="str">
        <f>IFERROR(__xludf.DUMMYFUNCTION("GOOGLETRANSLATE(C44, ""en"", ""hi"")"),"12 महीने")</f>
        <v>12 महीने</v>
      </c>
      <c r="E44" s="11" t="str">
        <f>IFERROR(__xludf.DUMMYFUNCTION("GOOGLETRANSLATE(C44, ""en"", ""kn"")"),"12 ತಿಂಗಳುಗಳು")</f>
        <v>12 ತಿಂಗಳುಗಳು</v>
      </c>
      <c r="F44" s="11" t="str">
        <f>IFERROR(__xludf.DUMMYFUNCTION("GOOGLETRANSLATE(C44, ""en"", ""gu"")"),"૧૨ મહિના")</f>
        <v>૧૨ મહિના</v>
      </c>
      <c r="G44" s="32" t="str">
        <f>IFERROR(__xludf.DUMMYFUNCTION("GOOGLETRANSLATE(C44,""en"",""or"")"),"12 ମାସ")</f>
        <v>12 ମାସ</v>
      </c>
    </row>
    <row r="45" ht="12.75" customHeight="1">
      <c r="A45" s="5" t="s">
        <v>66</v>
      </c>
      <c r="B45" s="33" t="s">
        <v>143</v>
      </c>
      <c r="C45" s="33" t="s">
        <v>143</v>
      </c>
      <c r="D45" s="5" t="str">
        <f>IFERROR(__xludf.DUMMYFUNCTION("GOOGLETRANSLATE(C45, ""en"", ""hi"")"),"पानी उपलब्ध नहीं है")</f>
        <v>पानी उपलब्ध नहीं है</v>
      </c>
      <c r="E45" s="11" t="str">
        <f>IFERROR(__xludf.DUMMYFUNCTION("GOOGLETRANSLATE(C45, ""en"", ""kn"")"),"ನೀರು ಲಭ್ಯವಿಲ್ಲ.")</f>
        <v>ನೀರು ಲಭ್ಯವಿಲ್ಲ.</v>
      </c>
      <c r="F45" s="11" t="str">
        <f>IFERROR(__xludf.DUMMYFUNCTION("GOOGLETRANSLATE(C45, ""en"", ""gu"")"),"પાણી ઉપલબ્ધ નથી")</f>
        <v>પાણી ઉપલબ્ધ નથી</v>
      </c>
      <c r="G45" s="32" t="str">
        <f>IFERROR(__xludf.DUMMYFUNCTION("GOOGLETRANSLATE(C45,""en"",""or"")"),"ପାଣି ଉପଲବ୍ଧ ନାହିଁ")</f>
        <v>ପାଣି ଉପଲବ୍ଧ ନାହିଁ</v>
      </c>
    </row>
    <row r="46" ht="12.75" customHeight="1">
      <c r="A46" s="5"/>
      <c r="D46" s="5"/>
      <c r="E46" s="11"/>
      <c r="F46" s="11"/>
    </row>
    <row r="47" ht="12.75" customHeight="1">
      <c r="A47" s="5" t="s">
        <v>69</v>
      </c>
      <c r="B47" s="33" t="s">
        <v>144</v>
      </c>
      <c r="C47" s="33" t="s">
        <v>145</v>
      </c>
      <c r="D47" s="5" t="str">
        <f>IFERROR(__xludf.DUMMYFUNCTION("GOOGLETRANSLATE(C47, ""en"", ""hi"")"),"सीमा वृक्षारोपण")</f>
        <v>सीमा वृक्षारोपण</v>
      </c>
      <c r="E47" s="11" t="str">
        <f>IFERROR(__xludf.DUMMYFUNCTION("GOOGLETRANSLATE(C47, ""en"", ""kn"")"),"ಗಡಿ ತೋಟ")</f>
        <v>ಗಡಿ ತೋಟ</v>
      </c>
      <c r="F47" s="11" t="str">
        <f>IFERROR(__xludf.DUMMYFUNCTION("GOOGLETRANSLATE(C47, ""en"", ""gu"")"),"સીમા વાવેતર")</f>
        <v>સીમા વાવેતર</v>
      </c>
      <c r="G47" s="32" t="str">
        <f>IFERROR(__xludf.DUMMYFUNCTION("GOOGLETRANSLATE(C47,""en"",""or"")"),"ସୀମାରେଖା ବୃକ୍ଷରୋପଣ")</f>
        <v>ସୀମାରେଖା ବୃକ୍ଷରୋପଣ</v>
      </c>
    </row>
    <row r="48" ht="12.75" customHeight="1">
      <c r="A48" s="5" t="s">
        <v>69</v>
      </c>
      <c r="B48" s="33" t="s">
        <v>146</v>
      </c>
      <c r="C48" s="33" t="s">
        <v>147</v>
      </c>
      <c r="D48" s="5" t="str">
        <f>IFERROR(__xludf.DUMMYFUNCTION("GOOGLETRANSLATE(C48, ""en"", ""hi"")"),"बाग विकास")</f>
        <v>बाग विकास</v>
      </c>
      <c r="E48" s="11" t="str">
        <f>IFERROR(__xludf.DUMMYFUNCTION("GOOGLETRANSLATE(C48, ""en"", ""kn"")"),"ಹಣ್ಣಿನ ತೋಟ ಅಭಿವೃದ್ಧಿ")</f>
        <v>ಹಣ್ಣಿನ ತೋಟ ಅಭಿವೃದ್ಧಿ</v>
      </c>
      <c r="F48" s="11" t="str">
        <f>IFERROR(__xludf.DUMMYFUNCTION("GOOGLETRANSLATE(C48, ""en"", ""gu"")"),"બગીચાનો વિકાસ")</f>
        <v>બગીચાનો વિકાસ</v>
      </c>
      <c r="G48" s="32" t="str">
        <f>IFERROR(__xludf.DUMMYFUNCTION("GOOGLETRANSLATE(C48,""en"",""or"")"),"ଉଦ୍ୟାନ ଉନ୍ନୟନ")</f>
        <v>ଉଦ୍ୟାନ ଉନ୍ନୟନ</v>
      </c>
    </row>
    <row r="49" ht="12.75" customHeight="1">
      <c r="A49" s="5" t="s">
        <v>69</v>
      </c>
      <c r="B49" s="33" t="s">
        <v>148</v>
      </c>
      <c r="C49" s="33" t="s">
        <v>149</v>
      </c>
      <c r="D49" s="5" t="str">
        <f>IFERROR(__xludf.DUMMYFUNCTION("GOOGLETRANSLATE(C49, ""en"", ""hi"")"),"ब्लॉक वृक्षारोपण")</f>
        <v>ब्लॉक वृक्षारोपण</v>
      </c>
      <c r="E49" s="11" t="str">
        <f>IFERROR(__xludf.DUMMYFUNCTION("GOOGLETRANSLATE(C49, ""en"", ""kn"")"),"ಬ್ಲಾಕ್ ಪ್ಲಾಂಟೇಶನ್")</f>
        <v>ಬ್ಲಾಕ್ ಪ್ಲಾಂಟೇಶನ್</v>
      </c>
      <c r="F49" s="11" t="str">
        <f>IFERROR(__xludf.DUMMYFUNCTION("GOOGLETRANSLATE(C49, ""en"", ""gu"")"),"બ્લોક પ્લાન્ટેશન")</f>
        <v>બ્લોક પ્લાન્ટેશન</v>
      </c>
      <c r="G49" s="32" t="str">
        <f>IFERROR(__xludf.DUMMYFUNCTION("GOOGLETRANSLATE(C49,""en"",""or"")"),"ବ୍ଲକ ପ୍ଲାଣ୍ଟେସନ୍")</f>
        <v>ବ୍ଲକ ପ୍ଲାଣ୍ଟେସନ୍</v>
      </c>
    </row>
    <row r="50" ht="12.75" customHeight="1">
      <c r="A50" s="5" t="s">
        <v>69</v>
      </c>
      <c r="B50" s="33" t="s">
        <v>150</v>
      </c>
      <c r="C50" s="33" t="s">
        <v>151</v>
      </c>
      <c r="D50" s="5" t="str">
        <f>IFERROR(__xludf.DUMMYFUNCTION("GOOGLETRANSLATE(C50, ""en"", ""hi"")"),"सिल्वी-पशुपालन")</f>
        <v>सिल्वी-पशुपालन</v>
      </c>
      <c r="E50" s="11" t="str">
        <f>IFERROR(__xludf.DUMMYFUNCTION("GOOGLETRANSLATE(C50, ""en"", ""kn"")"),"ಸಿಲ್ವಿ-ಹುಲ್ಲುಗಾವಲು")</f>
        <v>ಸಿಲ್ವಿ-ಹುಲ್ಲುಗಾವಲು</v>
      </c>
      <c r="F50" s="11" t="str">
        <f>IFERROR(__xludf.DUMMYFUNCTION("GOOGLETRANSLATE(C50, ""en"", ""gu"")"),"સિલ્વી-ચરાણ")</f>
        <v>સિલ્વી-ચરાણ</v>
      </c>
      <c r="G50" s="32" t="str">
        <f>IFERROR(__xludf.DUMMYFUNCTION("GOOGLETRANSLATE(C50,""en"",""or"")"),"ସିଲଭି-ଚାରଣ")</f>
        <v>ସିଲଭି-ଚାରଣ</v>
      </c>
    </row>
    <row r="51" ht="12.75" customHeight="1">
      <c r="A51" s="5" t="s">
        <v>69</v>
      </c>
      <c r="B51" s="33" t="s">
        <v>152</v>
      </c>
      <c r="C51" s="33" t="s">
        <v>153</v>
      </c>
      <c r="D51" s="5" t="str">
        <f>IFERROR(__xludf.DUMMYFUNCTION("GOOGLETRANSLATE(C51, ""en"", ""hi"")"),"होमस्टेड प्लांटेशन")</f>
        <v>होमस्टेड प्लांटेशन</v>
      </c>
      <c r="E51" s="11" t="str">
        <f>IFERROR(__xludf.DUMMYFUNCTION("GOOGLETRANSLATE(C51, ""en"", ""kn"")"),"ಹೋಮ್‌ಸ್ಟೆಡ್ ತೋಟ")</f>
        <v>ಹೋಮ್‌ಸ್ಟೆಡ್ ತೋಟ</v>
      </c>
      <c r="F51" s="11" t="str">
        <f>IFERROR(__xludf.DUMMYFUNCTION("GOOGLETRANSLATE(C51, ""en"", ""gu"")"),"ઘરવખરીનું વાવેતર")</f>
        <v>ઘરવખરીનું વાવેતર</v>
      </c>
      <c r="G51" s="32" t="str">
        <f>IFERROR(__xludf.DUMMYFUNCTION("GOOGLETRANSLATE(C51,""en"",""or"")"),"ଘରବାଡ଼ି ରୋପଣ")</f>
        <v>ଘରବାଡ଼ି ରୋପଣ</v>
      </c>
    </row>
    <row r="52" ht="12.75" customHeight="1">
      <c r="A52" s="5"/>
      <c r="B52" s="15"/>
      <c r="C52" s="15"/>
      <c r="D52" s="5"/>
      <c r="E52" s="11"/>
      <c r="F52" s="11"/>
    </row>
    <row r="53" ht="12.75" customHeight="1">
      <c r="A53" s="5" t="s">
        <v>39</v>
      </c>
      <c r="B53" s="15" t="s">
        <v>154</v>
      </c>
      <c r="C53" s="15" t="s">
        <v>155</v>
      </c>
      <c r="D53" s="5" t="str">
        <f>IFERROR(__xludf.DUMMYFUNCTION("GOOGLETRANSLATE(C53, ""en"", ""hi"")"),"पुरुष")</f>
        <v>पुरुष</v>
      </c>
      <c r="E53" s="11" t="str">
        <f>IFERROR(__xludf.DUMMYFUNCTION("GOOGLETRANSLATE(C53, ""en"", ""kn"")"),"ಗಂಡು")</f>
        <v>ಗಂಡು</v>
      </c>
      <c r="F53" s="11" t="str">
        <f>IFERROR(__xludf.DUMMYFUNCTION("GOOGLETRANSLATE(C53, ""en"", ""gu"")"),"પુરુષ")</f>
        <v>પુરુષ</v>
      </c>
      <c r="G53" s="32" t="str">
        <f>IFERROR(__xludf.DUMMYFUNCTION("GOOGLETRANSLATE(C53,""en"",""or"")"),"ପୁରୁଷ")</f>
        <v>ପୁରୁଷ</v>
      </c>
    </row>
    <row r="54" ht="12.75" customHeight="1">
      <c r="A54" s="16" t="s">
        <v>39</v>
      </c>
      <c r="B54" s="16" t="s">
        <v>156</v>
      </c>
      <c r="C54" s="16" t="s">
        <v>157</v>
      </c>
      <c r="D54" s="5" t="str">
        <f>IFERROR(__xludf.DUMMYFUNCTION("GOOGLETRANSLATE(C54, ""en"", ""hi"")"),"महिला")</f>
        <v>महिला</v>
      </c>
      <c r="E54" s="11" t="str">
        <f>IFERROR(__xludf.DUMMYFUNCTION("GOOGLETRANSLATE(C54, ""en"", ""kn"")"),"ಹೆಣ್ಣು")</f>
        <v>ಹೆಣ್ಣು</v>
      </c>
      <c r="F54" s="11" t="str">
        <f>IFERROR(__xludf.DUMMYFUNCTION("GOOGLETRANSLATE(C54, ""en"", ""gu"")"),"સ્ત્રી")</f>
        <v>સ્ત્રી</v>
      </c>
      <c r="G54" s="32" t="str">
        <f>IFERROR(__xludf.DUMMYFUNCTION("GOOGLETRANSLATE(C54,""en"",""or"")"),"ମହିଳା")</f>
        <v>ମହିଳା</v>
      </c>
    </row>
    <row r="55" ht="12.75" customHeight="1">
      <c r="A55" s="5"/>
      <c r="B55" s="15"/>
      <c r="C55" s="15"/>
      <c r="D55" s="5"/>
      <c r="E55" s="11"/>
      <c r="F55" s="11"/>
    </row>
    <row r="56" ht="12.75" customHeight="1">
      <c r="A56" s="34" t="s">
        <v>72</v>
      </c>
      <c r="B56" s="34" t="s">
        <v>158</v>
      </c>
      <c r="C56" s="18" t="s">
        <v>159</v>
      </c>
      <c r="D56" s="5" t="str">
        <f>IFERROR(__xludf.DUMMYFUNCTION("GOOGLETRANSLATE(C56, ""en"", ""hi"")")," वन मंडल")</f>
        <v> वन मंडल</v>
      </c>
      <c r="E56" s="11" t="str">
        <f>IFERROR(__xludf.DUMMYFUNCTION("GOOGLETRANSLATE(C56, ""en"", ""kn"")"),"ಅರಣ್ಯ ಇಲಾಖೆ")</f>
        <v>ಅರಣ್ಯ ಇಲಾಖೆ</v>
      </c>
      <c r="F56" s="11" t="str">
        <f>IFERROR(__xludf.DUMMYFUNCTION("GOOGLETRANSLATE(C56, ""en"", ""gu"")"),"વન વિભાગ")</f>
        <v>વન વિભાગ</v>
      </c>
      <c r="G56" s="32" t="str">
        <f>IFERROR(__xludf.DUMMYFUNCTION("GOOGLETRANSLATE(C56,""en"",""or"")"),"ବନ ବିଭାଗ")</f>
        <v>ବନ ବିଭାଗ</v>
      </c>
    </row>
    <row r="57" ht="12.75" customHeight="1">
      <c r="A57" s="34" t="s">
        <v>72</v>
      </c>
      <c r="B57" s="34" t="s">
        <v>160</v>
      </c>
      <c r="C57" s="18" t="s">
        <v>161</v>
      </c>
      <c r="D57" s="5" t="str">
        <f>IFERROR(__xludf.DUMMYFUNCTION("GOOGLETRANSLATE(C57, ""en"", ""hi"")"),"कृषि विभाग")</f>
        <v>कृषि विभाग</v>
      </c>
      <c r="E57" s="11" t="str">
        <f>IFERROR(__xludf.DUMMYFUNCTION("GOOGLETRANSLATE(C57, ""en"", ""kn"")"),"ಕೃಷಿ ಇಲಾಖೆ")</f>
        <v>ಕೃಷಿ ಇಲಾಖೆ</v>
      </c>
      <c r="F57" s="11" t="str">
        <f>IFERROR(__xludf.DUMMYFUNCTION("GOOGLETRANSLATE(C57, ""en"", ""gu"")"),"કૃષિ વિભાગ")</f>
        <v>કૃષિ વિભાગ</v>
      </c>
      <c r="G57" s="32" t="str">
        <f>IFERROR(__xludf.DUMMYFUNCTION("GOOGLETRANSLATE(C57,""en"",""or"")"),"କୃଷି ବିଭାଗ")</f>
        <v>କୃଷି ବିଭାଗ</v>
      </c>
    </row>
    <row r="58" ht="12.75" customHeight="1">
      <c r="A58" s="34" t="s">
        <v>72</v>
      </c>
      <c r="B58" s="34" t="s">
        <v>162</v>
      </c>
      <c r="C58" s="18" t="s">
        <v>163</v>
      </c>
      <c r="D58" s="5" t="str">
        <f>IFERROR(__xludf.DUMMYFUNCTION("GOOGLETRANSLATE(C58, ""en"", ""hi"")"),"बागवानी विभाग")</f>
        <v>बागवानी विभाग</v>
      </c>
      <c r="E58" s="11" t="str">
        <f>IFERROR(__xludf.DUMMYFUNCTION("GOOGLETRANSLATE(C58, ""en"", ""kn"")"),"ತೋಟಗಾರಿಕೆ ಇಲಾಖೆ")</f>
        <v>ತೋಟಗಾರಿಕೆ ಇಲಾಖೆ</v>
      </c>
      <c r="F58" s="11" t="str">
        <f>IFERROR(__xludf.DUMMYFUNCTION("GOOGLETRANSLATE(C58, ""en"", ""gu"")"),"બાગાયત વિભાગ")</f>
        <v>બાગાયત વિભાગ</v>
      </c>
      <c r="G58" s="32" t="str">
        <f>IFERROR(__xludf.DUMMYFUNCTION("GOOGLETRANSLATE(C58,""en"",""or"")"),"ଉଦ୍ୟାନ ବିଭାଗ")</f>
        <v>ଉଦ୍ୟାନ ବିଭାଗ</v>
      </c>
    </row>
    <row r="59" ht="12.75" customHeight="1">
      <c r="A59" s="34" t="s">
        <v>72</v>
      </c>
      <c r="B59" s="34" t="s">
        <v>164</v>
      </c>
      <c r="C59" s="18" t="s">
        <v>164</v>
      </c>
      <c r="D59" s="5" t="str">
        <f>IFERROR(__xludf.DUMMYFUNCTION("GOOGLETRANSLATE(C59, ""en"", ""hi"")"),"एमजीएनआरईजीए")</f>
        <v>एमजीएनआरईजीए</v>
      </c>
      <c r="E59" s="11" t="str">
        <f>IFERROR(__xludf.DUMMYFUNCTION("GOOGLETRANSLATE(C59, ""en"", ""kn"")"),"ಎಂಜಿಎನ್‌ಆರ್‌ಇಜಿಎ")</f>
        <v>ಎಂಜಿಎನ್‌ಆರ್‌ಇಜಿಎ</v>
      </c>
      <c r="F59" s="11" t="str">
        <f>IFERROR(__xludf.DUMMYFUNCTION("GOOGLETRANSLATE(C59, ""en"", ""gu"")"),"મનરેગા")</f>
        <v>મનરેગા</v>
      </c>
      <c r="G59" s="32" t="str">
        <f>IFERROR(__xludf.DUMMYFUNCTION("GOOGLETRANSLATE(C59,""en"",""or"")"),"ମନରେଗା")</f>
        <v>ମନରେଗା</v>
      </c>
    </row>
    <row r="60" ht="12.75" customHeight="1">
      <c r="A60" s="34" t="s">
        <v>72</v>
      </c>
      <c r="B60" s="34" t="s">
        <v>165</v>
      </c>
      <c r="C60" s="18" t="s">
        <v>166</v>
      </c>
      <c r="D60" s="5" t="str">
        <f>IFERROR(__xludf.DUMMYFUNCTION("GOOGLETRANSLATE(C60, ""en"", ""hi"")"),"जनजातीय कल्याण विभाग")</f>
        <v>जनजातीय कल्याण विभाग</v>
      </c>
      <c r="E60" s="11" t="str">
        <f>IFERROR(__xludf.DUMMYFUNCTION("GOOGLETRANSLATE(C60, ""en"", ""kn"")"),"ಬುಡಕಟ್ಟು ಕಲ್ಯಾಣ ಇಲಾಖೆ")</f>
        <v>ಬುಡಕಟ್ಟು ಕಲ್ಯಾಣ ಇಲಾಖೆ</v>
      </c>
      <c r="F60" s="11" t="str">
        <f>IFERROR(__xludf.DUMMYFUNCTION("GOOGLETRANSLATE(C60, ""en"", ""gu"")"),"આદિજાતિ કલ્યાણ વિભાગ")</f>
        <v>આદિજાતિ કલ્યાણ વિભાગ</v>
      </c>
      <c r="G60" s="32" t="str">
        <f>IFERROR(__xludf.DUMMYFUNCTION("GOOGLETRANSLATE(C60,""en"",""or"")"),"ଆଦିବାସୀ କଲ୍ୟାଣ ବିଭାଗ")</f>
        <v>ଆଦିବାସୀ କଲ୍ୟାଣ ବିଭାଗ</v>
      </c>
    </row>
    <row r="61" ht="12.75" customHeight="1">
      <c r="A61" s="34" t="s">
        <v>72</v>
      </c>
      <c r="B61" s="34" t="s">
        <v>167</v>
      </c>
      <c r="C61" s="18" t="s">
        <v>168</v>
      </c>
      <c r="D61" s="5" t="str">
        <f>IFERROR(__xludf.DUMMYFUNCTION("GOOGLETRANSLATE(C61, ""en"", ""hi"")"),"पंचायती राज विभाग")</f>
        <v>पंचायती राज विभाग</v>
      </c>
      <c r="E61" s="11" t="str">
        <f>IFERROR(__xludf.DUMMYFUNCTION("GOOGLETRANSLATE(C61, ""en"", ""kn"")"),"ಪಂಚಾಯತ್ ರಾಜ್ ಇಲಾಖೆ")</f>
        <v>ಪಂಚಾಯತ್ ರಾಜ್ ಇಲಾಖೆ</v>
      </c>
      <c r="F61" s="11" t="str">
        <f>IFERROR(__xludf.DUMMYFUNCTION("GOOGLETRANSLATE(C61, ""en"", ""gu"")"),"પંચાયતી રાજ વિભાગ")</f>
        <v>પંચાયતી રાજ વિભાગ</v>
      </c>
      <c r="G61" s="32" t="str">
        <f>IFERROR(__xludf.DUMMYFUNCTION("GOOGLETRANSLATE(C61,""en"",""or"")"),"ପଞ୍ଚାୟତିରାଜ ବିଭାଗ")</f>
        <v>ପଞ୍ଚାୟତିରାଜ ବିଭାଗ</v>
      </c>
    </row>
    <row r="62" ht="12.75" customHeight="1">
      <c r="A62" s="34" t="s">
        <v>72</v>
      </c>
      <c r="B62" s="34" t="s">
        <v>169</v>
      </c>
      <c r="C62" s="18" t="s">
        <v>169</v>
      </c>
      <c r="D62" s="5" t="str">
        <f>IFERROR(__xludf.DUMMYFUNCTION("GOOGLETRANSLATE(C62, ""en"", ""hi"")"),"एनआरएलएम")</f>
        <v>एनआरएलएम</v>
      </c>
      <c r="E62" s="11" t="str">
        <f>IFERROR(__xludf.DUMMYFUNCTION("GOOGLETRANSLATE(C62, ""en"", ""kn"")"),"ಎನ್ಆರ್ಎಲ್ಎಂ")</f>
        <v>ಎನ್ಆರ್ಎಲ್ಎಂ</v>
      </c>
      <c r="F62" s="11" t="str">
        <f>IFERROR(__xludf.DUMMYFUNCTION("GOOGLETRANSLATE(C62, ""en"", ""gu"")"),"એનઆરએલએમ")</f>
        <v>એનઆરએલએમ</v>
      </c>
      <c r="G62" s="32" t="str">
        <f>IFERROR(__xludf.DUMMYFUNCTION("GOOGLETRANSLATE(C62,""en"",""or"")"),"ଏନଆରଏଲଏମ")</f>
        <v>ଏନଆରଏଲଏମ</v>
      </c>
    </row>
    <row r="63" ht="12.75" customHeight="1">
      <c r="D63" s="5"/>
      <c r="E63" s="11"/>
      <c r="F63" s="11"/>
    </row>
    <row r="64" ht="12.75" customHeight="1">
      <c r="A64" s="5"/>
      <c r="B64" s="15"/>
      <c r="C64" s="15"/>
      <c r="D64" s="15"/>
      <c r="E64" s="23"/>
      <c r="F64" s="23"/>
    </row>
    <row r="65" ht="12.75" customHeight="1">
      <c r="A65" s="5"/>
      <c r="B65" s="15"/>
      <c r="C65" s="15"/>
      <c r="D65" s="15"/>
      <c r="E65" s="23"/>
      <c r="F65" s="23"/>
    </row>
    <row r="66" ht="12.75" customHeight="1">
      <c r="A66" s="5"/>
      <c r="B66" s="15"/>
      <c r="C66" s="15"/>
      <c r="D66" s="15"/>
      <c r="E66" s="23"/>
      <c r="F66" s="23"/>
    </row>
    <row r="67" ht="12.75" customHeight="1">
      <c r="A67" s="5"/>
      <c r="B67" s="15"/>
      <c r="C67" s="15"/>
      <c r="D67" s="15"/>
      <c r="E67" s="23"/>
      <c r="F67" s="23"/>
    </row>
    <row r="68" ht="12.75" customHeight="1">
      <c r="A68" s="5"/>
      <c r="B68" s="15"/>
      <c r="C68" s="15"/>
      <c r="D68" s="15"/>
      <c r="E68" s="23"/>
      <c r="F68" s="23"/>
    </row>
    <row r="69" ht="12.75" customHeight="1">
      <c r="D69" s="5"/>
      <c r="E69" s="11"/>
      <c r="F69" s="11"/>
    </row>
    <row r="70" ht="12.75" customHeight="1">
      <c r="A70" s="5"/>
      <c r="B70" s="15"/>
      <c r="C70" s="15"/>
      <c r="D70" s="15"/>
      <c r="E70" s="23"/>
      <c r="F70" s="23"/>
    </row>
    <row r="71" ht="12.75" customHeight="1">
      <c r="A71" s="5"/>
      <c r="B71" s="15"/>
      <c r="C71" s="15"/>
      <c r="D71" s="15"/>
      <c r="E71" s="23"/>
      <c r="F71" s="23"/>
    </row>
    <row r="72" ht="12.75" customHeight="1">
      <c r="A72" s="5"/>
      <c r="B72" s="15"/>
      <c r="C72" s="15"/>
      <c r="D72" s="15"/>
      <c r="E72" s="23"/>
      <c r="F72" s="23"/>
    </row>
    <row r="73" ht="12.75" customHeight="1">
      <c r="A73" s="5"/>
      <c r="B73" s="15"/>
      <c r="C73" s="15"/>
      <c r="D73" s="15"/>
      <c r="E73" s="23"/>
      <c r="F73" s="23"/>
    </row>
    <row r="74" ht="12.75" customHeight="1">
      <c r="D74" s="5"/>
      <c r="E74" s="11"/>
      <c r="F74" s="11"/>
    </row>
    <row r="75" ht="12.75" customHeight="1">
      <c r="D75" s="15"/>
      <c r="E75" s="23"/>
      <c r="F75" s="23"/>
    </row>
    <row r="76" ht="12.75" customHeight="1">
      <c r="D76" s="15"/>
      <c r="E76" s="23"/>
      <c r="F76" s="23"/>
    </row>
    <row r="77" ht="12.75" customHeight="1">
      <c r="D77" s="5"/>
      <c r="E77" s="11"/>
      <c r="F77" s="11"/>
    </row>
    <row r="78" ht="12.75" customHeight="1">
      <c r="A78" s="5"/>
      <c r="B78" s="35"/>
      <c r="C78" s="35"/>
      <c r="D78" s="15"/>
      <c r="E78" s="23"/>
      <c r="F78" s="23"/>
    </row>
    <row r="79" ht="12.75" customHeight="1">
      <c r="A79" s="5"/>
      <c r="B79" s="15"/>
      <c r="C79" s="15"/>
      <c r="D79" s="15"/>
      <c r="E79" s="23"/>
      <c r="F79" s="23"/>
    </row>
    <row r="80" ht="12.75" customHeight="1">
      <c r="A80" s="5"/>
      <c r="B80" s="15"/>
      <c r="C80" s="15"/>
      <c r="D80" s="15"/>
      <c r="E80" s="23"/>
      <c r="F80" s="23"/>
    </row>
    <row r="81" ht="12.75" customHeight="1">
      <c r="A81" s="5"/>
      <c r="B81" s="15"/>
      <c r="C81" s="15"/>
      <c r="D81" s="15"/>
      <c r="E81" s="23"/>
      <c r="F81" s="23"/>
    </row>
    <row r="82" ht="12.75" customHeight="1">
      <c r="A82" s="5"/>
      <c r="B82" s="15"/>
      <c r="C82" s="15"/>
      <c r="D82" s="15"/>
      <c r="E82" s="23"/>
      <c r="F82" s="23"/>
    </row>
    <row r="83" ht="12.75" customHeight="1">
      <c r="A83" s="5"/>
      <c r="B83" s="15"/>
      <c r="C83" s="15"/>
      <c r="D83" s="15"/>
      <c r="E83" s="23"/>
      <c r="F83" s="23"/>
    </row>
    <row r="84" ht="12.75" customHeight="1">
      <c r="A84" s="5"/>
      <c r="B84" s="15"/>
      <c r="C84" s="15"/>
      <c r="D84" s="15"/>
      <c r="E84" s="23"/>
      <c r="F84" s="23"/>
    </row>
    <row r="85" ht="12.75" customHeight="1">
      <c r="A85" s="5"/>
      <c r="B85" s="15"/>
      <c r="C85" s="15"/>
      <c r="D85" s="15"/>
      <c r="E85" s="23"/>
      <c r="F85" s="23"/>
    </row>
    <row r="86" ht="12.75" customHeight="1">
      <c r="A86" s="5"/>
      <c r="B86" s="15"/>
      <c r="C86" s="15"/>
      <c r="D86" s="15"/>
      <c r="E86" s="23"/>
      <c r="F86" s="23"/>
    </row>
    <row r="87" ht="12.75" customHeight="1">
      <c r="A87" s="5"/>
      <c r="B87" s="15"/>
      <c r="C87" s="15"/>
      <c r="D87" s="15"/>
      <c r="E87" s="23"/>
      <c r="F87" s="23"/>
    </row>
    <row r="88" ht="12.75" customHeight="1">
      <c r="D88" s="5"/>
      <c r="E88" s="11"/>
      <c r="F88" s="11"/>
    </row>
    <row r="89" ht="12.75" customHeight="1">
      <c r="D89" s="5"/>
      <c r="E89" s="11"/>
      <c r="F89" s="11"/>
    </row>
    <row r="90" ht="12.75" customHeight="1">
      <c r="D90" s="5"/>
      <c r="E90" s="11"/>
      <c r="F90" s="11"/>
    </row>
    <row r="91" ht="12.75" customHeight="1">
      <c r="D91" s="5"/>
      <c r="E91" s="11"/>
      <c r="F91" s="11"/>
    </row>
    <row r="92" ht="12.75" customHeight="1">
      <c r="D92" s="5"/>
      <c r="E92" s="11"/>
      <c r="F92" s="11"/>
    </row>
    <row r="93" ht="12.75" customHeight="1">
      <c r="D93" s="5"/>
      <c r="E93" s="11"/>
      <c r="F93" s="11"/>
    </row>
    <row r="94" ht="12.75" customHeight="1">
      <c r="D94" s="5"/>
      <c r="E94" s="11"/>
      <c r="F94" s="11"/>
    </row>
    <row r="95" ht="12.75" customHeight="1">
      <c r="D95" s="5"/>
      <c r="E95" s="11"/>
      <c r="F95" s="11"/>
    </row>
    <row r="96" ht="12.75" customHeight="1">
      <c r="D96" s="5"/>
      <c r="E96" s="11"/>
      <c r="F96" s="11"/>
    </row>
    <row r="97" ht="12.75" customHeight="1">
      <c r="D97" s="5"/>
      <c r="E97" s="11"/>
      <c r="F97" s="11"/>
    </row>
    <row r="98" ht="12.75" customHeight="1">
      <c r="D98" s="5"/>
      <c r="E98" s="11"/>
      <c r="F98" s="11"/>
    </row>
    <row r="99" ht="12.75" customHeight="1">
      <c r="D99" s="5"/>
      <c r="E99" s="11"/>
      <c r="F99" s="11"/>
    </row>
    <row r="100" ht="12.75" customHeight="1">
      <c r="D100" s="5"/>
      <c r="E100" s="11"/>
      <c r="F100" s="11"/>
    </row>
    <row r="101" ht="12.75" customHeight="1">
      <c r="D101" s="5"/>
      <c r="E101" s="11"/>
      <c r="F101" s="11"/>
    </row>
    <row r="102" ht="12.75" customHeight="1">
      <c r="D102" s="5"/>
      <c r="E102" s="11"/>
      <c r="F102" s="11"/>
    </row>
    <row r="103" ht="12.75" customHeight="1">
      <c r="D103" s="5"/>
      <c r="E103" s="11"/>
      <c r="F103" s="11"/>
    </row>
    <row r="104" ht="12.75" customHeight="1">
      <c r="D104" s="5"/>
      <c r="E104" s="11"/>
      <c r="F104" s="11"/>
    </row>
    <row r="105" ht="12.75" customHeight="1">
      <c r="D105" s="5"/>
      <c r="E105" s="11"/>
      <c r="F105" s="11"/>
    </row>
    <row r="106" ht="12.75" customHeight="1">
      <c r="D106" s="5"/>
      <c r="E106" s="11"/>
      <c r="F106" s="11"/>
    </row>
    <row r="107" ht="12.75" customHeight="1">
      <c r="D107" s="5"/>
      <c r="E107" s="11"/>
      <c r="F107" s="11"/>
    </row>
    <row r="108" ht="12.75" customHeight="1">
      <c r="D108" s="5"/>
      <c r="E108" s="11"/>
      <c r="F108" s="11"/>
    </row>
    <row r="109" ht="12.75" customHeight="1">
      <c r="D109" s="5"/>
      <c r="E109" s="11"/>
      <c r="F109" s="11"/>
    </row>
    <row r="110" ht="12.75" customHeight="1">
      <c r="D110" s="5"/>
      <c r="E110" s="11"/>
      <c r="F110" s="11"/>
    </row>
    <row r="111" ht="12.75" customHeight="1">
      <c r="D111" s="5"/>
      <c r="E111" s="11"/>
      <c r="F111" s="11"/>
    </row>
    <row r="112" ht="12.75" customHeight="1">
      <c r="D112" s="5"/>
      <c r="E112" s="11"/>
      <c r="F112" s="11"/>
    </row>
    <row r="113" ht="12.75" customHeight="1">
      <c r="D113" s="5"/>
      <c r="E113" s="11"/>
      <c r="F113" s="11"/>
    </row>
    <row r="114" ht="12.75" customHeight="1">
      <c r="D114" s="5"/>
      <c r="E114" s="11"/>
      <c r="F114" s="11"/>
    </row>
    <row r="115" ht="12.75" customHeight="1">
      <c r="D115" s="5"/>
      <c r="E115" s="11"/>
      <c r="F115" s="11"/>
    </row>
    <row r="116" ht="12.75" customHeight="1">
      <c r="D116" s="5"/>
      <c r="E116" s="11"/>
      <c r="F116" s="11"/>
    </row>
    <row r="117" ht="12.75" customHeight="1">
      <c r="D117" s="5"/>
      <c r="E117" s="11"/>
      <c r="F117" s="11"/>
    </row>
    <row r="118" ht="12.75" customHeight="1">
      <c r="D118" s="5"/>
      <c r="E118" s="11"/>
      <c r="F118" s="11"/>
    </row>
    <row r="119" ht="12.75" customHeight="1">
      <c r="D119" s="5"/>
      <c r="E119" s="11"/>
      <c r="F119" s="11"/>
    </row>
    <row r="120" ht="12.75" customHeight="1">
      <c r="D120" s="5"/>
      <c r="E120" s="11"/>
      <c r="F120" s="11"/>
    </row>
    <row r="121" ht="12.75" customHeight="1">
      <c r="D121" s="5"/>
      <c r="E121" s="11"/>
      <c r="F121" s="11"/>
    </row>
    <row r="122" ht="12.75" customHeight="1">
      <c r="D122" s="5"/>
      <c r="E122" s="11"/>
      <c r="F122" s="11"/>
    </row>
    <row r="123" ht="12.75" customHeight="1">
      <c r="D123" s="5"/>
      <c r="E123" s="11"/>
      <c r="F123" s="11"/>
    </row>
    <row r="124" ht="12.75" customHeight="1">
      <c r="D124" s="5"/>
      <c r="E124" s="11"/>
      <c r="F124" s="11"/>
    </row>
    <row r="125" ht="12.75" customHeight="1">
      <c r="D125" s="5"/>
      <c r="E125" s="11"/>
      <c r="F125" s="11"/>
    </row>
    <row r="126" ht="12.75" customHeight="1">
      <c r="D126" s="5"/>
      <c r="E126" s="11"/>
      <c r="F126" s="11"/>
    </row>
    <row r="127" ht="12.75" customHeight="1">
      <c r="D127" s="5"/>
      <c r="E127" s="11"/>
      <c r="F127" s="11"/>
    </row>
    <row r="128" ht="12.75" customHeight="1">
      <c r="D128" s="5"/>
      <c r="E128" s="11"/>
      <c r="F128" s="11"/>
    </row>
    <row r="129" ht="12.75" customHeight="1">
      <c r="D129" s="5"/>
      <c r="E129" s="11"/>
      <c r="F129" s="11"/>
    </row>
    <row r="130" ht="12.75" customHeight="1">
      <c r="D130" s="5"/>
      <c r="E130" s="11"/>
      <c r="F130" s="11"/>
    </row>
    <row r="131" ht="12.75" customHeight="1">
      <c r="D131" s="5"/>
      <c r="E131" s="11"/>
      <c r="F131" s="11"/>
    </row>
    <row r="132" ht="12.75" customHeight="1">
      <c r="D132" s="5"/>
      <c r="E132" s="11"/>
      <c r="F132" s="11"/>
    </row>
    <row r="133" ht="12.75" customHeight="1">
      <c r="D133" s="5"/>
      <c r="E133" s="11"/>
      <c r="F133" s="11"/>
    </row>
    <row r="134" ht="12.75" customHeight="1">
      <c r="D134" s="5"/>
      <c r="E134" s="11"/>
      <c r="F134" s="11"/>
    </row>
    <row r="135" ht="12.75" customHeight="1">
      <c r="D135" s="5"/>
      <c r="E135" s="11"/>
      <c r="F135" s="11"/>
    </row>
    <row r="136" ht="12.75" customHeight="1">
      <c r="D136" s="5"/>
      <c r="E136" s="11"/>
      <c r="F136" s="11"/>
    </row>
    <row r="137" ht="12.75" customHeight="1">
      <c r="D137" s="5"/>
      <c r="E137" s="11"/>
      <c r="F137" s="11"/>
    </row>
    <row r="138" ht="12.75" customHeight="1">
      <c r="D138" s="5"/>
      <c r="E138" s="11"/>
      <c r="F138" s="11"/>
    </row>
    <row r="139" ht="12.75" customHeight="1">
      <c r="D139" s="5"/>
      <c r="E139" s="11"/>
      <c r="F139" s="11"/>
    </row>
    <row r="140" ht="12.75" customHeight="1">
      <c r="D140" s="5"/>
      <c r="E140" s="11"/>
      <c r="F140" s="11"/>
    </row>
    <row r="141" ht="12.75" customHeight="1">
      <c r="D141" s="5"/>
      <c r="E141" s="11"/>
      <c r="F141" s="11"/>
    </row>
    <row r="142" ht="12.75" customHeight="1">
      <c r="D142" s="5"/>
      <c r="E142" s="11"/>
      <c r="F142" s="11"/>
    </row>
    <row r="143" ht="12.75" customHeight="1">
      <c r="D143" s="5"/>
      <c r="E143" s="11"/>
      <c r="F143" s="11"/>
    </row>
    <row r="144" ht="12.75" customHeight="1">
      <c r="D144" s="5"/>
      <c r="E144" s="11"/>
      <c r="F144" s="11"/>
    </row>
    <row r="145" ht="12.75" customHeight="1">
      <c r="D145" s="5"/>
      <c r="E145" s="11"/>
      <c r="F145" s="11"/>
    </row>
    <row r="146" ht="12.75" customHeight="1">
      <c r="D146" s="5"/>
      <c r="E146" s="11"/>
      <c r="F146" s="11"/>
    </row>
    <row r="147" ht="12.75" customHeight="1">
      <c r="D147" s="5"/>
      <c r="E147" s="11"/>
      <c r="F147" s="11"/>
    </row>
    <row r="148" ht="12.75" customHeight="1">
      <c r="D148" s="5"/>
      <c r="E148" s="11"/>
      <c r="F148" s="11"/>
    </row>
    <row r="149" ht="12.75" customHeight="1">
      <c r="D149" s="5"/>
      <c r="E149" s="11"/>
      <c r="F149" s="11"/>
    </row>
    <row r="150" ht="12.75" customHeight="1">
      <c r="D150" s="5"/>
      <c r="E150" s="11"/>
      <c r="F150" s="11"/>
    </row>
    <row r="151" ht="12.75" customHeight="1">
      <c r="D151" s="5"/>
      <c r="E151" s="11"/>
      <c r="F151" s="11"/>
    </row>
    <row r="152" ht="12.75" customHeight="1">
      <c r="D152" s="5"/>
      <c r="E152" s="11"/>
      <c r="F152" s="11"/>
    </row>
    <row r="153" ht="12.75" customHeight="1">
      <c r="D153" s="5"/>
      <c r="E153" s="11"/>
      <c r="F153" s="11"/>
    </row>
    <row r="154" ht="12.75" customHeight="1">
      <c r="D154" s="5"/>
      <c r="E154" s="11"/>
      <c r="F154" s="11"/>
    </row>
    <row r="155" ht="12.75" customHeight="1">
      <c r="D155" s="5"/>
      <c r="E155" s="11"/>
      <c r="F155" s="11"/>
    </row>
    <row r="156" ht="12.75" customHeight="1">
      <c r="D156" s="5"/>
      <c r="E156" s="11"/>
      <c r="F156" s="11"/>
    </row>
    <row r="157" ht="12.75" customHeight="1">
      <c r="D157" s="5"/>
      <c r="E157" s="11"/>
      <c r="F157" s="11"/>
    </row>
    <row r="158" ht="12.75" customHeight="1">
      <c r="D158" s="5"/>
      <c r="E158" s="11"/>
      <c r="F158" s="11"/>
    </row>
    <row r="159" ht="12.75" customHeight="1">
      <c r="D159" s="5"/>
      <c r="E159" s="11"/>
      <c r="F159" s="11"/>
    </row>
    <row r="160" ht="12.75" customHeight="1">
      <c r="D160" s="5"/>
      <c r="E160" s="11"/>
      <c r="F160" s="11"/>
    </row>
    <row r="161" ht="12.75" customHeight="1">
      <c r="D161" s="5"/>
      <c r="E161" s="11"/>
      <c r="F161" s="11"/>
    </row>
    <row r="162" ht="12.75" customHeight="1">
      <c r="D162" s="5"/>
      <c r="E162" s="11"/>
      <c r="F162" s="11"/>
    </row>
    <row r="163" ht="12.75" customHeight="1">
      <c r="D163" s="5"/>
      <c r="E163" s="11"/>
      <c r="F163" s="11"/>
    </row>
    <row r="164" ht="12.75" customHeight="1">
      <c r="D164" s="5"/>
      <c r="E164" s="11"/>
      <c r="F164" s="11"/>
    </row>
    <row r="165" ht="12.75" customHeight="1">
      <c r="D165" s="5"/>
      <c r="E165" s="11"/>
      <c r="F165" s="11"/>
    </row>
    <row r="166" ht="12.75" customHeight="1">
      <c r="D166" s="5"/>
      <c r="E166" s="11"/>
      <c r="F166" s="11"/>
    </row>
    <row r="167" ht="12.75" customHeight="1">
      <c r="D167" s="5"/>
      <c r="E167" s="11"/>
      <c r="F167" s="11"/>
    </row>
    <row r="168" ht="12.75" customHeight="1">
      <c r="D168" s="5"/>
      <c r="E168" s="11"/>
      <c r="F168" s="11"/>
    </row>
    <row r="169" ht="12.75" customHeight="1">
      <c r="D169" s="5"/>
      <c r="E169" s="11"/>
      <c r="F169" s="11"/>
    </row>
    <row r="170" ht="12.75" customHeight="1">
      <c r="D170" s="5"/>
      <c r="E170" s="11"/>
      <c r="F170" s="11"/>
    </row>
    <row r="171" ht="12.75" customHeight="1">
      <c r="D171" s="5"/>
      <c r="E171" s="11"/>
      <c r="F171" s="11"/>
    </row>
    <row r="172" ht="12.75" customHeight="1">
      <c r="D172" s="5"/>
      <c r="E172" s="11"/>
      <c r="F172" s="11"/>
    </row>
    <row r="173" ht="12.75" customHeight="1">
      <c r="D173" s="5"/>
      <c r="E173" s="11"/>
      <c r="F173" s="11"/>
    </row>
    <row r="174" ht="12.75" customHeight="1">
      <c r="D174" s="5"/>
      <c r="E174" s="11"/>
      <c r="F174" s="11"/>
    </row>
    <row r="175" ht="12.75" customHeight="1">
      <c r="D175" s="5"/>
      <c r="E175" s="11"/>
      <c r="F175" s="11"/>
    </row>
    <row r="176" ht="12.75" customHeight="1">
      <c r="D176" s="5"/>
      <c r="E176" s="11"/>
      <c r="F176" s="11"/>
    </row>
    <row r="177" ht="12.75" customHeight="1">
      <c r="D177" s="5"/>
      <c r="E177" s="11"/>
      <c r="F177" s="11"/>
    </row>
    <row r="178" ht="12.75" customHeight="1">
      <c r="D178" s="5"/>
      <c r="E178" s="11"/>
      <c r="F178" s="11"/>
    </row>
    <row r="179" ht="12.75" customHeight="1">
      <c r="D179" s="5"/>
      <c r="E179" s="11"/>
      <c r="F179" s="11"/>
    </row>
    <row r="180" ht="12.75" customHeight="1">
      <c r="D180" s="5"/>
      <c r="E180" s="11"/>
      <c r="F180" s="11"/>
    </row>
    <row r="181" ht="12.75" customHeight="1">
      <c r="D181" s="5"/>
      <c r="E181" s="11"/>
      <c r="F181" s="11"/>
    </row>
    <row r="182" ht="12.75" customHeight="1">
      <c r="D182" s="5"/>
      <c r="E182" s="11"/>
      <c r="F182" s="11"/>
    </row>
    <row r="183" ht="12.75" customHeight="1">
      <c r="D183" s="5"/>
      <c r="E183" s="11"/>
      <c r="F183" s="11"/>
    </row>
    <row r="184" ht="12.75" customHeight="1">
      <c r="D184" s="5"/>
      <c r="E184" s="11"/>
      <c r="F184" s="11"/>
    </row>
    <row r="185" ht="12.75" customHeight="1">
      <c r="D185" s="5"/>
      <c r="E185" s="11"/>
      <c r="F185" s="11"/>
    </row>
    <row r="186" ht="12.75" customHeight="1">
      <c r="D186" s="5"/>
      <c r="E186" s="11"/>
      <c r="F186" s="11"/>
    </row>
    <row r="187" ht="12.75" customHeight="1">
      <c r="D187" s="5"/>
      <c r="E187" s="11"/>
      <c r="F187" s="11"/>
    </row>
    <row r="188" ht="12.75" customHeight="1">
      <c r="D188" s="5"/>
      <c r="E188" s="11"/>
      <c r="F188" s="11"/>
    </row>
    <row r="189" ht="12.75" customHeight="1">
      <c r="D189" s="5"/>
      <c r="E189" s="11"/>
      <c r="F189" s="11"/>
    </row>
    <row r="190" ht="12.75" customHeight="1">
      <c r="D190" s="5"/>
      <c r="E190" s="11"/>
      <c r="F190" s="11"/>
    </row>
    <row r="191" ht="12.75" customHeight="1">
      <c r="D191" s="5"/>
      <c r="E191" s="11"/>
      <c r="F191" s="11"/>
    </row>
    <row r="192" ht="12.75" customHeight="1">
      <c r="D192" s="5"/>
      <c r="E192" s="11"/>
      <c r="F192" s="11"/>
    </row>
    <row r="193" ht="12.75" customHeight="1">
      <c r="D193" s="5"/>
      <c r="E193" s="11"/>
      <c r="F193" s="11"/>
    </row>
    <row r="194" ht="12.75" customHeight="1">
      <c r="D194" s="5"/>
      <c r="E194" s="11"/>
      <c r="F194" s="11"/>
    </row>
    <row r="195" ht="12.75" customHeight="1">
      <c r="D195" s="5"/>
      <c r="E195" s="11"/>
      <c r="F195" s="11"/>
    </row>
    <row r="196" ht="12.75" customHeight="1">
      <c r="D196" s="5"/>
      <c r="E196" s="11"/>
      <c r="F196" s="11"/>
    </row>
    <row r="197" ht="12.75" customHeight="1">
      <c r="D197" s="5"/>
      <c r="E197" s="11"/>
      <c r="F197" s="11"/>
    </row>
    <row r="198" ht="12.75" customHeight="1">
      <c r="D198" s="5"/>
      <c r="E198" s="11"/>
      <c r="F198" s="11"/>
    </row>
    <row r="199" ht="12.75" customHeight="1">
      <c r="D199" s="5"/>
      <c r="E199" s="11"/>
      <c r="F199" s="11"/>
    </row>
    <row r="200" ht="12.75" customHeight="1">
      <c r="D200" s="5"/>
      <c r="E200" s="11"/>
      <c r="F200" s="11"/>
    </row>
    <row r="201" ht="12.75" customHeight="1">
      <c r="D201" s="5"/>
      <c r="E201" s="11"/>
      <c r="F201" s="11"/>
    </row>
    <row r="202" ht="12.75" customHeight="1">
      <c r="D202" s="5"/>
      <c r="E202" s="11"/>
      <c r="F202" s="11"/>
    </row>
    <row r="203" ht="12.75" customHeight="1">
      <c r="D203" s="5"/>
      <c r="E203" s="11"/>
      <c r="F203" s="11"/>
    </row>
    <row r="204" ht="12.75" customHeight="1">
      <c r="D204" s="5"/>
      <c r="E204" s="11"/>
      <c r="F204" s="11"/>
    </row>
    <row r="205" ht="12.75" customHeight="1">
      <c r="D205" s="5"/>
      <c r="E205" s="11"/>
      <c r="F205" s="11"/>
    </row>
    <row r="206" ht="12.75" customHeight="1">
      <c r="D206" s="5"/>
      <c r="E206" s="11"/>
      <c r="F206" s="11"/>
    </row>
    <row r="207" ht="12.75" customHeight="1">
      <c r="D207" s="5"/>
      <c r="E207" s="11"/>
      <c r="F207" s="11"/>
    </row>
    <row r="208" ht="12.75" customHeight="1">
      <c r="D208" s="5"/>
      <c r="E208" s="11"/>
      <c r="F208" s="11"/>
    </row>
    <row r="209" ht="12.75" customHeight="1">
      <c r="D209" s="5"/>
      <c r="E209" s="11"/>
      <c r="F209" s="11"/>
    </row>
    <row r="210" ht="12.75" customHeight="1">
      <c r="D210" s="5"/>
      <c r="E210" s="11"/>
      <c r="F210" s="11"/>
    </row>
    <row r="211" ht="12.75" customHeight="1">
      <c r="D211" s="5"/>
      <c r="E211" s="11"/>
      <c r="F211" s="11"/>
    </row>
    <row r="212" ht="12.75" customHeight="1">
      <c r="D212" s="5"/>
      <c r="E212" s="11"/>
      <c r="F212" s="11"/>
    </row>
    <row r="213" ht="12.75" customHeight="1">
      <c r="D213" s="5"/>
      <c r="E213" s="11"/>
      <c r="F213" s="11"/>
    </row>
    <row r="214" ht="12.75" customHeight="1">
      <c r="D214" s="5"/>
      <c r="E214" s="11"/>
      <c r="F214" s="11"/>
    </row>
    <row r="215" ht="12.75" customHeight="1">
      <c r="D215" s="5"/>
      <c r="E215" s="11"/>
      <c r="F215" s="11"/>
    </row>
    <row r="216" ht="12.75" customHeight="1">
      <c r="D216" s="5"/>
      <c r="E216" s="11"/>
      <c r="F216" s="11"/>
    </row>
    <row r="217" ht="12.75" customHeight="1">
      <c r="D217" s="5"/>
      <c r="E217" s="11"/>
      <c r="F217" s="11"/>
    </row>
    <row r="218" ht="12.75" customHeight="1">
      <c r="D218" s="5"/>
      <c r="E218" s="11"/>
      <c r="F218" s="11"/>
    </row>
    <row r="219" ht="12.75" customHeight="1">
      <c r="D219" s="5"/>
      <c r="E219" s="11"/>
      <c r="F219" s="11"/>
    </row>
    <row r="220" ht="12.75" customHeight="1">
      <c r="D220" s="5"/>
      <c r="E220" s="11"/>
      <c r="F220" s="11"/>
    </row>
    <row r="221" ht="12.75" customHeight="1">
      <c r="D221" s="5"/>
      <c r="E221" s="11"/>
      <c r="F221" s="11"/>
    </row>
    <row r="222" ht="12.75" customHeight="1">
      <c r="D222" s="5"/>
      <c r="E222" s="11"/>
      <c r="F222" s="11"/>
    </row>
    <row r="223" ht="12.75" customHeight="1">
      <c r="D223" s="5"/>
      <c r="E223" s="11"/>
      <c r="F223" s="11"/>
    </row>
    <row r="224" ht="12.75" customHeight="1">
      <c r="D224" s="5"/>
      <c r="E224" s="11"/>
      <c r="F224" s="11"/>
    </row>
    <row r="225" ht="12.75" customHeight="1">
      <c r="D225" s="5"/>
      <c r="E225" s="11"/>
      <c r="F225" s="11"/>
    </row>
    <row r="226" ht="12.75" customHeight="1">
      <c r="D226" s="5"/>
      <c r="E226" s="11"/>
      <c r="F226" s="11"/>
    </row>
    <row r="227" ht="12.75" customHeight="1">
      <c r="D227" s="5"/>
      <c r="E227" s="11"/>
      <c r="F227" s="11"/>
    </row>
    <row r="228" ht="12.75" customHeight="1">
      <c r="D228" s="5"/>
      <c r="E228" s="11"/>
      <c r="F228" s="11"/>
    </row>
    <row r="229" ht="12.75" customHeight="1">
      <c r="D229" s="5"/>
      <c r="E229" s="11"/>
      <c r="F229" s="11"/>
    </row>
    <row r="230" ht="12.75" customHeight="1">
      <c r="D230" s="5"/>
      <c r="E230" s="11"/>
      <c r="F230" s="11"/>
    </row>
    <row r="231" ht="12.75" customHeight="1">
      <c r="D231" s="5"/>
      <c r="E231" s="11"/>
      <c r="F231" s="11"/>
    </row>
    <row r="232" ht="12.75" customHeight="1">
      <c r="D232" s="5"/>
      <c r="E232" s="11"/>
      <c r="F232" s="11"/>
    </row>
    <row r="233" ht="12.75" customHeight="1">
      <c r="D233" s="5"/>
      <c r="E233" s="11"/>
      <c r="F233" s="11"/>
    </row>
    <row r="234" ht="12.75" customHeight="1">
      <c r="D234" s="5"/>
      <c r="E234" s="11"/>
      <c r="F234" s="11"/>
    </row>
    <row r="235" ht="12.75" customHeight="1">
      <c r="D235" s="5"/>
      <c r="E235" s="11"/>
      <c r="F235" s="11"/>
    </row>
    <row r="236" ht="12.75" customHeight="1">
      <c r="D236" s="5"/>
      <c r="E236" s="11"/>
      <c r="F236" s="11"/>
    </row>
    <row r="237" ht="12.75" customHeight="1">
      <c r="D237" s="5"/>
      <c r="E237" s="11"/>
      <c r="F237" s="11"/>
    </row>
    <row r="238" ht="12.75" customHeight="1">
      <c r="D238" s="5"/>
      <c r="E238" s="11"/>
      <c r="F238" s="11"/>
    </row>
    <row r="239" ht="12.75" customHeight="1">
      <c r="D239" s="5"/>
      <c r="E239" s="11"/>
      <c r="F239" s="11"/>
    </row>
    <row r="240" ht="12.75" customHeight="1">
      <c r="D240" s="5"/>
      <c r="E240" s="11"/>
      <c r="F240" s="11"/>
    </row>
    <row r="241" ht="12.75" customHeight="1">
      <c r="D241" s="5"/>
      <c r="E241" s="11"/>
      <c r="F241" s="11"/>
    </row>
    <row r="242" ht="12.75" customHeight="1">
      <c r="D242" s="5"/>
      <c r="E242" s="11"/>
      <c r="F242" s="11"/>
    </row>
    <row r="243" ht="12.75" customHeight="1">
      <c r="D243" s="5"/>
      <c r="E243" s="11"/>
      <c r="F243" s="11"/>
    </row>
    <row r="244" ht="12.75" customHeight="1">
      <c r="D244" s="5"/>
      <c r="E244" s="11"/>
      <c r="F244" s="11"/>
    </row>
    <row r="245" ht="12.75" customHeight="1">
      <c r="D245" s="5"/>
      <c r="E245" s="11"/>
      <c r="F245" s="11"/>
    </row>
    <row r="246" ht="12.75" customHeight="1">
      <c r="D246" s="5"/>
      <c r="E246" s="11"/>
      <c r="F246" s="11"/>
    </row>
    <row r="247" ht="12.75" customHeight="1">
      <c r="D247" s="5"/>
      <c r="E247" s="11"/>
      <c r="F247" s="11"/>
    </row>
    <row r="248" ht="12.75" customHeight="1">
      <c r="D248" s="5"/>
      <c r="E248" s="11"/>
      <c r="F248" s="11"/>
    </row>
    <row r="249" ht="12.75" customHeight="1">
      <c r="D249" s="5"/>
      <c r="E249" s="11"/>
      <c r="F249" s="11"/>
    </row>
    <row r="250" ht="12.75" customHeight="1">
      <c r="D250" s="5"/>
      <c r="E250" s="11"/>
      <c r="F250" s="11"/>
    </row>
    <row r="251" ht="12.75" customHeight="1">
      <c r="D251" s="5"/>
      <c r="E251" s="11"/>
      <c r="F251" s="11"/>
    </row>
    <row r="252" ht="12.75" customHeight="1">
      <c r="D252" s="5"/>
      <c r="E252" s="11"/>
      <c r="F252" s="11"/>
    </row>
    <row r="253" ht="12.75" customHeight="1">
      <c r="D253" s="5"/>
      <c r="E253" s="11"/>
      <c r="F253" s="11"/>
    </row>
    <row r="254" ht="12.75" customHeight="1">
      <c r="D254" s="5"/>
      <c r="E254" s="11"/>
      <c r="F254" s="11"/>
    </row>
    <row r="255" ht="12.75" customHeight="1">
      <c r="D255" s="5"/>
      <c r="E255" s="11"/>
      <c r="F255" s="11"/>
    </row>
    <row r="256" ht="12.75" customHeight="1">
      <c r="D256" s="5"/>
      <c r="E256" s="11"/>
      <c r="F256" s="11"/>
    </row>
    <row r="257" ht="12.75" customHeight="1">
      <c r="D257" s="5"/>
      <c r="E257" s="11"/>
      <c r="F257" s="11"/>
    </row>
    <row r="258" ht="12.75" customHeight="1">
      <c r="D258" s="5"/>
      <c r="E258" s="11"/>
      <c r="F258" s="11"/>
    </row>
    <row r="259" ht="12.75" customHeight="1">
      <c r="D259" s="5"/>
      <c r="E259" s="11"/>
      <c r="F259" s="11"/>
    </row>
    <row r="260" ht="12.75" customHeight="1">
      <c r="D260" s="5"/>
      <c r="E260" s="11"/>
      <c r="F260" s="11"/>
    </row>
    <row r="261" ht="12.75" customHeight="1">
      <c r="D261" s="5"/>
      <c r="E261" s="11"/>
      <c r="F261" s="11"/>
    </row>
    <row r="262" ht="12.75" customHeight="1">
      <c r="D262" s="5"/>
      <c r="E262" s="11"/>
      <c r="F262" s="1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39.88"/>
    <col customWidth="1" min="3" max="3" width="20.75"/>
    <col customWidth="1" min="4" max="23" width="11.88"/>
  </cols>
  <sheetData>
    <row r="1" ht="12.75" customHeight="1">
      <c r="A1" s="36" t="s">
        <v>170</v>
      </c>
      <c r="B1" s="36" t="s">
        <v>171</v>
      </c>
      <c r="C1" s="36" t="s">
        <v>172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2.75" customHeight="1">
      <c r="A2" s="15" t="s">
        <v>173</v>
      </c>
      <c r="B2" s="16" t="s">
        <v>173</v>
      </c>
      <c r="C2" s="16" t="s">
        <v>174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