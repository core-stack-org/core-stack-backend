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/>
  <calcPr/>
  <extLst>
    <ext uri="GoogleSheetsCustomDataVersion2">
      <go:sheetsCustomData xmlns:go="http://customooxmlschemas.google.com/" r:id="rId7" roundtripDataChecksum="SQxzEAFPcUNG1SfuOwPlwalZBvbM4K6oYp6Nx2k4wjU="/>
    </ext>
  </extLst>
</workbook>
</file>

<file path=xl/sharedStrings.xml><?xml version="1.0" encoding="utf-8"?>
<sst xmlns="http://schemas.openxmlformats.org/spreadsheetml/2006/main" count="1714" uniqueCount="1086">
  <si>
    <t>type</t>
  </si>
  <si>
    <t>name</t>
  </si>
  <si>
    <t>label::English(en)</t>
  </si>
  <si>
    <t>label::Hindi(hi)</t>
  </si>
  <si>
    <t>label::Gujarati(gu)</t>
  </si>
  <si>
    <t>label::Kannada(kn)</t>
  </si>
  <si>
    <t>label::Odia(or)</t>
  </si>
  <si>
    <t>hint::English(en)</t>
  </si>
  <si>
    <t>hint::Hindi(hi)</t>
  </si>
  <si>
    <t>hint::Gujarati(gu)</t>
  </si>
  <si>
    <t>hint::Kannada(kn)</t>
  </si>
  <si>
    <t>hint::Odia(or)</t>
  </si>
  <si>
    <t>calculation</t>
  </si>
  <si>
    <t>read_only</t>
  </si>
  <si>
    <t>appearance</t>
  </si>
  <si>
    <t>required</t>
  </si>
  <si>
    <t>relevant</t>
  </si>
  <si>
    <t>constraint</t>
  </si>
  <si>
    <t>constraint_message::English(en)</t>
  </si>
  <si>
    <t>constraint_message::Hindi(hi)</t>
  </si>
  <si>
    <t>constraint_message::Gujarati(gu)</t>
  </si>
  <si>
    <t>constraint_message::Kannada(kn)</t>
  </si>
  <si>
    <t>constraint_message::Odia(or)</t>
  </si>
  <si>
    <t>parameters</t>
  </si>
  <si>
    <t>start</t>
  </si>
  <si>
    <t>end</t>
  </si>
  <si>
    <t>today</t>
  </si>
  <si>
    <t>deviceid</t>
  </si>
  <si>
    <t>text</t>
  </si>
  <si>
    <t>waterbodies_id</t>
  </si>
  <si>
    <t>Waterstructure ID</t>
  </si>
  <si>
    <t>जल स्रोत का आईडी</t>
  </si>
  <si>
    <t>ವಾಟರ್‌ಸ್ಟ್ರಕ್ಚರ್ ಐಡಿ</t>
  </si>
  <si>
    <t>once(uuid(10))</t>
  </si>
  <si>
    <t>yes</t>
  </si>
  <si>
    <t>beneficiary_settlement</t>
  </si>
  <si>
    <t>Name of Beneficiary's Settlement</t>
  </si>
  <si>
    <t xml:space="preserve">लाभ मिलने वाला बस्ती का नाम </t>
  </si>
  <si>
    <t>ಫಲಾನುಭವಿಯ ಇತ್ಯರ್ಥದ ಹೆಸರು</t>
  </si>
  <si>
    <t>select_one water_structure</t>
  </si>
  <si>
    <t>select_one_water_structure</t>
  </si>
  <si>
    <t xml:space="preserve">Type of water structure
</t>
  </si>
  <si>
    <t>जल श्रोत के प्रकार</t>
  </si>
  <si>
    <t xml:space="preserve">ನೀರಿನ ರಚನೆಯ ಪ್ರಕಾರ
</t>
  </si>
  <si>
    <t>select_one manages</t>
  </si>
  <si>
    <t>select_one_manages</t>
  </si>
  <si>
    <r>
      <rPr>
        <rFont val="Roboto"/>
        <color rgb="FF000000"/>
        <sz val="10.0"/>
      </rPr>
      <t xml:space="preserve">Who manages the water </t>
    </r>
    <r>
      <rPr>
        <rFont val="Roboto"/>
        <color rgb="FF000000"/>
        <sz val="10.0"/>
      </rPr>
      <t>structure in this settlement</t>
    </r>
    <r>
      <rPr>
        <rFont val="Roboto"/>
        <color rgb="FF000000"/>
        <sz val="10.0"/>
      </rPr>
      <t>?</t>
    </r>
  </si>
  <si>
    <t>जल स्रोतों का देखभाल कौन करता है?</t>
  </si>
  <si>
    <t>ಈ ವಸಾಹತು ಪ್ರದೇಶದಲ್ಲಿ ನೀರಿನ ರಚನೆಯನ್ನು ಯಾರು ನಿರ್ವಹಿಸುತ್ತಾರೆ?</t>
  </si>
  <si>
    <t>text_one_manages</t>
  </si>
  <si>
    <t>Specify other</t>
  </si>
  <si>
    <t xml:space="preserve">अन्य जानकारी दें </t>
  </si>
  <si>
    <t>ಇತರವನ್ನು ನಿರ್ದಿಷ್ಟಪಡಿಸಿ</t>
  </si>
  <si>
    <t>${select_one_manages}=’Other’</t>
  </si>
  <si>
    <t>select_one owns</t>
  </si>
  <si>
    <t>select_one_owns</t>
  </si>
  <si>
    <t>Who owns the Water structure in this settlement?</t>
  </si>
  <si>
    <t>बस्ती के जल स्रोतों का मालिक कौन है ?</t>
  </si>
  <si>
    <t>ಈ ವಸಾಹತು ಪ್ರದೇಶದಲ್ಲಿ ನೀರಿನ ರಚನೆಯನ್ನು ಯಾರು ಹೊಂದಿದ್ದಾರೆ?</t>
  </si>
  <si>
    <t>text_one_owns</t>
  </si>
  <si>
    <t>${select_one_owns}=’Any other’</t>
  </si>
  <si>
    <t>Beneficiary_name</t>
  </si>
  <si>
    <t>Beneficiary's name</t>
  </si>
  <si>
    <t>लाभार्थी का नाम</t>
  </si>
  <si>
    <t>ಫಲಾನುಭವಿಯ ಹೆಸರು</t>
  </si>
  <si>
    <t>${select_one_owns}='Private'</t>
  </si>
  <si>
    <t>ben_father</t>
  </si>
  <si>
    <t>Beneficiary's father's name</t>
  </si>
  <si>
    <t>लाभार्थी के पिता का नाम</t>
  </si>
  <si>
    <t>ಫಲಾನುಭವಿಯ ತಂದೆಯ ಹೆಸರು</t>
  </si>
  <si>
    <t xml:space="preserve">regex(., '[a-zA-Z]+') </t>
  </si>
  <si>
    <t>integer</t>
  </si>
  <si>
    <t>Beneficiary_contact_number</t>
  </si>
  <si>
    <t>Beneficiary's contact number</t>
  </si>
  <si>
    <t>लाभार्थी का फोन नंबर</t>
  </si>
  <si>
    <t>ಫಲಾನುಭವಿಯ ಸಂಪರ್ಕ ಸಂಖ್ಯೆ</t>
  </si>
  <si>
    <t>regex(., '^(\\+?91[ -]?)?0?[6-9][0-9]{2}[ -]?[0-9]{3}[ -]?[0-9]{4}$')</t>
  </si>
  <si>
    <t>Enter a phone number (format: 9876543210)</t>
  </si>
  <si>
    <t>ಆ ಫೋನ್ ಸಂಖ್ಯೆಯನ್ನು ನಮೂದಿಸಿ (ಸ್ವರೂಪ: 9876543210)</t>
  </si>
  <si>
    <t>ଏକ ଫୋନ୍ ନମ୍ବର ଲେଖନ୍ତୁ (ଫର୍ମାଟ୍: 9876543210)</t>
  </si>
  <si>
    <t>households_benefited</t>
  </si>
  <si>
    <t>Total number of households benefited  from this water structure in this settlement?</t>
  </si>
  <si>
    <t>बस्ती में लाभान्वित परिवारों की कुल संख्या कितनी है ?</t>
  </si>
  <si>
    <t>ಈ ವಸಾಹತು ಪ್ರದೇಶದಲ್ಲಿ ಈ ನೀರಿನ ರಚನೆಯಿಂದ ಒಟ್ಟು ಸಂಖ್ಯೆಯ ಕುಟುಂಬಗಳು ಪ್ರಯೋಜನ ಪಡೆದಿವೆ?</t>
  </si>
  <si>
    <t>.&gt;=0 and .&lt;= 1000</t>
  </si>
  <si>
    <t>0 or more than 1</t>
  </si>
  <si>
    <t>1 ಅಥವಾ 1 ಕ್ಕಿಂತ ಹೆಚ್ಚು</t>
  </si>
  <si>
    <t>0 କିମ୍ବା 1 ରୁ ଅଧିକ</t>
  </si>
  <si>
    <t>select_multiple caste_use</t>
  </si>
  <si>
    <t>select_multiple_caste_use</t>
  </si>
  <si>
    <t xml:space="preserve">Which caste groups uses the water structure in this settlement?
</t>
  </si>
  <si>
    <t>कौन से जाति के लोग जल स्रोत का उपयोग करते हैं?</t>
  </si>
  <si>
    <t>ಈ ವಸಾಹತು ಪ್ರದೇಶದಲ್ಲಿ ಯಾವ ಜಾತಿ ಗುಂಪುಗಳು ನೀರಿನ ರಚನೆಯನ್ನು ಬಳಸುತ್ತವೆ?
ಕೌನ್ ಸೆ ಜಾತಿ ಸಮುದಾಯಕ್ಕೆ ಜಲ್ ಸ್ರೋತ ಅಥವಾ ಉಪಯೋಗ ಏನು?</t>
  </si>
  <si>
    <t>select_multiple uses_structure</t>
  </si>
  <si>
    <t>select_multiple_uses_structure</t>
  </si>
  <si>
    <t>What are the uses of water from this structure in this settlement?</t>
  </si>
  <si>
    <t>इस बस्ती में इस श्रोत से मिलने वाले पानी का क्या उपयोग है</t>
  </si>
  <si>
    <t>ಈ ಬಡಾವಣೆಯಲ್ಲಿ ಈ ರಚನೆಯಿಂದ ನೀರಿನ ಉಪಯೋಗಗಳೇನು?</t>
  </si>
  <si>
    <t>select_one scheme or_other</t>
  </si>
  <si>
    <t>select_one_scheme</t>
  </si>
  <si>
    <t xml:space="preserve">Under which scheme were funds made available for the construction of  this structure in this settlement?
</t>
  </si>
  <si>
    <t>इस बस्ती में इस श्रोत के निर्माण के लिए किस योजना के तहत धनराशि उपलब्ध कराई गई थी?</t>
  </si>
  <si>
    <t xml:space="preserve">ಈ ವಸಾಹತು ಪ್ರದೇಶದಲ್ಲಿ ಈ ರಚನೆಯ ನಿರ್ಮಾಣಕ್ಕೆ ಯಾವ ಯೋಜನೆಯಡಿಯಲ್ಲಿ ಹಣ ಲಭ್ಯವಾಯಿತು?
</t>
  </si>
  <si>
    <t>select_one Y_N</t>
  </si>
  <si>
    <t>select_one_maintenance</t>
  </si>
  <si>
    <t xml:space="preserve">Does the water structure require repair maintenance?
</t>
  </si>
  <si>
    <t>क्या इन जल स्रोतों के देखभाल की जरुरत है?</t>
  </si>
  <si>
    <t xml:space="preserve">ನೀರಿನ ರಚನೆಗೆ ದುರಸ್ತಿ ನಿರ್ವಹಣೆ ಅಗತ್ಯವಿದೆಯೇ?
</t>
  </si>
  <si>
    <t>select_multiple farm_ponds or_other</t>
  </si>
  <si>
    <t>Repair_of_farm_ponds</t>
  </si>
  <si>
    <t>Repair of farm ponds</t>
  </si>
  <si>
    <t>खेत में बनाये गए तालाबों/डोभा की मरम्मत</t>
  </si>
  <si>
    <t>ಕೃಷಿ ಹೊಂಡಗಳ ದುರಸ್ತಿ</t>
  </si>
  <si>
    <t>field_list</t>
  </si>
  <si>
    <t xml:space="preserve">${select_one_water_structure}=’Farm pond’ and  ${select_one_maintenance}=’Yes’ </t>
  </si>
  <si>
    <t>select_one Soil</t>
  </si>
  <si>
    <t>select_one_soil_fp</t>
  </si>
  <si>
    <t>Type of Soil</t>
  </si>
  <si>
    <t>मिट्टी का प्रकार</t>
  </si>
  <si>
    <t>માટીનો પ્રકાર</t>
  </si>
  <si>
    <t>ಮಣ್ಣಿನ ವಿಧ</t>
  </si>
  <si>
    <t>selected(${Repair_of_farm_ponds}, 'De_sitling')</t>
  </si>
  <si>
    <t>select_one silt</t>
  </si>
  <si>
    <t>Select_one_silt_fp</t>
  </si>
  <si>
    <t>Amount of Silt</t>
  </si>
  <si>
    <t>गाद का ढेर</t>
  </si>
  <si>
    <t>કાંપનો પર્વત</t>
  </si>
  <si>
    <t>ಸಿಲ್ಟ್ ಪರ್ವತ</t>
  </si>
  <si>
    <t>select_multiple Canal or_other</t>
  </si>
  <si>
    <t>Repair_of_canal</t>
  </si>
  <si>
    <t>Repair of canal</t>
  </si>
  <si>
    <t>नहर की मरम्मत</t>
  </si>
  <si>
    <t>ಕಾಲುವೆ ದುರಸ್ತಿ</t>
  </si>
  <si>
    <t xml:space="preserve">${select_one_water_structure}=’Canal’ and  ${select_one_maintenance}=’Yes’ </t>
  </si>
  <si>
    <t>select_one_soil_canal</t>
  </si>
  <si>
    <t>selected(${Repair_of_canal}, 'Desilting')</t>
  </si>
  <si>
    <t>Select_one_silt_canal</t>
  </si>
  <si>
    <t>select_multiple Community_pond or_other</t>
  </si>
  <si>
    <t>Repair_of_community_pond</t>
  </si>
  <si>
    <r>
      <rPr>
        <rFont val="Roboto"/>
        <color rgb="FF000000"/>
        <sz val="10.0"/>
      </rPr>
      <t>Repair of c</t>
    </r>
    <r>
      <rPr>
        <rFont val="Roboto"/>
        <color rgb="FF000000"/>
        <sz val="10.0"/>
      </rPr>
      <t>ommunity pond</t>
    </r>
    <r>
      <rPr>
        <rFont val="Roboto"/>
        <color rgb="FF000000"/>
        <sz val="10.0"/>
      </rPr>
      <t xml:space="preserve"> </t>
    </r>
  </si>
  <si>
    <t>सामुदायिक तालाब की मरम्मत</t>
  </si>
  <si>
    <t>ಸಮುದಾಯ ಕೊಳದ ದುರಸ್ತಿ</t>
  </si>
  <si>
    <t xml:space="preserve">${select_one_water_structure}=’Community Pond’ and  ${select_one_maintenance}=’Yes’ </t>
  </si>
  <si>
    <t>select_one_soil_cp</t>
  </si>
  <si>
    <t>selected(${Repair_of_community_pond}, 'De_sitling')</t>
  </si>
  <si>
    <t>Select_one_silt_cp</t>
  </si>
  <si>
    <t>select_multiple check_dam or_other</t>
  </si>
  <si>
    <t>Repair_of_check_dam</t>
  </si>
  <si>
    <t>Repair of check dam</t>
  </si>
  <si>
    <t>चेक डैम की मरम्मत</t>
  </si>
  <si>
    <t>ಚೆಕ್ ಡ್ಯಾಂ ದುರಸ್ತಿ</t>
  </si>
  <si>
    <t xml:space="preserve">${select_one_water_structure}=’Check dam’ and  ${select_one_maintenance}=’Yes’ </t>
  </si>
  <si>
    <t>select_one_soil_cd</t>
  </si>
  <si>
    <t>selected(${Repair_of_check_dam}, 'De_sitling')</t>
  </si>
  <si>
    <t>Select_one_silt_cd</t>
  </si>
  <si>
    <t>select_multiple Percolation_tank or_other</t>
  </si>
  <si>
    <t>Repair_of_percolation_tank</t>
  </si>
  <si>
    <t>Repair of percolation tank</t>
  </si>
  <si>
    <t>परकोलेशन टैंक की मरम्मत</t>
  </si>
  <si>
    <t>ಪರ್ಕೋಲೇಷನ್ ಟ್ಯಾಂಕ್ ದುರಸ್ತಿ</t>
  </si>
  <si>
    <t xml:space="preserve">${select_one_water_structure}=’Percolation tank’ and ${select_one_maintenance}=’Yes’ </t>
  </si>
  <si>
    <t>select_one_soil_pt</t>
  </si>
  <si>
    <t>selected(${Repair_of_percolation_tank}, 'De_sitling')</t>
  </si>
  <si>
    <t>Select_one_silt_pt</t>
  </si>
  <si>
    <t>select_multiple Trench or_other</t>
  </si>
  <si>
    <t>Repair_of_trench_cum_bund_network</t>
  </si>
  <si>
    <t>Repair of trench cum bund network</t>
  </si>
  <si>
    <t>खाई सह बांध नेटवर्क की मरम्मत</t>
  </si>
  <si>
    <t>ಟ್ರೆಂಚ್ ಕಮ್ ಬಂಡ್ ಜಾಲದ ದುರಸ್ತಿ</t>
  </si>
  <si>
    <t xml:space="preserve">${select_one_water_structure}=’Trench cum bund network’ and  ${select_one_maintenance}=’Yes’ </t>
  </si>
  <si>
    <t>select_one_soil_trench</t>
  </si>
  <si>
    <t>selected(${Repair_of_trench_cum_bund_network}, 'De_sitling')</t>
  </si>
  <si>
    <t>Select_one_silt_trench</t>
  </si>
  <si>
    <t>select_multiple large_water_body or_other</t>
  </si>
  <si>
    <t>Repair_of_large_water_body</t>
  </si>
  <si>
    <t>Repair of large water body</t>
  </si>
  <si>
    <t xml:space="preserve">बड़े जल स्रोत की मरम्मत </t>
  </si>
  <si>
    <t>ದೊಡ್ಡ ನೀರಿನ ದೇಹದ ದುರಸ್ತಿ</t>
  </si>
  <si>
    <t xml:space="preserve">${select_one_water_structure}=’Large water body’ and  ${select_one_maintenance}=’Yes’ </t>
  </si>
  <si>
    <t>select_one_soil_lwb</t>
  </si>
  <si>
    <t>selected(${Repair_of_large_water_body}, 'De_sitling')</t>
  </si>
  <si>
    <t>Select_one_silt_lwb</t>
  </si>
  <si>
    <t>select_multiple Earthen_gully_plug or_other</t>
  </si>
  <si>
    <r>
      <rPr>
        <rFont val="Courier New"/>
        <color rgb="FF000000"/>
        <sz val="10.0"/>
      </rPr>
      <t>Repair_of_e</t>
    </r>
    <r>
      <rPr>
        <rFont val="Courier New"/>
        <color rgb="FF000000"/>
        <sz val="10.0"/>
      </rPr>
      <t>arthen_gully_plug</t>
    </r>
  </si>
  <si>
    <r>
      <rPr>
        <rFont val="Roboto"/>
        <color rgb="FF000000"/>
        <sz val="10.0"/>
      </rPr>
      <t>Repair of e</t>
    </r>
    <r>
      <rPr>
        <rFont val="Roboto"/>
        <color rgb="FF000000"/>
        <sz val="10.0"/>
      </rPr>
      <t>arthen gully plug</t>
    </r>
  </si>
  <si>
    <t>मिट्टी के गली प्लग की मरम्मत</t>
  </si>
  <si>
    <t>ಮಣ್ಣಿನ ಗಲ್ಲಿ ಪ್ಲಗ್ ದುರಸ್ತಿ</t>
  </si>
  <si>
    <t xml:space="preserve">${select_one_water_structure}=’Earthen gully plug’ and  ${select_one_maintenance}=’Yes’ </t>
  </si>
  <si>
    <t>select_multiple loose_boulder_structure or_other</t>
  </si>
  <si>
    <t>Repair_of_loose_boulder_structure</t>
  </si>
  <si>
    <t>Repair of loose boulder structure</t>
  </si>
  <si>
    <t xml:space="preserve">लूज बोल्डर स्ट्रक्चर की मरम्मत </t>
  </si>
  <si>
    <t>ಸಡಿಲವಾದ ಬಂಡೆಯ ರಚನೆಯ ದುರಸ್ತಿ</t>
  </si>
  <si>
    <t xml:space="preserve">${select_one_water_structure}=’Loose boulder structure’ and  ${select_one_maintenance}=’Yes’ </t>
  </si>
  <si>
    <t>select_multiple Drainage_soakage  or_other</t>
  </si>
  <si>
    <t>Repair_of_drainage_soakage_channels</t>
  </si>
  <si>
    <r>
      <rPr>
        <rFont val="Roboto"/>
        <color rgb="FF000000"/>
        <sz val="10.0"/>
      </rPr>
      <t>Repair of d</t>
    </r>
    <r>
      <rPr>
        <rFont val="Roboto"/>
        <color rgb="FF000000"/>
        <sz val="10.0"/>
      </rPr>
      <t>rainage/soakage channels</t>
    </r>
  </si>
  <si>
    <t>नाली /सोख्ता नाली की मरम्मत</t>
  </si>
  <si>
    <t>ಒಳಚರಂಡಿ/ಸೋಕೇಜ್ ಚಾನಲ್‌ಗಳ ದುರಸ್ತಿ</t>
  </si>
  <si>
    <t xml:space="preserve">${select_one_water_structure}=’Drainage/soakage channels’ and  ${select_one_maintenance}=’Yes’ </t>
  </si>
  <si>
    <t>select_one_soil_ds</t>
  </si>
  <si>
    <t>selected(${Repair_of_drainage_soakage_channels}, 'De_sitling')</t>
  </si>
  <si>
    <t>Select_one_silt_ds</t>
  </si>
  <si>
    <t>select_multiple Recharge_pits or_other</t>
  </si>
  <si>
    <t>Repair_of_recharge_pits</t>
  </si>
  <si>
    <r>
      <rPr>
        <rFont val="Roboto"/>
        <color rgb="FF000000"/>
        <sz val="10.0"/>
      </rPr>
      <t>Repair of r</t>
    </r>
    <r>
      <rPr>
        <rFont val="Roboto"/>
        <color rgb="FF000000"/>
        <sz val="10.0"/>
      </rPr>
      <t>echarge pits</t>
    </r>
  </si>
  <si>
    <t>रिचार्ज पिट्स की मरम्मत</t>
  </si>
  <si>
    <t>ರೀಚಾರ್ಜ್ ಪಿಟ್‌ಗಳ ದುರಸ್ತಿ</t>
  </si>
  <si>
    <t xml:space="preserve">${select_one_water_structure}=’Recharge pits’ and  ${select_one_maintenance}=’Yes’ </t>
  </si>
  <si>
    <t>select_one_soil_rp</t>
  </si>
  <si>
    <t>selected(${Repair_of_recharge_pits}, 'De_sitling')</t>
  </si>
  <si>
    <t>Select_one_silt_rp</t>
  </si>
  <si>
    <t>select_multiple Soakage_pits or_other</t>
  </si>
  <si>
    <t>Repair_of_soakage_pits</t>
  </si>
  <si>
    <r>
      <rPr>
        <rFont val="Roboto"/>
        <color rgb="FF000000"/>
        <sz val="10.0"/>
      </rPr>
      <t>Repair of s</t>
    </r>
    <r>
      <rPr>
        <rFont val="Roboto"/>
        <color rgb="FF000000"/>
        <sz val="10.0"/>
      </rPr>
      <t>oakage pits</t>
    </r>
  </si>
  <si>
    <t>सोख्ता गड्ढे की मरम्मत</t>
  </si>
  <si>
    <t>ಸೋಕೇಜ್ ಹೊಂಡಗಳ ದುರಸ್ತಿ</t>
  </si>
  <si>
    <t xml:space="preserve">${select_one_water_structure}=’Soakage pits’ and  ${select_one_maintenance}=’Yes’ </t>
  </si>
  <si>
    <t>select_one_soil_sp</t>
  </si>
  <si>
    <t>selected(${Repair_of_soakage_pits}, 'De_sitling')</t>
  </si>
  <si>
    <t>Select_one_silt_sp</t>
  </si>
  <si>
    <t>select_multiple Continuous_contour_trenches or_other</t>
  </si>
  <si>
    <t xml:space="preserve">Repair_of_Continuous_contour_trenches
</t>
  </si>
  <si>
    <t xml:space="preserve">Repair of continuous contour trenches (CCT)
</t>
  </si>
  <si>
    <t>कन्टिन्यूवस कंटूर ट्रेंच (CCT ) की मरम्मत</t>
  </si>
  <si>
    <t xml:space="preserve">ನಿರಂತರ ಬಾಹ್ಯರೇಖೆ ಕಂದಕಗಳ ದುರಸ್ತಿ (CCT)
</t>
  </si>
  <si>
    <t xml:space="preserve">${select_one_water_structure}=’Continuous contour trenches (CCT)’ and ${select_one_maintenance}=’Yes’ </t>
  </si>
  <si>
    <t>select_one_soil_cct</t>
  </si>
  <si>
    <t>selected(${Repair_of_Continuous_contour_trenches}, 'De_sitling')</t>
  </si>
  <si>
    <t>Select_one_silt_cct</t>
  </si>
  <si>
    <t>select_multiple Staggered_contour_trenches or_other</t>
  </si>
  <si>
    <t xml:space="preserve">Repair_of_Staggered_contour_trenches
</t>
  </si>
  <si>
    <t xml:space="preserve">Repair of staggered contour trenches (SCT)
</t>
  </si>
  <si>
    <t>स्टैगर्ड कंटूर ट्रेंच (SCT) की मरम्मत</t>
  </si>
  <si>
    <t xml:space="preserve">ಅಸ್ಥಿರ ಬಾಹ್ಯರೇಖೆಯ ಕಂದಕಗಳ ದುರಸ್ತಿ (SCT)
</t>
  </si>
  <si>
    <t xml:space="preserve">${select_one_water_structure}=’Staggered Contour trenches(SCT)’ and  ${select_one_maintenance}=’Yes’ </t>
  </si>
  <si>
    <t>select_one_soil_sct</t>
  </si>
  <si>
    <t>selected(${Repair_of_Staggered_contour_trenches}, 'De_sitling' )</t>
  </si>
  <si>
    <t>Select_one_silt_sct</t>
  </si>
  <si>
    <t>selected(${Repair_of_Staggered_contour_trenches}, 'De_sitling')</t>
  </si>
  <si>
    <t>select_multiple Water_absorption_trenches or_other</t>
  </si>
  <si>
    <t xml:space="preserve">Repair_of_Water_absorption_trenches
</t>
  </si>
  <si>
    <t xml:space="preserve">Repair of water absorption trenches (WAT)
</t>
  </si>
  <si>
    <t>वॉटर ऑब्जॉप्सन ट्रेंच ((WAT) की मरम्मत</t>
  </si>
  <si>
    <t xml:space="preserve">ನೀರಿನ ಹೀರಿಕೊಳ್ಳುವ ಕಂದಕಗಳ ದುರಸ್ತಿ (WAT)
</t>
  </si>
  <si>
    <t>${select_one_water_structure}=’Water absorption trenches(WAT)’ and  ${select_one_maintenance}=’Yes’</t>
  </si>
  <si>
    <t>select_one_soil_wct</t>
  </si>
  <si>
    <t>selected(${Repair_of_Water_absorption_trenches}, 'De_sitling')</t>
  </si>
  <si>
    <t>Select_one_silt_wct</t>
  </si>
  <si>
    <t>select_multiple Rock_fill_dam or_other</t>
  </si>
  <si>
    <t>Repair_of_rock_fill_dam</t>
  </si>
  <si>
    <r>
      <rPr>
        <rFont val="Roboto"/>
        <color rgb="FF000000"/>
        <sz val="10.0"/>
      </rPr>
      <t>Repair of r</t>
    </r>
    <r>
      <rPr>
        <rFont val="Roboto"/>
        <color rgb="FF000000"/>
        <sz val="10.0"/>
      </rPr>
      <t>ock fill dam</t>
    </r>
  </si>
  <si>
    <t>रॉक फिल बांध की मरम्मत</t>
  </si>
  <si>
    <t>ರಾಕ್ ಫಿಲ್ ಅಣೆಕಟ್ಟಿನ ದುರಸ್ತಿ</t>
  </si>
  <si>
    <t xml:space="preserve">${select_one_water_structure}=’Rock fill dam’ and  ${select_one_maintenance}=’Yes’ </t>
  </si>
  <si>
    <t>select_one_soil_rfd</t>
  </si>
  <si>
    <t>selected(${Repair_of_rock_fill_dam}, 'De_sitling')</t>
  </si>
  <si>
    <t>Select_one_silt_rfd</t>
  </si>
  <si>
    <t>select_multiple Stone_bunding or_other</t>
  </si>
  <si>
    <t>Repair_of_stone_bunding</t>
  </si>
  <si>
    <r>
      <rPr>
        <rFont val="Roboto"/>
        <color rgb="FF000000"/>
        <sz val="10.0"/>
      </rPr>
      <t>Repair of s</t>
    </r>
    <r>
      <rPr>
        <rFont val="Roboto"/>
        <color rgb="FF000000"/>
        <sz val="10.0"/>
      </rPr>
      <t>tone bunding</t>
    </r>
  </si>
  <si>
    <t>पत्थर बांध की मरम्मत</t>
  </si>
  <si>
    <t>ಕಲ್ಲಿನ ಬಂಡೆಗಳ ದುರಸ್ತಿ</t>
  </si>
  <si>
    <t xml:space="preserve">${select_one_water_structure}=’Stone bunding’ and  ${select_one_maintenance}=’Yes’ </t>
  </si>
  <si>
    <t>select_one_soil_sb</t>
  </si>
  <si>
    <t>selected(${Repair_of_stone_bunding}, 'De_sitling')</t>
  </si>
  <si>
    <t>Select_one_silt_sb</t>
  </si>
  <si>
    <t>select_multiple Diversion_drains or_other</t>
  </si>
  <si>
    <t>Repair_of_diversion_drains</t>
  </si>
  <si>
    <r>
      <rPr>
        <rFont val="Roboto"/>
        <color rgb="FF000000"/>
        <sz val="10.0"/>
      </rPr>
      <t>Repair of d</t>
    </r>
    <r>
      <rPr>
        <rFont val="Roboto"/>
        <color rgb="FF000000"/>
        <sz val="10.0"/>
      </rPr>
      <t>iversion drains</t>
    </r>
  </si>
  <si>
    <t>डायवर्जन नालियों की मरम्मत</t>
  </si>
  <si>
    <t>ತಿರುವು ಚರಂಡಿಗಳ ದುರಸ್ತಿ</t>
  </si>
  <si>
    <t xml:space="preserve">${select_one_water_structure}=’Diversion drains’ and  ${select_one_maintenance}=’Yes’ </t>
  </si>
  <si>
    <t>select_one_soil_dd</t>
  </si>
  <si>
    <t>selected(${Repair_of_diversion_drains}, 'De_sitling')</t>
  </si>
  <si>
    <t>Select_one_silt_dd</t>
  </si>
  <si>
    <t>select_multiple Bunding or_other</t>
  </si>
  <si>
    <t>Repair_of_bunding</t>
  </si>
  <si>
    <t>Repair of bunding:contour bunds / graded bunds</t>
  </si>
  <si>
    <t>मेड़बंदी: समोच्च बाँध/श्रेणीबद्ध बाँध की मरम्मत</t>
  </si>
  <si>
    <t>ಬಂಡಿಂಗ್ ದುರಸ್ತಿ: ಬಾಹ್ಯರೇಖೆ ಬಂಡ್‌ಗಳು / ಶ್ರೇಣೀಕೃತ ಬಂಡ್‌ಗಳು</t>
  </si>
  <si>
    <t xml:space="preserve">${select_one_water_structure}=’Bunding:Contour bunds/ graded bunds’ and  ${select_one_maintenance}=’Yes’ </t>
  </si>
  <si>
    <t>select_one_soil_bunding</t>
  </si>
  <si>
    <t>selected(${Repair_of_bunding}, 'De_sitling')</t>
  </si>
  <si>
    <t>Select_one_silt_bunding</t>
  </si>
  <si>
    <t>select_multiple Farm_bund or_other</t>
  </si>
  <si>
    <r>
      <rPr>
        <rFont val="Courier New"/>
        <color rgb="FF000000"/>
        <sz val="10.0"/>
      </rPr>
      <t>Repair_of_f</t>
    </r>
    <r>
      <rPr>
        <rFont val="Courier New"/>
        <color rgb="FF000000"/>
        <sz val="10.0"/>
      </rPr>
      <t>arm_bund</t>
    </r>
  </si>
  <si>
    <r>
      <rPr>
        <rFont val="Roboto"/>
        <color rgb="FF000000"/>
        <sz val="10.0"/>
      </rPr>
      <t>Repair of f</t>
    </r>
    <r>
      <rPr>
        <rFont val="Roboto"/>
        <color rgb="FF000000"/>
        <sz val="10.0"/>
      </rPr>
      <t>arm bund</t>
    </r>
  </si>
  <si>
    <t>खेत के मेड़ की मरम्मत</t>
  </si>
  <si>
    <t>ಕೃಷಿ ಕಟ್ಟೆ ದುರಸ್ತಿ</t>
  </si>
  <si>
    <t xml:space="preserve">${select_one_water_structure}=’Farm bund’ and  ${select_one_maintenance}=’Yes’ </t>
  </si>
  <si>
    <t>select_multiple model5 or_other</t>
  </si>
  <si>
    <t>Repair_of_model5_structure</t>
  </si>
  <si>
    <r>
      <rPr>
        <rFont val="Roboto"/>
        <color rgb="FF000000"/>
        <sz val="10.0"/>
      </rPr>
      <t xml:space="preserve">Repair of </t>
    </r>
    <r>
      <rPr>
        <rFont val="Roboto"/>
        <color rgb="FF000000"/>
        <sz val="10.0"/>
      </rPr>
      <t>5% model structure</t>
    </r>
  </si>
  <si>
    <t>5% मॉडल स्ट्रक्चर की मरम्मत</t>
  </si>
  <si>
    <t>5% ಮಾದರಿ ರಚನೆಯ ದುರಸ್ತಿ</t>
  </si>
  <si>
    <t>${select_one_water_structure}=’5% model structure’ and  ${select_one_maintenance}=’Yes’</t>
  </si>
  <si>
    <t>select_one_soil_model5</t>
  </si>
  <si>
    <t>selected(${Repair_of_model5_structure}, 'De_sitling')</t>
  </si>
  <si>
    <t>Select_one_silt_model5</t>
  </si>
  <si>
    <t>select_multiple model30_40 or_other</t>
  </si>
  <si>
    <t>Repair_of_30_40_model_structure</t>
  </si>
  <si>
    <r>
      <rPr>
        <rFont val="Roboto"/>
        <color rgb="FF000000"/>
        <sz val="10.0"/>
      </rPr>
      <t xml:space="preserve">Repair of </t>
    </r>
    <r>
      <rPr>
        <rFont val="Roboto"/>
        <color rgb="FF000000"/>
        <sz val="10.0"/>
      </rPr>
      <t>30-40 model structure</t>
    </r>
  </si>
  <si>
    <t>30-40 मॉडल स्ट्रक्चर की मरम्मत</t>
  </si>
  <si>
    <t>30-40 ಮಾದರಿ ರಚನೆಯ ದುರಸ್ತಿ</t>
  </si>
  <si>
    <t xml:space="preserve">${select_one_water_structure}=’30-40 model structure’ and ${select_one_maintenance}=’Yes’ </t>
  </si>
  <si>
    <t>select_one_soil_model30</t>
  </si>
  <si>
    <t>selected(${Repair_of_30_40_model_structure}, 'De_sitling')</t>
  </si>
  <si>
    <t>Select_one_silt_model30</t>
  </si>
  <si>
    <t>Last_maintenance</t>
  </si>
  <si>
    <t xml:space="preserve">When was the last maintenance done for the structure? </t>
  </si>
  <si>
    <t>स्ट्रक्चर का आखरी बार मरम्मत कब किया गया था? (वर्ष बताएं)</t>
  </si>
  <si>
    <t xml:space="preserve">ರಚನೆಯ ಕೊನೆಯ ನಿರ್ವಹಣೆಯನ್ನು ಯಾವಾಗ ಮಾಡಲಾಯಿತು? </t>
  </si>
  <si>
    <t>Specify year</t>
  </si>
  <si>
    <t>ବର୍ଷ ନିର୍ଦ୍ଦିଷ୍ଟ କରନ୍ତୁ |</t>
  </si>
  <si>
    <t>regex(., '^[0-9]{4}$')</t>
  </si>
  <si>
    <t>select_one visible_water_structure</t>
  </si>
  <si>
    <t>select_one_visible_water_structure</t>
  </si>
  <si>
    <t>Was this water structure automatically  visible on the  Commons Connect ?</t>
  </si>
  <si>
    <t>ಈ ನೀರಿನ ರಚನೆಯು ಕಾಮನ್ಸ್ ಕನೆಕ್ಟ್‌ನಲ್ಲಿ ಸ್ವಯಂಚಾಲಿತವಾಗಿ ಗೋಚರಿಸುತ್ತದೆಯೇ?</t>
  </si>
  <si>
    <t>age_water_structure</t>
  </si>
  <si>
    <t xml:space="preserve">What is the age of the water structure? </t>
  </si>
  <si>
    <t>जल श्रोत कितनी पुरानी है? (वर्षों में)</t>
  </si>
  <si>
    <t xml:space="preserve">ನೀರಿನ ರಚನೆಯ ವಯಸ್ಸು ಎಷ್ಟು? </t>
  </si>
  <si>
    <t>In month</t>
  </si>
  <si>
    <t>false()</t>
  </si>
  <si>
    <t>decimal</t>
  </si>
  <si>
    <t>age_ws</t>
  </si>
  <si>
    <t xml:space="preserve">जल श्रोत कितनी पुरानी है? </t>
  </si>
  <si>
    <t>. &gt;= 0 and . &lt;= 1000</t>
  </si>
  <si>
    <t>image</t>
  </si>
  <si>
    <t>image_widget</t>
  </si>
  <si>
    <t>Photo of the area</t>
  </si>
  <si>
    <t>क्षेत्र का फोटो</t>
  </si>
  <si>
    <t>ಪ್ರದೇಶದ ಫೋಟೋ</t>
  </si>
  <si>
    <t>max-pixels=3000</t>
  </si>
  <si>
    <t>audio</t>
  </si>
  <si>
    <t>audio_record</t>
  </si>
  <si>
    <t>Record a message justifying the need for the maintainance recharge structure at this location</t>
  </si>
  <si>
    <t>इस स्थान पर रिचार्ज स्ट्रक्चर के देखभाल की आवश्यकता क्यों है, यह बताते हुए एक संदेश रिकॉर्ड करें</t>
  </si>
  <si>
    <t>ಈ ಸ್ಥಳದಲ್ಲಿ ನಿರ್ವಹಣೆ ರೀಚಾರ್ಜ್ ರಚನೆಯ ಅಗತ್ಯವನ್ನು ಸಮರ್ಥಿಸುವ ಸಂದೇಶವನ್ನು ರೆಕಾರ್ಡ್ ಮಾಡಿ</t>
  </si>
  <si>
    <t>text_record</t>
  </si>
  <si>
    <t>If you cannot record, write down the justification for the need of maintenance of recharge structure at this location</t>
  </si>
  <si>
    <t>यदि आप रिकॉर्ड नहीं कर सकते हैं, तो इस स्थान पर पुनर्भरण संरचना के रखरखाव की आवश्यकता के लिए औचित्य लिखें</t>
  </si>
  <si>
    <t>note</t>
  </si>
  <si>
    <t>ws_note_1</t>
  </si>
  <si>
    <t>&lt;span style="font-size: large; font-weight: bold; color:red;"&gt; DO NOT MODIFY ANYTHING BEYOND THIS POINT AND SUBMIT YOUR FORM DATA&lt;/span&gt;</t>
  </si>
  <si>
    <t>&lt;span style="color:red"&gt;इससे परे कुछ भी संशोधित न करें और अपना फॉर्म डेटा सबमिट करें&lt;/span&gt;</t>
  </si>
  <si>
    <t>&lt;span style="font-size: large; font-weight: bold; color:red;"&gt; ಈ ಪಾಯಿಂಟ್‌ನ ಆಚೆಗೆ ಏನನ್ನೂ ಮಾರ್ಪಡಿಸಬೇಡಿ ಮತ್ತು ನಿಮ್ಮ ಫಾರ್ಮ್ ಡೇಟಾವನ್ನು ಸಲ್ಲಿಸಿ&lt;/span&gt;</t>
  </si>
  <si>
    <t>begin_group</t>
  </si>
  <si>
    <t>GPS_point</t>
  </si>
  <si>
    <t>Lat/Lon</t>
  </si>
  <si>
    <t>अक्षांश/देशांतर</t>
  </si>
  <si>
    <t>ಲ್ಯಾಟ್/ಲೋನ್</t>
  </si>
  <si>
    <t>compact</t>
  </si>
  <si>
    <t>ws_note_2</t>
  </si>
  <si>
    <t>&lt;span style="color:red"&gt;PLEASE DO NOT SPAN AROUND IN THE MAP BELOW&lt;/span&gt;</t>
  </si>
  <si>
    <t>&lt;span style="color:red"&gt;कृपया नीचे दिए गए नक्शे में इधर-उधर न घूमें&lt;/span&gt;</t>
  </si>
  <si>
    <t>&lt;span style="color:red"&gt;ದಯವಿಟ್ಟು ಕೆಳಗಿನ ನಕ್ಷೆಯಲ್ಲಿ ಸುತ್ತಿಕೊಳ್ಳಬೇಡಿ&lt;/span&gt;</t>
  </si>
  <si>
    <t>geopoint</t>
  </si>
  <si>
    <t>point_mapappearance</t>
  </si>
  <si>
    <t>जियोपॉइंट</t>
  </si>
  <si>
    <t>maps</t>
  </si>
  <si>
    <t>end_group</t>
  </si>
  <si>
    <t>Corresponding_Work_ID</t>
  </si>
  <si>
    <t>Corresponding work ID</t>
  </si>
  <si>
    <t>सम्बंधित कार्य आईडी</t>
  </si>
  <si>
    <t>ಅನುಗುಣವಾದ ಕೆಲಸದ ID</t>
  </si>
  <si>
    <t>block_name</t>
  </si>
  <si>
    <t>Block name</t>
  </si>
  <si>
    <t>ब्लॉक का नाम</t>
  </si>
  <si>
    <t>ಬ್ಲಾಕ್ ಹೆಸರು</t>
  </si>
  <si>
    <t>plan_id</t>
  </si>
  <si>
    <t>Plan ID</t>
  </si>
  <si>
    <t>योजना की आईडी</t>
  </si>
  <si>
    <t>ಯೋಜನೆ ID</t>
  </si>
  <si>
    <t>plan_name</t>
  </si>
  <si>
    <t>Plan name</t>
  </si>
  <si>
    <t>योजना का नाम</t>
  </si>
  <si>
    <t>ಯೋಜನೆಯ ಹೆಸರು</t>
  </si>
  <si>
    <t>user_latlon</t>
  </si>
  <si>
    <t>Current location of the user</t>
  </si>
  <si>
    <t>उपयोगकर्ता का वर्तमान स्थान</t>
  </si>
  <si>
    <t>ಬಳಕೆದಾರರ ಪ್ರಸ್ತುತ ಸ್ಥಳ</t>
  </si>
  <si>
    <t>list_name</t>
  </si>
  <si>
    <t>manages</t>
  </si>
  <si>
    <t>Water user association</t>
  </si>
  <si>
    <t>जल उपयोगकर्ता संघ</t>
  </si>
  <si>
    <t>ನೀರು ಬಳಕೆದಾರರ ಸಂಘ</t>
  </si>
  <si>
    <t>ଜଳ ବ୍ୟବହାରକାରୀ ସଙ୍ଘ</t>
  </si>
  <si>
    <t>Neighboring farmers</t>
  </si>
  <si>
    <t>पड़ोसी किसान</t>
  </si>
  <si>
    <t>ಅಕ್ಕಪಕ್ಕದ ರೈತರು</t>
  </si>
  <si>
    <t>ଆଖପାଖରେ ଥିବା କୃଷକମାନେ</t>
  </si>
  <si>
    <t>Pani Panchayats</t>
  </si>
  <si>
    <t xml:space="preserve">Pani Panchayats </t>
  </si>
  <si>
    <t xml:space="preserve">पानी पंचायतें </t>
  </si>
  <si>
    <t>ಪಾನಿ ಪಂಚಾಯತಿಗಳು</t>
  </si>
  <si>
    <t>ପାଣି ପଞ୍ଚାୟତ</t>
  </si>
  <si>
    <t>Village Institutions</t>
  </si>
  <si>
    <t xml:space="preserve"> ग्राम संस्थाएं</t>
  </si>
  <si>
    <t>ગ્રામીણ સંસ્થાઓ</t>
  </si>
  <si>
    <t>ಗ್ರಾಮ ಸಂಸ್ಥೆಗಳು</t>
  </si>
  <si>
    <t>ଗ୍ରାମ ସଂଗଠନ</t>
  </si>
  <si>
    <t>Nobody</t>
  </si>
  <si>
    <t>कोई नहीं</t>
  </si>
  <si>
    <t>ಯಾರೂ ಇಲ್ಲ</t>
  </si>
  <si>
    <t>କେହି ନୁହେଁ</t>
  </si>
  <si>
    <t>Don’t know</t>
  </si>
  <si>
    <t>पता नहीं</t>
  </si>
  <si>
    <t>ಗೊತ್ತಿಲ್ಲ</t>
  </si>
  <si>
    <t>ଜଣା ନାହିଁ</t>
  </si>
  <si>
    <t>Other</t>
  </si>
  <si>
    <t>अन्य</t>
  </si>
  <si>
    <t>ಇತರೆ</t>
  </si>
  <si>
    <t>ଅନ୍ୟାନ୍ୟ</t>
  </si>
  <si>
    <t>owns</t>
  </si>
  <si>
    <t>Community</t>
  </si>
  <si>
    <t xml:space="preserve">सार्वजनिक </t>
  </si>
  <si>
    <t>ಸಾರ್ವಜನಿಕ</t>
  </si>
  <si>
    <t>ଜନସାଧାରଣ</t>
  </si>
  <si>
    <t>Private</t>
  </si>
  <si>
    <t>निजी</t>
  </si>
  <si>
    <t>ಖಾಸಗಿ</t>
  </si>
  <si>
    <t>ବ୍ୟକ୍ତିଗତ</t>
  </si>
  <si>
    <t>Shared among families</t>
  </si>
  <si>
    <t xml:space="preserve">परिवारों के बीच साझा किया हुआ </t>
  </si>
  <si>
    <t>ಕುಟುಂಬಗಳ ನಡುವೆ ಹಂಚಿಕೊಂಡಿದ್ದಾರೆ</t>
  </si>
  <si>
    <t>ସମସ୍ତ ପରିବାର ଏଠାରୁ ପାଣି ନିଅନ୍ତି</t>
  </si>
  <si>
    <t>Any other</t>
  </si>
  <si>
    <t>कोई और</t>
  </si>
  <si>
    <t>ಬೇರೆ ಯಾವುದಾದರೂ</t>
  </si>
  <si>
    <t>caste_use</t>
  </si>
  <si>
    <t>GC</t>
  </si>
  <si>
    <t xml:space="preserve">सामान्य वर्ग </t>
  </si>
  <si>
    <t>ಜಿಸಿ</t>
  </si>
  <si>
    <t>ସାଧାରଣ</t>
  </si>
  <si>
    <t>SC</t>
  </si>
  <si>
    <t xml:space="preserve">अनुसूचित जाति वर्ग </t>
  </si>
  <si>
    <t>ଅନୁସୂଚିତ ଜାତି</t>
  </si>
  <si>
    <t>ST</t>
  </si>
  <si>
    <t xml:space="preserve">अनुसूचित जनजाति वर्ग </t>
  </si>
  <si>
    <t>ଅନୁସୂଚିତ ଜନଜାତି</t>
  </si>
  <si>
    <t>OBC</t>
  </si>
  <si>
    <r>
      <rPr>
        <rFont val="Arial"/>
        <color rgb="FF000000"/>
        <sz val="10.0"/>
      </rPr>
      <t>OBC</t>
    </r>
    <r>
      <rPr>
        <rFont val="Arial"/>
        <color rgb="FF000000"/>
        <sz val="10.0"/>
      </rPr>
      <t xml:space="preserve"> </t>
    </r>
  </si>
  <si>
    <t xml:space="preserve">अन्य पिछड़ा वर्ग </t>
  </si>
  <si>
    <t>ಒಬಿಸಿ</t>
  </si>
  <si>
    <t>ଅନ୍ୟାନ୍ୟ ପଛୁଆ ବର୍ଗ</t>
  </si>
  <si>
    <t>Y_N</t>
  </si>
  <si>
    <t>Yes</t>
  </si>
  <si>
    <t>हाँ</t>
  </si>
  <si>
    <t>ಹೌದು</t>
  </si>
  <si>
    <t>ହଁ</t>
  </si>
  <si>
    <t>No</t>
  </si>
  <si>
    <t>नहीं</t>
  </si>
  <si>
    <t>ಸಂ</t>
  </si>
  <si>
    <t>ନାହିଁ</t>
  </si>
  <si>
    <t>identified</t>
  </si>
  <si>
    <t xml:space="preserve">satellite imagery </t>
  </si>
  <si>
    <t>Satellite imagery</t>
  </si>
  <si>
    <t xml:space="preserve">सैटेलाइट इमेज </t>
  </si>
  <si>
    <t>ಉಪಗ್ರಹ ಚಿತ್ರಣ</t>
  </si>
  <si>
    <t>ସାଟେଲାଇଟ୍ ପ୍ରତିଛବି</t>
  </si>
  <si>
    <t>user- marked</t>
  </si>
  <si>
    <t>User- marked</t>
  </si>
  <si>
    <t>उपयोगकर्ता द्वारा चिह्नित</t>
  </si>
  <si>
    <t>ಬಳಕೆದಾರ-ಗುರುತಿಸಲಾಗಿದೆ</t>
  </si>
  <si>
    <t>ବ୍ୟବହାରକାରୀ-ଚିହ୍ନିତ</t>
  </si>
  <si>
    <t>scheme</t>
  </si>
  <si>
    <t>MGNREGA</t>
  </si>
  <si>
    <t>मनरेगा</t>
  </si>
  <si>
    <t>ମହାତ୍ମା ଗାନ୍ଧୀ ନରେଗା</t>
  </si>
  <si>
    <t>PM-KUSUM</t>
  </si>
  <si>
    <t>पीएम-कुसुम</t>
  </si>
  <si>
    <t>PM-ಕುಸುಮ್</t>
  </si>
  <si>
    <t>ପି.ଏମ.- କୁସୁମ</t>
  </si>
  <si>
    <t>PMGSY</t>
  </si>
  <si>
    <t>पीएमजीएसवाई</t>
  </si>
  <si>
    <t>ಪಿಎಂಜಿಎಸ್‌ವೈ</t>
  </si>
  <si>
    <t>ପ୍ରଧାନମନ୍ତ୍ରୀ ଗ୍ରାମ ସଡକ ଯୋଜନା</t>
  </si>
  <si>
    <t>NRLM</t>
  </si>
  <si>
    <t>एनआरएलएम</t>
  </si>
  <si>
    <t>ଜାତୀୟ ଗ୍ରାମୀଣ ଜୀବିକା ମିଶନ</t>
  </si>
  <si>
    <t>Self funded</t>
  </si>
  <si>
    <t xml:space="preserve">खुद का खर्च </t>
  </si>
  <si>
    <t>ಸ್ವಯಂ ನಿಧಿ</t>
  </si>
  <si>
    <t>ନିଜସ୍ୱ ପାଣ୍ଠି</t>
  </si>
  <si>
    <t>Don't know</t>
  </si>
  <si>
    <t>ખબર નથી</t>
  </si>
  <si>
    <t>water_structure</t>
  </si>
  <si>
    <t>Farm pond</t>
  </si>
  <si>
    <t xml:space="preserve">Farm pond </t>
  </si>
  <si>
    <t>खेत तालाब</t>
  </si>
  <si>
    <t>ಕೃಷಿ ಹೊಂಡ</t>
  </si>
  <si>
    <t>କୃଷି ପୋଖରୀ (ଫାର୍ମ ପଣ୍ଡ)</t>
  </si>
  <si>
    <t>Community Pond</t>
  </si>
  <si>
    <t>सामुदायिक तालाब</t>
  </si>
  <si>
    <t>ಸಮುದಾಯ ಕೊಳ</t>
  </si>
  <si>
    <t>ଗୋଷ୍ଠୀ ପୋଖରୀ</t>
  </si>
  <si>
    <t>Large water body</t>
  </si>
  <si>
    <t xml:space="preserve">विशाल जल श्रोत </t>
  </si>
  <si>
    <t>ದೊಡ್ಡ ಜಲರಾಶಿ</t>
  </si>
  <si>
    <t>ବୃହତ ଜଳାଶୟ</t>
  </si>
  <si>
    <t>Canal</t>
  </si>
  <si>
    <t>नहर</t>
  </si>
  <si>
    <t>ಕಾಲುವೆ</t>
  </si>
  <si>
    <t>କେନାଲ</t>
  </si>
  <si>
    <t>Check dam</t>
  </si>
  <si>
    <t>चेक डैम</t>
  </si>
  <si>
    <t>ಚೆಕ್ ಡ್ಯಾಂ</t>
  </si>
  <si>
    <t>ଚେକ ଡ୍ୟାମ</t>
  </si>
  <si>
    <t>Percolation tank</t>
  </si>
  <si>
    <t>परकोलेशन टैंक</t>
  </si>
  <si>
    <t>ಪರ್ಕೋಲೇಷನ್ ಟ್ಯಾಂಕ್</t>
  </si>
  <si>
    <t>ଭୂତଳ ଜଳ ପୋଖରୀ (ପର୍କୋଲେସନ ଟ୍ୟାଙ୍କ)</t>
  </si>
  <si>
    <t>Earthen gully plug</t>
  </si>
  <si>
    <t>अर्थन गली प्लग</t>
  </si>
  <si>
    <t>ಮಣ್ಣಿನ ಗಲ್ಲಿ ಪ್ಲಗ್</t>
  </si>
  <si>
    <t>ସରୁ ନାଳରେ ମାଟି ବନ୍ଧ (ଗଲି ପ୍ଳଗ)</t>
  </si>
  <si>
    <t>Drainage/soakage channels</t>
  </si>
  <si>
    <t xml:space="preserve">नाली /सोख्ता नाली </t>
  </si>
  <si>
    <t>ಒಳಚರಂಡಿ/ಸೋಕೇಜ್ ಚಾನಲ್‌ಗಳು</t>
  </si>
  <si>
    <t>ଜଳ ନିଷ୍କାସନ ଚ୍ୟାନେଲ</t>
  </si>
  <si>
    <t>Recharge pits</t>
  </si>
  <si>
    <t xml:space="preserve">रिचार्ज पिट्स </t>
  </si>
  <si>
    <t>ರೀಚಾರ್ಜ್ ಹೊಂಡಗಳು</t>
  </si>
  <si>
    <t>ରିଚାର୍ଜ ପିଟ</t>
  </si>
  <si>
    <t>Soakage pits</t>
  </si>
  <si>
    <t>सोख्ता गड्ढे</t>
  </si>
  <si>
    <t>ಸೋಕೇಜ್ ಹೊಂಡಗಳು</t>
  </si>
  <si>
    <t>ସୋକ ପିଟ</t>
  </si>
  <si>
    <t>Trench cum bund network</t>
  </si>
  <si>
    <t xml:space="preserve">ट्रेंच /बाँध </t>
  </si>
  <si>
    <t>ಟ್ರೆಂಚ್ ಕಮ್ ಬಂಡ್ ನೆಟ್ವರ್ಕ್</t>
  </si>
  <si>
    <t>ଟ୍ରେଞ୍ଚ ସହିତ ହୁଡ଼ା</t>
  </si>
  <si>
    <t>Continuous contour trenches (CCT)</t>
  </si>
  <si>
    <t>कन्टिन्यूवस कंटूर ट्रेंच (CCT )</t>
  </si>
  <si>
    <t>ನಿರಂತರ ಬಾಹ್ಯರೇಖೆ ಕಂದಕಗಳು (CCT)</t>
  </si>
  <si>
    <t>ନିରନ୍ତର ସମୋଚ୍ଚ ଖାଇ (CCT)</t>
  </si>
  <si>
    <t>Staggered Contour trenches(SCT)</t>
  </si>
  <si>
    <t>Staggered Contour trenches (SCT)</t>
  </si>
  <si>
    <t>स्टैगर्ड कंटूर ट्रेंच (SCT )</t>
  </si>
  <si>
    <t>ದಿಗ್ಭ್ರಮೆಗೊಂಡ ಬಾಹ್ಯರೇಖೆ ಕಂದಕಗಳು (SCT)</t>
  </si>
  <si>
    <t>ଖଣ୍ଡିତ ସମୋଚ୍ଚ ଖାଇ (SCT)</t>
  </si>
  <si>
    <t>Water absorption trenches(WAT)</t>
  </si>
  <si>
    <t>Water absorption trenches (WAT)</t>
  </si>
  <si>
    <t>वॉटर ऑब्जॉप्सन ट्रेंच (WAT)</t>
  </si>
  <si>
    <t>ನೀರಿನ ಹೀರಿಕೊಳ್ಳುವ ಕಂದಕಗಳು (WAT)</t>
  </si>
  <si>
    <t>ଜଳ ଶୋଷଣ ଖାଇ (WAP)</t>
  </si>
  <si>
    <t>Loose boulder structure</t>
  </si>
  <si>
    <t xml:space="preserve">लूज़ बोल्डर स्ट्रक्चर </t>
  </si>
  <si>
    <t>ಸಡಿಲವಾದ ಬಂಡೆಯ ರಚನೆ</t>
  </si>
  <si>
    <t>ଢିଲା ପଥର ବନ୍ଧ</t>
  </si>
  <si>
    <t>Rock fill dam</t>
  </si>
  <si>
    <t>रॉक फिल बांध</t>
  </si>
  <si>
    <t>ಬಂಡೆ ತುಂಬುವ ಅಣೆಕಟ್ಟು</t>
  </si>
  <si>
    <t>ପଥର ପୂର୍ଣ୍ଣ ବନ୍ଧ</t>
  </si>
  <si>
    <t>Stone bunding</t>
  </si>
  <si>
    <t>पत्थर बाँधना</t>
  </si>
  <si>
    <t>ಕಲ್ಲು ಕಟ್ಟುವುದು</t>
  </si>
  <si>
    <t>ପଥର ହୁଡ଼ା</t>
  </si>
  <si>
    <t>Diversion drains</t>
  </si>
  <si>
    <t>डायवर्जन नालियाँ</t>
  </si>
  <si>
    <t>ಡೈವರ್ಶನ್ ಡ್ರೈನ್ಗಳು</t>
  </si>
  <si>
    <t>ଜଳବୁଲାଣି ନାଳ (Diversion Drain)</t>
  </si>
  <si>
    <t>Bunding:Contour bunds/ graded bunds</t>
  </si>
  <si>
    <t xml:space="preserve">मेड़बंदी: समोच्च बाँध/श्रेणीबद्ध बाँध </t>
  </si>
  <si>
    <t>ಕಟ್ಟುವಿಕೆ: ಬಾಹ್ಯರೇಖೆ ಬಂಡ್‌ಗಳು/ ಶ್ರೇಣೀಕೃತ ಬಂಡ್‌ಗಳು</t>
  </si>
  <si>
    <t>ହୁଡ଼ା (କଣ୍ଟୁର ବଣ୍ଡ ବା ଗ୍ରେଡେଡ଼ ବଣ୍ଡ)</t>
  </si>
  <si>
    <t>Farm bund</t>
  </si>
  <si>
    <t>खेत का मेड़</t>
  </si>
  <si>
    <t>ಫಾರ್ಮ್ ಬಂಡ್</t>
  </si>
  <si>
    <t>ଚାଷ ଜମିରେ ହୁଡ଼ା</t>
  </si>
  <si>
    <t>5% model structure</t>
  </si>
  <si>
    <t>5% मॉडल स्ट्रक्चर</t>
  </si>
  <si>
    <t>5% ಮಾದರಿ ರಚನೆ</t>
  </si>
  <si>
    <t>୫% ମଡେଲ</t>
  </si>
  <si>
    <t>30-40 model structure</t>
  </si>
  <si>
    <t xml:space="preserve">30-40 मॉडल स्ट्रक्चर </t>
  </si>
  <si>
    <t>30-40 ಮಾದರಿ ರಚನೆ</t>
  </si>
  <si>
    <t>୩୦ - ୪୦ ମଡେଲ</t>
  </si>
  <si>
    <t>farm_ponds</t>
  </si>
  <si>
    <t>De_sitling</t>
  </si>
  <si>
    <t>De sitling</t>
  </si>
  <si>
    <t>दे सिटलिंग</t>
  </si>
  <si>
    <t>ಡಿ_ಸಿಟ್ಲಿಂಗ್</t>
  </si>
  <si>
    <t>ଡି-ସିଟଲିଂ</t>
  </si>
  <si>
    <t>Repairing_cracks_or_damage_in_embankments</t>
  </si>
  <si>
    <t>Repairing cracks or damage in embankments</t>
  </si>
  <si>
    <t>तटबंधों में दरारों या टूट - फूट की मरम्मत</t>
  </si>
  <si>
    <t>ಒಡ್ಡುಗಳಲ್ಲಿ ಬಿರುಕುಗಳು ಅಥವಾ ಹಾನಿಯನ್ನು ಸರಿಪಡಿಸುವುದು</t>
  </si>
  <si>
    <t>ଚାରିପାଖରେ ଥିବା ବନ୍ଧରେ ଥିବା ଫାଟ ବା କ୍ଷତିର ମରାମତି</t>
  </si>
  <si>
    <t>Controlling_seepage_or_leaks_in_the_pond_bed</t>
  </si>
  <si>
    <t>Controlling seepage or leaks in the pond bed</t>
  </si>
  <si>
    <t>तालाब तल में रिसाव या लीक को नियंत्रित करना</t>
  </si>
  <si>
    <t>ಕೊಳದ ಹಾಸಿಗೆಯಲ್ಲಿ ಸೋರಿಕೆ ಅಥವಾ ಸೋರಿಕೆಯನ್ನು ನಿಯಂತ್ರಿಸುವುದು</t>
  </si>
  <si>
    <t>ମାଟି ତଳକୁ ଝରିଯାଉଥିବା ପାଣିକୁ ନିୟନ୍ତ୍ରଣ କରିବା</t>
  </si>
  <si>
    <t>Erosion_control_on_embankments</t>
  </si>
  <si>
    <t>Erosion control on embankments</t>
  </si>
  <si>
    <t>तटबंधों पर कटाव नियंत्रण</t>
  </si>
  <si>
    <t>ಒಡ್ಡುಗಳ ಮೇಲೆ ಸವೆತ ನಿಯಂತ್ರಣ</t>
  </si>
  <si>
    <t>ଚାରିପାଖର ବନ୍ଧରେ ମାଟିର କ୍ଷୟକୁ ନିୟନ୍ତ୍ରଣ କରିବା</t>
  </si>
  <si>
    <t>Addressing_excessive_aquatic_vegetation_growth</t>
  </si>
  <si>
    <t>Addressing excessive aquatic vegetation growth</t>
  </si>
  <si>
    <t xml:space="preserve">अधिक जलीय पौधों की वृद्धि को रोकना </t>
  </si>
  <si>
    <t>ಅತಿಯಾದ ಜಲವಾಸಿ ಸಸ್ಯವರ್ಗದ ಬೆಳವಣಿಗೆಯನ್ನು ಪರಿಹರಿಸುವುದು</t>
  </si>
  <si>
    <t>ଜଳଜ ଉଦ୍ଭିଦର ଅତ୍ୟଧିକ ବୃଦ୍ଧିକୁ ରୋକିବା</t>
  </si>
  <si>
    <t>Stabilizing_canal_bank_to_prevent_erosion</t>
  </si>
  <si>
    <t>Stabilizing canal bank to prevent erosion</t>
  </si>
  <si>
    <t>कटाव को रोकने के लिए नहर के किनारों को स्थिर करना</t>
  </si>
  <si>
    <t>ಸವೆತವನ್ನು ತಡೆಗಟ್ಟಲು ಕಾಲುವೆ ದಂಡೆಯನ್ನು ಸ್ಥಿರಗೊಳಿಸುವುದು</t>
  </si>
  <si>
    <t>ମୃତ୍ତିକା କ୍ଷୟକୁ ରୋକିବା ପାଇଁ କେନାଲ ବନ୍ଧ ମରାମତି</t>
  </si>
  <si>
    <t>Lining_repairs</t>
  </si>
  <si>
    <t>Lining repairs</t>
  </si>
  <si>
    <t>परत की मरम्मत</t>
  </si>
  <si>
    <t>ಲೈನಿಂಗ್ ರಿಪೇರಿ</t>
  </si>
  <si>
    <t>ମାଟି ତଳକୁ ପାଣି ଝରି ନଯିବା ପାଇଁ ମରାମତି</t>
  </si>
  <si>
    <t>Desilting</t>
  </si>
  <si>
    <t>डिस्लिटिंग</t>
  </si>
  <si>
    <t>ಡಿಸಿಲ್ಟಿಂಗ್</t>
  </si>
  <si>
    <t>ଡିସିଲ୍ଟିଂ</t>
  </si>
  <si>
    <t>Structural_Repairs</t>
  </si>
  <si>
    <t>Structural Repairs</t>
  </si>
  <si>
    <t>ढांचे की मरम्मत</t>
  </si>
  <si>
    <t>ರಚನಾತ್ಮಕ ದುರಸ್ತಿ</t>
  </si>
  <si>
    <t>ଷ୍ଟ୍ରକଚରର ମରାମତି</t>
  </si>
  <si>
    <t>check_dam</t>
  </si>
  <si>
    <t>Erosion_on_the_check_dam</t>
  </si>
  <si>
    <t>Erosion on the check dam</t>
  </si>
  <si>
    <t>चेक डैम पर कटाव</t>
  </si>
  <si>
    <t>ಚೆಕ್ ಡ್ಯಾಂ ಮೇಲೆ ಸವೆತ</t>
  </si>
  <si>
    <t>ମୃତ୍ତିକା କ୍ଷୟକୁ ରୋକିବା</t>
  </si>
  <si>
    <t>Structural_damage_on_the_check_dam</t>
  </si>
  <si>
    <t>Structural damage on the check dam</t>
  </si>
  <si>
    <t xml:space="preserve">चेक डैम के स्क्रेक्चर का नुकसान </t>
  </si>
  <si>
    <t>ಚೆಕ್ ಡ್ಯಾಂ ಮೇಲೆ ರಚನೆ ಹಾನಿ</t>
  </si>
  <si>
    <t xml:space="preserve">Trench </t>
  </si>
  <si>
    <t>Water_leakage_in_bund_due_to_breach_structural_damage</t>
  </si>
  <si>
    <t xml:space="preserve">Water leakage in bund due to breach structural damage </t>
  </si>
  <si>
    <t>क्षतिग्रस्त बांध के कारण पानी का रिसाव</t>
  </si>
  <si>
    <t xml:space="preserve">ಉಲ್ಲಂಘನೆಯ ರಚನಾತ್ಮಕ ಹಾನಿಯಿಂದಾಗಿ ಬಂಡ್‌ನಲ್ಲಿ ನೀರು ಸೋರಿಕೆಯಾಗಿದೆ </t>
  </si>
  <si>
    <t>Erosion_on_bund</t>
  </si>
  <si>
    <t>Erosion on bund</t>
  </si>
  <si>
    <t>बांध का कटाव</t>
  </si>
  <si>
    <t>ಬದುವಿನ ಸವೆತ(ಗೆಣಿಮಿ) ಸವೆತ</t>
  </si>
  <si>
    <t>ବାଣ୍ଡ ଉପରେ କ୍ଷୟ</t>
  </si>
  <si>
    <t>large_water_body</t>
  </si>
  <si>
    <t>Shoreline_Erosion_Control</t>
  </si>
  <si>
    <t>Shoreline erosion control</t>
  </si>
  <si>
    <t xml:space="preserve">किनारे का कटाव रोकना </t>
  </si>
  <si>
    <t>ತೀರದ ಸವೆತ ನಿಯಂತ್ರಣ</t>
  </si>
  <si>
    <t>କୂଳରେ ହେଉଥିବା ମୃତ୍ତିକା କ୍ଷୟର ନିୟନ୍ତ୍ରଣ</t>
  </si>
  <si>
    <t>Dam_Repairs</t>
  </si>
  <si>
    <t>Dam Repairs</t>
  </si>
  <si>
    <t>बांध की मरम्मत</t>
  </si>
  <si>
    <t>ಅಣೆಕಟ್ಟು ದುರಸ್ತಿ</t>
  </si>
  <si>
    <t>ବନ୍ଧର ମରାମତି</t>
  </si>
  <si>
    <t>Controlling_excessive_growth_of_aquatic_vegetation</t>
  </si>
  <si>
    <t xml:space="preserve">Controlling excessive growth of aquatic vegetation/ 
 </t>
  </si>
  <si>
    <t>जलीय पौधों की वृद्धि को नियंत्रित करना</t>
  </si>
  <si>
    <t xml:space="preserve">ಜಲಚರಗಳ ಅತಿಯಾದ ಬೆಳವಣಿಗೆಯನ್ನು ನಿಯಂತ್ರಿಸುವುದು/ 
 </t>
  </si>
  <si>
    <t>Irrigation_cannel</t>
  </si>
  <si>
    <t>Channel_bed_leveling</t>
  </si>
  <si>
    <t>Channel bed leveling</t>
  </si>
  <si>
    <t xml:space="preserve">सिंचाई नालों की समतलीकरण </t>
  </si>
  <si>
    <t>ಚಾನೆಲ್ ಬೆಡ್ ಲೆವೆಲಿಂಗ್</t>
  </si>
  <si>
    <t>ଚାନେଲ ବେଡ୍ ସମତଳୀକରଣ</t>
  </si>
  <si>
    <t>ଆବରଣ ମରାମତି</t>
  </si>
  <si>
    <t>Clearing_debris</t>
  </si>
  <si>
    <t>Clearing debris</t>
  </si>
  <si>
    <t>कचरा साफ़ करना</t>
  </si>
  <si>
    <t>ಶಿಲಾಖಂಡರಾಶಿಗಳನ್ನು ತೆರವುಗೊಳಿಸುವುದು</t>
  </si>
  <si>
    <t>ଆବର୍ଜନା ସଫା କରିବା</t>
  </si>
  <si>
    <t>Vegetation</t>
  </si>
  <si>
    <t xml:space="preserve">खरपतवार </t>
  </si>
  <si>
    <t>ಸಸ್ಯವರ್ಗ</t>
  </si>
  <si>
    <t>ପନିପରିବା</t>
  </si>
  <si>
    <t>Gates_and_valves_maintenance</t>
  </si>
  <si>
    <t>Gates and valves maintenance</t>
  </si>
  <si>
    <t>गेट और वल्व का रखरखाव</t>
  </si>
  <si>
    <t>ನೀರಿನ ಗೇಟ ಮತ್ತು ನೀರಿನ ವಾಲ್‌ ನಿರ್ವಃಣೆ</t>
  </si>
  <si>
    <t>ଗେଟ୍ ଏବଂ ଭଲଭ୍ ରକ୍ଷଣାବେକ୍ଷଣ</t>
  </si>
  <si>
    <t>loose_boulder_structure</t>
  </si>
  <si>
    <t>Dislodged_boulders</t>
  </si>
  <si>
    <t>Dislodged boulders</t>
  </si>
  <si>
    <t>उखड़े हुए पत्थर</t>
  </si>
  <si>
    <t>ಕಳಚಿದ ಬಂಡೆಗಳು</t>
  </si>
  <si>
    <t>ବିଚ୍ଛିନ୍ନ_ବୋଲ୍ଡରଗୁଡ଼ିକ</t>
  </si>
  <si>
    <t xml:space="preserve">Grouting </t>
  </si>
  <si>
    <t>Grouting</t>
  </si>
  <si>
    <t>दरारों</t>
  </si>
  <si>
    <t>ಗ್ರೌಟಿಂಗ್</t>
  </si>
  <si>
    <t>ଘୁଞ୍ଚିବା</t>
  </si>
  <si>
    <t>Erosion_around_boulder_structure</t>
  </si>
  <si>
    <t>Erosion around boulder structure</t>
  </si>
  <si>
    <t>बोल्डर के आस-पास कटाव</t>
  </si>
  <si>
    <t>ಬಂಡೆಯ ರಚನೆಯ ಸುತ್ತ ಸವೆತ</t>
  </si>
  <si>
    <t>କ୍ଷୟ_ଚାରପାଖ_ବୋଲ୍ଡର_ସଂରଚନା</t>
  </si>
  <si>
    <t>water_structure_suitable</t>
  </si>
  <si>
    <t xml:space="preserve">Irrigation </t>
  </si>
  <si>
    <t>Irrigation</t>
  </si>
  <si>
    <t xml:space="preserve">सिंचाई </t>
  </si>
  <si>
    <t>ನೀರಾವರಿ</t>
  </si>
  <si>
    <t>ଜଳସେଚନ</t>
  </si>
  <si>
    <t>Drinking</t>
  </si>
  <si>
    <t xml:space="preserve">पीना </t>
  </si>
  <si>
    <t>ಕುಡಿಯುವುದು</t>
  </si>
  <si>
    <t>ପାନୀୟ</t>
  </si>
  <si>
    <t>Both</t>
  </si>
  <si>
    <t>दोनों</t>
  </si>
  <si>
    <t>ಎರಡೂ</t>
  </si>
  <si>
    <t>ଉଭୟ</t>
  </si>
  <si>
    <t>water_quality_change</t>
  </si>
  <si>
    <t xml:space="preserve">Significantly degraded
</t>
  </si>
  <si>
    <t>Significantly degraded</t>
  </si>
  <si>
    <t xml:space="preserve">बहुत ख़राब </t>
  </si>
  <si>
    <t>ಗಮನಾರ್ಹವಾಗಿ ಕುಸಿದಿದೆ</t>
  </si>
  <si>
    <t>ଉଲ୍ଲେଖନୀୟ ଭାବରେ ଅବନତ ହୋଇଛି</t>
  </si>
  <si>
    <t>Slightly degraded</t>
  </si>
  <si>
    <t xml:space="preserve">थोड़ा ख़राब </t>
  </si>
  <si>
    <t>ಸ್ವಲ್ಪಮಟ್ಟಿಗೆ ಕುಸಿದಿದೆ</t>
  </si>
  <si>
    <t>ସାମାନ୍ୟ ଅବନତ ହୋଇଛି</t>
  </si>
  <si>
    <t>No change</t>
  </si>
  <si>
    <t>कोई परिवर्तन नहीं होता है</t>
  </si>
  <si>
    <t>કોઈ ફેરફાર નથી</t>
  </si>
  <si>
    <t>ಬದಲಾವಣೆ ಇಲ್ಲ</t>
  </si>
  <si>
    <t>କୌଣସି ପରିବର୍ତ୍ତନ ନାହିଁ</t>
  </si>
  <si>
    <t>Slightly improved</t>
  </si>
  <si>
    <t>मामूली सुधार हुआ</t>
  </si>
  <si>
    <t>ಸ್ವಲ್ಪ ಸುಧಾರಿಸಿದೆ</t>
  </si>
  <si>
    <t>ସାମାନ୍ୟ ଉନ୍ନତ ହୋଇଛି</t>
  </si>
  <si>
    <t>Significantly improved</t>
  </si>
  <si>
    <t xml:space="preserve">काफी सुधार हुआ </t>
  </si>
  <si>
    <t>ಗಮನಾರ್ಹವಾಗಿ ಸುಧಾರಿಸಿದೆ</t>
  </si>
  <si>
    <t>ମୂଳତଃ ଉନ୍ନତ ହୋଇଛି</t>
  </si>
  <si>
    <t>uses_structure</t>
  </si>
  <si>
    <t>Domestic_use</t>
  </si>
  <si>
    <t>Domestic use</t>
  </si>
  <si>
    <t>घरेलू उपयोग</t>
  </si>
  <si>
    <t>ದೇಶೀಯ ಬಳಕೆ</t>
  </si>
  <si>
    <t>ଘରୋଇ ବ୍ୟବହାର</t>
  </si>
  <si>
    <t>Livestock</t>
  </si>
  <si>
    <t>पशु</t>
  </si>
  <si>
    <t>ಜಾನುವಾರು</t>
  </si>
  <si>
    <t>ପଶୁପକ୍ଷୀ ପାଳନ</t>
  </si>
  <si>
    <t>Storage</t>
  </si>
  <si>
    <t>भंडारण</t>
  </si>
  <si>
    <t>ಸಂಗ್ರಹಣೆ</t>
  </si>
  <si>
    <t>ଗଛିତ କରି ରଖିବା ନିମନ୍ତେ</t>
  </si>
  <si>
    <t>Aquaculture</t>
  </si>
  <si>
    <t>जलीय जीवों का पालन</t>
  </si>
  <si>
    <t>ಜಲಚರ ಸಾಕಣೆ</t>
  </si>
  <si>
    <t>ଜଳଜୀବ ପାଳନ (ଆକ୍ୱାକଲଚର)</t>
  </si>
  <si>
    <t>Drinking_water</t>
  </si>
  <si>
    <t>Drinking water</t>
  </si>
  <si>
    <t>पीने का पानी</t>
  </si>
  <si>
    <t>ಕುಡಿಯುವ ನೀರು</t>
  </si>
  <si>
    <t>ପାନୀୟ ଜଳ</t>
  </si>
  <si>
    <t>Industrial_use</t>
  </si>
  <si>
    <t>Industrial use</t>
  </si>
  <si>
    <t>औद्योगिक उपयोग</t>
  </si>
  <si>
    <t>ಕೈಗಾರಿಕಾ ಬಳಕೆ</t>
  </si>
  <si>
    <t>ଶିଳ୍ପ ନିମନ୍ତେ</t>
  </si>
  <si>
    <t>Recharge_of_groundwater</t>
  </si>
  <si>
    <t>Recharge of groundwater</t>
  </si>
  <si>
    <t xml:space="preserve">भूजल का रिचार्ज </t>
  </si>
  <si>
    <t>ಅಂತರ್ಜಲ ಮರುಪೂರಣ</t>
  </si>
  <si>
    <t>ଭୂତଳ ଜଳର ରିଚାର୍ଜ ପାଇଁ</t>
  </si>
  <si>
    <t>No_use</t>
  </si>
  <si>
    <t>No use</t>
  </si>
  <si>
    <t xml:space="preserve">किसी काम का नही </t>
  </si>
  <si>
    <t>ಉಪಯೋಗವಿಲ್ಲ</t>
  </si>
  <si>
    <t>କୌଣସି ବ୍ୟବହାର ନାହିଁ</t>
  </si>
  <si>
    <t xml:space="preserve">Community_pond </t>
  </si>
  <si>
    <t>Shoreline_erosion_control</t>
  </si>
  <si>
    <t>तटरेखा कटाव नियंत्रण</t>
  </si>
  <si>
    <t>तटबंधों में दरारों या टूट की मरम्मत</t>
  </si>
  <si>
    <t>ବନ୍ଧରେ ହୋଇଥିବା ଫାଟ ବା କ୍ଷତିର ମରାମତି</t>
  </si>
  <si>
    <t>Controlling_excessive_aquatic_vegetation_growth</t>
  </si>
  <si>
    <t>Controlling excessive aquatic vegetation growth</t>
  </si>
  <si>
    <t>ಅತಿಯಾದ ಜಲಸಸ್ಯಗಳ ಬೆಳವಣಿಗೆಯನ್ನು ನಿಯಂತ್ರಿಸುವುದು</t>
  </si>
  <si>
    <t>ଜଳଜ ଉଦ୍ଭିଦର ଅତ୍ୟଧିକ ବୃଦ୍ଧିର ନିୟନ୍ତ୍ରଣ</t>
  </si>
  <si>
    <t>Repair_or_cleaning_of_inlet_outlet_structures</t>
  </si>
  <si>
    <t>Repair or cleaning of inlet/outlet structures</t>
  </si>
  <si>
    <t>इनलेट/आउटलेट स्ट्रक्चर की मरम्मत या सफाई</t>
  </si>
  <si>
    <t>ಒಳಹರಿವು/ಔಟ್ಲೆಟ್ ರಚನೆಗಳ ದುರಸ್ತಿ ಅಥವಾ ಸ್ವಚ್ಛಗೊಳಿಸುವಿಕೆ</t>
  </si>
  <si>
    <t>ଜଳ ଆଗମନ ଓ ନିଷ୍କାସନ ନିମନ୍ତେ ହୋଇଥିବା ଷ୍ଟ୍ରକଚରର ସଫେଇ ବା ମରାମତି</t>
  </si>
  <si>
    <t>Percolation_tank</t>
  </si>
  <si>
    <t>Breach_in_embankments</t>
  </si>
  <si>
    <t>Breach in embankments</t>
  </si>
  <si>
    <t>तटबंधों का टूटना</t>
  </si>
  <si>
    <t>ಒಡ್ಡುಗಳಲ್ಲಿ ಬಿರುಕು</t>
  </si>
  <si>
    <t>ବନ୍ଧରେ ଥିବା ଫାଟ</t>
  </si>
  <si>
    <t>Erosion_on_tank_bund_or_inlet_outlet</t>
  </si>
  <si>
    <t>Erosion on tank bund or inlet/outlet</t>
  </si>
  <si>
    <t>टैंक बांध या इनलेट/आउटलेट पर कटाव</t>
  </si>
  <si>
    <t>ಟ್ಯಾಂಕ್ ಬಂಡ್ ಅಥವಾ ಒಳಹರಿವು/ಔಟ್ಲೆಟ್ ಮೇಲೆ ಸವೆತ</t>
  </si>
  <si>
    <t>ବନ୍ଧ କିମ୍ବା ଜଳ ଆଗମନ ଓ ନିଷ୍କାସନ ପଥରେ ମୃତ୍ତିକା କ୍ଷୟ</t>
  </si>
  <si>
    <t>Vegetation_growth_blocking_water_entry</t>
  </si>
  <si>
    <t>Vegetation growth blocking water entry</t>
  </si>
  <si>
    <t>पौधों की वृद्धि से पानी का बहाव रुक रहा है</t>
  </si>
  <si>
    <t>ನೀರಿನ ಪ್ರವೇಶವನ್ನು ತಡೆಯುವ ಸಸ್ಯಗಳ ಬೆಳವಣಿಗೆ</t>
  </si>
  <si>
    <t>ଉଦ୍ଭିଦ ବୃଦ୍ଧି ଦ୍ୱାରା ଜଳର ଆଗମନ ଅବରୋଧ</t>
  </si>
  <si>
    <t>Damage_to_spillway_or_outlet_structure</t>
  </si>
  <si>
    <t>Damage to spillway or outlet structure</t>
  </si>
  <si>
    <t>स्पिलवे या आउटलेट स्ट्रक्चर को नुकसान</t>
  </si>
  <si>
    <t>ಸ್ಪಿಲ್ವೇ ಅಥವಾ ಔಟ್ಲೆಟ್ ರಚನೆಗೆ ಹಾನಿ</t>
  </si>
  <si>
    <t>ଜଳ ନିର୍ଗମନ ବା ନିଷ୍କାସନ ଷ୍ଟ୍ରକଚରର କ୍ଷତି</t>
  </si>
  <si>
    <t>Earthen_gully_plug</t>
  </si>
  <si>
    <t>Breaches_in_the_earthen_structure</t>
  </si>
  <si>
    <t>Breaches in the earthen structure</t>
  </si>
  <si>
    <t>मिट्टी के स्ट्रक्चर में दरारें</t>
  </si>
  <si>
    <t>ಮಣ್ಣಿನ ರಚನೆಯಲ್ಲಿ ಉಲ್ಲಂಘನೆ</t>
  </si>
  <si>
    <t>ମାଟିରେ ହୋଇଥିବା ଷ୍ଟ୍ରକଚରରେ ଫାଟ</t>
  </si>
  <si>
    <t>Erosion_at_the_base_or_sides</t>
  </si>
  <si>
    <t>Erosion at the base or sides</t>
  </si>
  <si>
    <t>आधार या किनारों पर कटाव</t>
  </si>
  <si>
    <t>ತಳದಲ್ಲಿ ಅಥವಾ ಬದಿಗಳಲ್ಲಿ ಸವೆತ</t>
  </si>
  <si>
    <t>ପାର୍ଶ୍ଵ କିମ୍ବା ତଳେ ମୃତ୍ତିକା କ୍ଷୟ</t>
  </si>
  <si>
    <t>Loss_of_compactness_in_the_soil_structure</t>
  </si>
  <si>
    <t>Loss of compactness in the soil structure</t>
  </si>
  <si>
    <t xml:space="preserve">मिट्टी के स्ट्रक्चर में सघनता की कमी </t>
  </si>
  <si>
    <t>ಮಣ್ಣಿನ ರಚನೆಯಲ್ಲಿ ಸಾಂದ್ರತೆಯ ನಷ್ಟ</t>
  </si>
  <si>
    <t>ମାଟି ଢିଲା ହୋଇଯିବା</t>
  </si>
  <si>
    <t>Vegetation_growth_on_the_plug</t>
  </si>
  <si>
    <t>Vegetation growth on the plug</t>
  </si>
  <si>
    <t>प्लग पर पौधों की वृद्धि</t>
  </si>
  <si>
    <t>ಪ್ಲಗ್ನಲ್ಲಿ ಸಸ್ಯವರ್ಗದ ಬೆಳವಣಿಗೆ</t>
  </si>
  <si>
    <t>ଘାସ ଓ ଗଛ ଇତ୍ୟାଦି ବୃଦ୍ଧି କରି ବନ୍ଧକୁ ସୁଦୃଢ କରିବା</t>
  </si>
  <si>
    <t>Drainage_soakage</t>
  </si>
  <si>
    <t>Erosion_along_the_channel_sides</t>
  </si>
  <si>
    <t>Erosion along the channel sides</t>
  </si>
  <si>
    <t>चैनल के किनारों पर कटाव</t>
  </si>
  <si>
    <t>ಚಾನಲ್ ಬದಿಗಳಲ್ಲಿ ಸವೆತ</t>
  </si>
  <si>
    <t>ପାର୍ଶ୍ବରୁ ମୃତ୍ତିକା କ୍ଷୟ</t>
  </si>
  <si>
    <t>Collapsed_sections_of_the_channel</t>
  </si>
  <si>
    <t>Collapsed sections of the channel</t>
  </si>
  <si>
    <t xml:space="preserve">नहर के हिस्सों का ढह जाना </t>
  </si>
  <si>
    <t>ಚಾನಲ್‌ನ ಕುಗ್ಗಿದ ವಿಭಾಗಗಳು</t>
  </si>
  <si>
    <t>ଚ୍ୟାନେଲର କିଛି ଅଂଶ ଭୁଶୁଡିବା</t>
  </si>
  <si>
    <t>Vegetation_overgrowth_reducing_flow_efficiency</t>
  </si>
  <si>
    <t>Vegetation overgrowth reducing flow efficiency</t>
  </si>
  <si>
    <t>पौधों की अधिक वृद्धि से बहाव कम हो रही है</t>
  </si>
  <si>
    <t>ಸಸ್ಯವರ್ಗದ ಬೆಳವಣಿಗೆಯು ಹರಿವಿನ ದಕ್ಷತೆಯನ್ನು ಕಡಿಮೆ ಮಾಡುತ್ತದೆ</t>
  </si>
  <si>
    <t>ଉଦ୍ଭିଦ ବୃଦ୍ଧି ଯୋଗୁଁ ଜଳ ପ୍ରବାହର ଗତି କମିଯିବା</t>
  </si>
  <si>
    <t>Recharge_pits</t>
  </si>
  <si>
    <t>Cracks_or_damages_in_the_lining</t>
  </si>
  <si>
    <t>Cracks or damages in the lining</t>
  </si>
  <si>
    <t xml:space="preserve">परत में दरारें या टूट - फूट </t>
  </si>
  <si>
    <t>ଏହାର ଦୁଇ ପାର୍ଶ୍ବରେ ଫାଟ କିମ୍ବା କ୍ଷତି ହେବା</t>
  </si>
  <si>
    <t>Blockages_in_filters_or_gravel_layers</t>
  </si>
  <si>
    <t>Blockages in filters or gravel layers</t>
  </si>
  <si>
    <t>फिल्टर या कंकड़ वाले परतों में रुकावटें</t>
  </si>
  <si>
    <t>ଅଳିଆ ଆବର୍ଜନା ଇତ୍ୟାଦି ଜମି ମାଟି ତଳକୁ ପାଣି ଯିବାରେ ଅସୁବିଧା</t>
  </si>
  <si>
    <t>Vegetation_or_debris_obstructing_the_pit</t>
  </si>
  <si>
    <t>Vegetation or debris obstructing the pit</t>
  </si>
  <si>
    <t xml:space="preserve">पौधे या मलबा गड्ढे में पानी जाने से रोकते हैं </t>
  </si>
  <si>
    <t>ଉଦ୍ଭିଦ କିମ୍ବା ଅଳିଆ ଆବର୍ଜନା ଦ୍ୱାରା ଅବରୋଧ</t>
  </si>
  <si>
    <t>Soakage_pits</t>
  </si>
  <si>
    <t>Damage_to_pit_walls_or_filters</t>
  </si>
  <si>
    <t>Damage to pit walls or filters</t>
  </si>
  <si>
    <t>गड्ढे की दीवारों या फिल्टरों को नुकसान</t>
  </si>
  <si>
    <t>ಪಿಟ್ ಗೋಡೆಗಳು ಅಥವಾ ಫಿಲ್ಟರ್ಗಳಿಗೆ ಹಾನಿ</t>
  </si>
  <si>
    <t>ଏହାର ଦୁଇ ପାର୍ଶ୍ଵ କିମ୍ବା ତଳେ ଦିଆଯାଇଥିବା ଛୋଟ ପଥର ଇତ୍ୟାଦି କ୍ଷତିଗ୍ରସ୍ତ ହେବା</t>
  </si>
  <si>
    <t>Vegetation_obstructing_flow_into_the_pit</t>
  </si>
  <si>
    <t>Vegetation obstructing flow into the pit</t>
  </si>
  <si>
    <t xml:space="preserve">पौधे गड्ढे में पानी के बहाव को रोक रहे हैं </t>
  </si>
  <si>
    <t>ಸಸ್ಯವರ್ಗವು ಹಳ್ಳಕ್ಕೆ ಹರಿಯುವುದನ್ನು ತಡೆಯುತ್ತದೆ</t>
  </si>
  <si>
    <t>ଉଦ୍ଭିଦ ଯୋଗୁଁ ପିଟକୁ ଜଳ ଆସିବାରେ ଅସୁବିଧା</t>
  </si>
  <si>
    <t>Water_pooling_due_to_improper_drainage</t>
  </si>
  <si>
    <t>Water pooling due to improper drainage</t>
  </si>
  <si>
    <t>गलत पानी निकासी के वजह से जल जमाव</t>
  </si>
  <si>
    <t>ಅಸಮರ್ಪಕ ಒಳಚರಂಡಿಯಿಂದಾಗಿ ನೀರಿನ ಸಂಗ್ರಹಣೆ</t>
  </si>
  <si>
    <t>ଅନୁପଯୁକ୍ତ ଜଳ ନିଷ୍କାସନ ଯୋଗୁଁ ପାଣି ଜମିବା</t>
  </si>
  <si>
    <t>Continuous_contour_trenches</t>
  </si>
  <si>
    <t>Erosion_of_trench_edges</t>
  </si>
  <si>
    <t>Erosion of trench edges</t>
  </si>
  <si>
    <t>खाई के किनारों का घिस जाना</t>
  </si>
  <si>
    <t xml:space="preserve">ಕಾಲುವೆಯ ಅಂಚುಗಳ ಸವೆತ </t>
  </si>
  <si>
    <t>ପାର୍ଶ୍ଵ କ୍ଷତିଗ୍ରସ୍ତ ହୋଇ ମୃତ୍ତିକା କ୍ଷୟ ହେବା</t>
  </si>
  <si>
    <t>Vegetation_growth_obstructing_water_infiltration</t>
  </si>
  <si>
    <t>Vegetation growth obstructing water infiltration</t>
  </si>
  <si>
    <t>पौधों की वृद्धि पानी को प्रवेश करने से रोकती है</t>
  </si>
  <si>
    <t>ಸಸ್ಯಗಳ ಬೆಳವಣಿಗೆಯು ನೀರಿನ ಒಳಹರಿವು ತಡೆಯುತ್ತದೆ</t>
  </si>
  <si>
    <t>ଉଦ୍ଭିଦ ଯୋଗୁଁ ଭିତରକୁ ଜଳ ଆସିବାରେ ଅସୁବିଧା</t>
  </si>
  <si>
    <t>Staggered_contour_trenches</t>
  </si>
  <si>
    <t>Erosion_of_trench_edges_or_sides</t>
  </si>
  <si>
    <t>Erosion of trench edges or sides</t>
  </si>
  <si>
    <t>खाई का ऊपरी किनारा या अन्य किनारों का घिस जाना</t>
  </si>
  <si>
    <t xml:space="preserve">ಕಾಲುವೆಯ ಅಂಚುಗಳ ಮತ್ತು ಬದುಗಳ ಸವೆತ </t>
  </si>
  <si>
    <t>Poor_alignment_reducing_effectiveness</t>
  </si>
  <si>
    <t>Poor alignment reducing effectiveness</t>
  </si>
  <si>
    <t>खराब अलाइमेंट से असर कम हो रही है</t>
  </si>
  <si>
    <t>ಕಳಪೆ ಜೋಡಣೆ ಪರಿಣಾಮಕಾರಿತ್ವವನ್ನು ಕಡಿಮೆ ಮಾಡುತ್ತದೆ</t>
  </si>
  <si>
    <t>ନିର୍ମାଣଗତ ତ୍ରୁଟିକୁ ସଜାଡ଼ିବା</t>
  </si>
  <si>
    <t>Water_absorption_trenches</t>
  </si>
  <si>
    <t>Erosion_along_trench_edges</t>
  </si>
  <si>
    <t>Erosion along trench edges</t>
  </si>
  <si>
    <t>खाई के सभी किनारों पर कटाव</t>
  </si>
  <si>
    <t xml:space="preserve">ಕಾಲುವೆಯ  ಅಂಚುಗಳ ಸವೆತ </t>
  </si>
  <si>
    <t>Vegetation_obstructing_flow_into_the_trench</t>
  </si>
  <si>
    <t>Vegetation obstructing flow into the trench</t>
  </si>
  <si>
    <t xml:space="preserve">पौधे खाई में जल के बहाव को रोक रहे हैं </t>
  </si>
  <si>
    <t xml:space="preserve">ಕಾಲುವೆಯ  ನೀರನ್ನು ಹರಿಯುವಿಕೆಯನ್ನು ತಡೆಯುತ್ತದ್ದೆ. </t>
  </si>
  <si>
    <t>ଉଦ୍ଭିଦ ଯୋଗୁଁ ଟ୍ରେଞ୍ଚ ଭିତରକୁ ଜଳ ଯିବାରେ ଅସୁବିଧା</t>
  </si>
  <si>
    <t xml:space="preserve">Rock_fill_dam </t>
  </si>
  <si>
    <t>ಕೆಸರು ಸಂಗ್ರಹಣೆಯು ನೀರಿನ ಸಂಗ್ರಹವನ್ನು ಕಡಿಮೆ ಮಾಡುತ್ತದೆ</t>
  </si>
  <si>
    <t>ପଙ୍କ ଇତ୍ୟାଦି ଜମି ଗଛିତ ଜଳର ପରିମାଣ କମିବା</t>
  </si>
  <si>
    <t>Dislodged_or_loose_rocks</t>
  </si>
  <si>
    <t>Dislodged or loose rocks</t>
  </si>
  <si>
    <t>उखड़ी हुई या ढीली चट्टानें</t>
  </si>
  <si>
    <t>ಕಳಚಿದ ಅಥವಾ ಸಡಿಲವಾದ ಬಂಡೆಗಳು</t>
  </si>
  <si>
    <t>ପଥରଗୁଡିକ ଵିଚ୍ଛିନ୍ନ ହୋଇଯିବା</t>
  </si>
  <si>
    <t>Erosion_around_or_under_the_dam_structure</t>
  </si>
  <si>
    <t>Erosion around or under the dam structure</t>
  </si>
  <si>
    <t>बांध स्ट्रक्चर के आसपास या नीचे कटाव</t>
  </si>
  <si>
    <t>ಅಣೆಕಟ್ಟು ರಚನೆಯ ಸುತ್ತಲೂ ಅಥವಾ ಅಡಿಯಲ್ಲಿ ಸವೆತ</t>
  </si>
  <si>
    <t>ଷ୍ଟ୍ରକଚରରେ ହେଉଥିବା ମୃତ୍ତିକା କ୍ଷୟ</t>
  </si>
  <si>
    <t>Stone_bunding</t>
  </si>
  <si>
    <t>Dislodged_stones_reducing_structure_stability</t>
  </si>
  <si>
    <t>Dislodged stones reducing structure stability</t>
  </si>
  <si>
    <t>उखड़े हुए पत्थरों से स्ट्रक्चर की मजबूती कम हो रही है</t>
  </si>
  <si>
    <t>ಡಿಸ್ಲೊಡೆಡ್ ಕಲ್ಲುಗಳು ರಚನೆಯ ಸ್ಥಿರತೆಯನ್ನು ಕಡಿಮೆ ಮಾಡುತ್ತದೆ</t>
  </si>
  <si>
    <t>ପଥର ଗୁଡିକ ଖସି ଅଲଗା ହୋଇ ହୁଡ଼ାକୁ ଦୁର୍ବଳ କରିବା</t>
  </si>
  <si>
    <t>ಕಟ್ಟೆಯ ಹಿಂದೆ ಕೆಸರು ನಿರ್ಮಾಣವಾಗಿದೆ</t>
  </si>
  <si>
    <t>ହୁଡ଼ା ପଛରେ ପଙ୍କ ଇତ୍ୟାଦି ଜମିବା</t>
  </si>
  <si>
    <t>Erosion_along_the_bund_edges</t>
  </si>
  <si>
    <t>Erosion along the bund edges</t>
  </si>
  <si>
    <t>बांध के सभी किनारों पर कटाव</t>
  </si>
  <si>
    <t>ಬಂಡ್ ಅಂಚುಗಳ ಉದ್ದಕ್ಕೂ ಸವೆತ</t>
  </si>
  <si>
    <t>ହୁଡ଼ାର ଧାର କ୍ଷତିଗ୍ରସ୍ତ ହୋଇ ମୃତ୍ତିକା କ୍ଷୟ ହେବା</t>
  </si>
  <si>
    <t>Diversion_drains</t>
  </si>
  <si>
    <t>दे_सिटलिंग</t>
  </si>
  <si>
    <t>Erosion_along_the_drain_edges</t>
  </si>
  <si>
    <t>Erosion along the drain edges</t>
  </si>
  <si>
    <t>नाले के किनारों पर कटाव</t>
  </si>
  <si>
    <t>ಚರಂಡಿ ಅಂಚುಗಳ ಉದ್ದಕ್ಕೂ ಸವೆತ</t>
  </si>
  <si>
    <t>ନାଳର ଧାରରେ ମୃତ୍ତିକା କ୍ଷୟ</t>
  </si>
  <si>
    <t>Collapsed_or_damaged_drain_sections</t>
  </si>
  <si>
    <t>Collapsed or damaged drain sections</t>
  </si>
  <si>
    <t xml:space="preserve">ढहे या टूटे नाली के भाग </t>
  </si>
  <si>
    <t>ಕುಸಿದ ಅಥವಾ ಹಾನಿಗೊಳಗಾದ ಚರಂಡಿ ವಿಭಾಗಗಳು</t>
  </si>
  <si>
    <t>ନିଷ୍କାସନ ବ୍ୟବସ୍ଥା କ୍ଷତିଗ୍ରସ୍ତ ହେବା</t>
  </si>
  <si>
    <t xml:space="preserve">Bunding </t>
  </si>
  <si>
    <t>Cracks_breaches_or_damage_to_the_bund_structure</t>
  </si>
  <si>
    <t>Cracks, breaches, or damage to the bund structure</t>
  </si>
  <si>
    <t xml:space="preserve">बांध स्ट्रक्चर में दरारें, टूट-फूट या अन्य खराबी </t>
  </si>
  <si>
    <t>ಬಂಡ್ ರಚನೆಗೆ ಬಿರುಕುಗಳು, ಉಲ್ಲಂಘನೆಗಳು ಅಥವಾ ಹಾನಿ</t>
  </si>
  <si>
    <t>ହୁଡାରେ ଥିବା ଫାଟ ଇତ୍ୟାଦି ବନ୍ଦ କରିବା</t>
  </si>
  <si>
    <t>Erosion_along_bund_edges_slopes_or_base</t>
  </si>
  <si>
    <t>Erosion along bund edges, slopes, or base</t>
  </si>
  <si>
    <t>बांध के किनारों, ढलानों या आधार पर कटाव</t>
  </si>
  <si>
    <t>ಬಂಡ್ ಅಂಚುಗಳು, ಇಳಿಜಾರುಗಳು ಅಥವಾ ಬೇಸ್ ಉದ್ದಕ್ಕೂ ಸವೆತ</t>
  </si>
  <si>
    <t>ବନ୍ଧର ପାର୍ଶ୍ଵ, ଧାର ଓ ତଳୁ ମୃତ୍ତିକା କ୍ଷୟ ହେବା</t>
  </si>
  <si>
    <t>Improper_alignment_or_grading_disrupting_water_distribution</t>
  </si>
  <si>
    <t>Improper alignment or grading disrupting water distribution</t>
  </si>
  <si>
    <t xml:space="preserve">गलत अलाइमेंट या ग्रेडिंग से पानी वितरण में रूकावट होता है </t>
  </si>
  <si>
    <t>ಅನುಚಿತ ಜೋಡಣೆ ಅಥವಾ ಗ್ರೇಡಿಂಗ್ ನೀರಿನ ವಿತರಣೆಯನ್ನು ಅಡ್ಡಿಪಡಿಸುತ್ತದೆ</t>
  </si>
  <si>
    <t>ନିର୍ମାଣଗତ ତ୍ରୁଟି ଯୋଗୁଁ ଠିକ ଭାବରେ ଜଳ ପ୍ରବାହ ନ ହେବା</t>
  </si>
  <si>
    <t>Vegetative_growth_weakening_bund_stability</t>
  </si>
  <si>
    <t>Vegetative growth weakening bund stability</t>
  </si>
  <si>
    <t>पौधों की वृद्धि से बांध की मजबूती कमजोर हो रही है</t>
  </si>
  <si>
    <t>ಸಸ್ಯಕ ಬೆಳವಣಿಗೆಯು ಬಂಡ್ ಸ್ಥಿರತೆಯನ್ನು ದುರ್ಬಲಗೊಳಿಸುತ್ತದೆ</t>
  </si>
  <si>
    <t>ଉଦ୍ଭିଦ ଇତ୍ୟାଦିର ବୃଦ୍ଧି ଯୋଗୁଁ ବନ୍ଧ ଦୁର୍ବଳ ହେବା</t>
  </si>
  <si>
    <t>Weakening_of_the_structure_due_to_seepage_or_heavy_rainfall</t>
  </si>
  <si>
    <t>Weakening of the structure due to seepage or heavy rainfall</t>
  </si>
  <si>
    <t>रिसाव या भारी वर्षा के कारण स्ट्रक्चर का कमजोर होना</t>
  </si>
  <si>
    <t>ಸೋರುವಿಕೆ ಅಥವಾ ಭಾರೀ ಮಳೆಯಿಂದಾಗಿ ರಚನೆಯ ದುರ್ಬಲಗೊಳ್ಳುವಿಕೆ</t>
  </si>
  <si>
    <t>ପ୍ରବଳ ବୃଷ୍ଟିପାତ କିମ୍ବା ପାଣି ମାଟି ତଳକୁ ଝରିଯିବା ଯୋଗୁଁ ହୁଡ଼ାଟି ଦୁର୍ବଳ ହେବା</t>
  </si>
  <si>
    <t>Farm_bund</t>
  </si>
  <si>
    <t>Repairing_cracks_or_breaches_in_the_bund</t>
  </si>
  <si>
    <t>Repairing cracks or breaches in the bund</t>
  </si>
  <si>
    <t>बांध में दरारों या टूट - फूट की मरम्मत करना</t>
  </si>
  <si>
    <t>ಬಂಡ್‌ನಲ್ಲಿ ಬಿರುಕುಗಳು ಅಥವಾ ಉಲ್ಲಂಘನೆಗಳನ್ನು ಸರಿಪಡಿಸುವುದು</t>
  </si>
  <si>
    <t>ହୁଡାରେ ଥିବା ଫାଟର ମରାମତି</t>
  </si>
  <si>
    <t>Strengthening_bund_structure_with_additional_soil_or_materials</t>
  </si>
  <si>
    <t>Strengthening bund structure with additional soil or materials</t>
  </si>
  <si>
    <t>अतिरिक्त मिट्टी या समान से बांध स्ट्रक्चर को मजबूत करना</t>
  </si>
  <si>
    <t>ಹೆಚ್ಚುವರಿ ಮಣ್ಣು ಅಥವಾ ವಸ್ತುಗಳೊಂದಿಗೆ ಬಂಡ್ ರಚನೆಯನ್ನು ಬಲಪಡಿಸುವುದು</t>
  </si>
  <si>
    <t>ଅଧିକ ମାଟି କିମ୍ବା ଅନ୍ୟ ସାମଗ୍ରୀ ଦେଇ ହୁଡ଼ାକୁ ଶକ୍ତ କରିବା</t>
  </si>
  <si>
    <t>Leveling_and_reshaping_the_bund_for_better_water_retention</t>
  </si>
  <si>
    <t>Leveling and reshaping the bund for better water retention</t>
  </si>
  <si>
    <t>पानी को टिकाए रखने के लिए बांध को समतल करना और उसका आकार बदलना</t>
  </si>
  <si>
    <t>ಉತ್ತಮ ನೀರಿನ ಧಾರಣಕ್ಕಾಗಿ ಬಂಡ್ ಅನ್ನು ನೆಲಸಮಗೊಳಿಸುವುದು ಮತ್ತು ಮರುರೂಪಿಸುವುದು</t>
  </si>
  <si>
    <t>ଜଳକୁ ଉତ୍ତମ ଭାବରେ ଧରି ରଖିବା ନିମନ୍ତେ ହୁଡ଼ାକୁ ସମତଳ କରିବା ବା ନୂତନ ଆକାର ଦେବା</t>
  </si>
  <si>
    <t>Vegetative_stabilization_to_prevent_erosion</t>
  </si>
  <si>
    <t>Vegetative stabilization to prevent erosion</t>
  </si>
  <si>
    <t xml:space="preserve">कटाव को रोकने के लिए पौधों को उगने से रोकना </t>
  </si>
  <si>
    <t xml:space="preserve">ಸವೆತವನ್ನು ತಡೆಯಲು ಸಸಿಗಳನ್ನು ಬೆಳೆಸಬೇಕು. </t>
  </si>
  <si>
    <t>ଘାସ, ଗଛ ଇତ୍ୟାଦି ଲଗାଇ ହୁଡ଼ାରୁ ମୃତ୍ତିକା କ୍ଷୟକୁ ରୋକିବା</t>
  </si>
  <si>
    <t>model5</t>
  </si>
  <si>
    <t>Breaches_or_leaks_in_the_embankment</t>
  </si>
  <si>
    <t>Breaches or leaks in the embankment</t>
  </si>
  <si>
    <t>तटबंध में दरारें या रिसाव</t>
  </si>
  <si>
    <t>ಒಡ್ಡುಗಳಲ್ಲಿ ಬಿರುಕುಗಳು ಅಥವಾ ಸೋರಿಕೆಗಳು</t>
  </si>
  <si>
    <t>ଷ୍ଟ୍ରକଚରର ବନ୍ଧ କିମ୍ବା ବାଡ଼ରେ ଫାଟ</t>
  </si>
  <si>
    <t>Erosion_on_sides_or_base</t>
  </si>
  <si>
    <t>Erosion on sides or base</t>
  </si>
  <si>
    <t>किनारों या आधार पर कटाव</t>
  </si>
  <si>
    <t>ಬದಿಗಳಲ್ಲಿ ಅಥವಾ ತಳದಲ್ಲಿ ಸವೆತ</t>
  </si>
  <si>
    <t>model30_40</t>
  </si>
  <si>
    <t>Breaches_in_bunding_or_structure_walls</t>
  </si>
  <si>
    <t>Breaches in bunding or structure walls</t>
  </si>
  <si>
    <t>बाँध या स्ट्रक्चर की दीवारों में दरारें</t>
  </si>
  <si>
    <t>ಬಂಡಿಂಗ್ ಅಥವಾ ರಚನೆಯ ಗೋಡೆಗಳಲ್ಲಿ ಉಲ್ಲಂಘನೆ</t>
  </si>
  <si>
    <t>Erosion_along_trenches_or_bunds</t>
  </si>
  <si>
    <t>Erosion along trenches or bunds</t>
  </si>
  <si>
    <t>खाइयों या बांधों के किनारों पर कटाव</t>
  </si>
  <si>
    <t xml:space="preserve">ಕಾಲುವೆಯ ಉದ್ದಕ್ಕು ಸವೇತ </t>
  </si>
  <si>
    <t>ଖାଇ କିମ୍ବା ବନ୍ଧରେ ମୃତ୍ତିକା କ୍ଷୟ</t>
  </si>
  <si>
    <t>visible_water_structure</t>
  </si>
  <si>
    <t>Yes_visible</t>
  </si>
  <si>
    <t>Yes, visible on map</t>
  </si>
  <si>
    <t>हाँ, मानचित्र पर दिखाई दे रहा है</t>
  </si>
  <si>
    <t>હા, નકશા પર દૃશ્યમાન છે</t>
  </si>
  <si>
    <t>ಹೌದು, ನಕ್ಷೆಯಲ್ಲಿ ಗೋಚರಿಸುತ್ತದೆ</t>
  </si>
  <si>
    <t>ହଁ, ମ୍ୟାପରେ ଦେଖାଯାଉଥିଲା</t>
  </si>
  <si>
    <t>No_making_it</t>
  </si>
  <si>
    <t>No, I am marking it myself</t>
  </si>
  <si>
    <t>नहीं, मैं इसे स्वयं चिह्नित कर रहा हूँ</t>
  </si>
  <si>
    <t>ના, હું તેને જાતે ચિહ્નિત કરી રહ્યો છું.</t>
  </si>
  <si>
    <t>ಇಲ್ಲ, ನಾನೇ ಅದನ್ನು ಗುರುತಿಸುತ್ತಿದ್ದೇನೆ</t>
  </si>
  <si>
    <t>ନାହିଁ, ମ୍ୟାପରେ ମୁଁ ନିଜେ ଚିହ୍ନିତ କରୁଛି</t>
  </si>
  <si>
    <t>Soil</t>
  </si>
  <si>
    <t>Black</t>
  </si>
  <si>
    <t>काला</t>
  </si>
  <si>
    <t>કાળો</t>
  </si>
  <si>
    <t>ಕಪ್ಪು</t>
  </si>
  <si>
    <t>କଳା</t>
  </si>
  <si>
    <t>Red</t>
  </si>
  <si>
    <t>लाल</t>
  </si>
  <si>
    <t>લાલ</t>
  </si>
  <si>
    <t>ಕೆಂಪು</t>
  </si>
  <si>
    <t>ଲାଲ</t>
  </si>
  <si>
    <t>Laterite</t>
  </si>
  <si>
    <t>लैटेराइट</t>
  </si>
  <si>
    <t>લેટરાઇટ</t>
  </si>
  <si>
    <t>ಲ್ಯಾಟರೈಟ್</t>
  </si>
  <si>
    <t>ଲାଟେରାଇଟ୍</t>
  </si>
  <si>
    <t>Alluvial</t>
  </si>
  <si>
    <t>जलोढ़</t>
  </si>
  <si>
    <t>એલુવિયલ</t>
  </si>
  <si>
    <t>ಮೆಕ್ಕಲು</t>
  </si>
  <si>
    <t>ପାଣିପାଗ</t>
  </si>
  <si>
    <t>Sandy</t>
  </si>
  <si>
    <t>रेतीला</t>
  </si>
  <si>
    <t>રેતાળ</t>
  </si>
  <si>
    <t>ಮರಳು</t>
  </si>
  <si>
    <t>ବାଲିଆ</t>
  </si>
  <si>
    <t>Clay</t>
  </si>
  <si>
    <t>मिट्टी</t>
  </si>
  <si>
    <t>માટી</t>
  </si>
  <si>
    <t>ಜೇಡಿಮಣ್ಣು</t>
  </si>
  <si>
    <t>ମାଟି</t>
  </si>
  <si>
    <t>Rocky</t>
  </si>
  <si>
    <t>चट्टानी</t>
  </si>
  <si>
    <t>રોકી</t>
  </si>
  <si>
    <t>ರಾಕಿ</t>
  </si>
  <si>
    <t>ରକି</t>
  </si>
  <si>
    <t>silt</t>
  </si>
  <si>
    <t>Low</t>
  </si>
  <si>
    <t>कम</t>
  </si>
  <si>
    <t>નીચું</t>
  </si>
  <si>
    <t>ಕಡಿಮೆ</t>
  </si>
  <si>
    <t>ନିମ୍ନ</t>
  </si>
  <si>
    <t>Moderate</t>
  </si>
  <si>
    <t>मध्यम</t>
  </si>
  <si>
    <t>મધ્યમ</t>
  </si>
  <si>
    <t>ಮಧ್ಯಮ</t>
  </si>
  <si>
    <t>ମଧ୍ୟମ</t>
  </si>
  <si>
    <t>High</t>
  </si>
  <si>
    <t>ज़्यादा</t>
  </si>
  <si>
    <t>ઉચ્ચ</t>
  </si>
  <si>
    <t>ಹೆಚ್ಚು</t>
  </si>
  <si>
    <t>ଉଚ୍ଚ</t>
  </si>
  <si>
    <t>form_title</t>
  </si>
  <si>
    <t>form_id</t>
  </si>
  <si>
    <t>default_language</t>
  </si>
  <si>
    <t>instance_name</t>
  </si>
  <si>
    <t>version</t>
  </si>
  <si>
    <t>style</t>
  </si>
  <si>
    <t>Add Water Structures Form</t>
  </si>
  <si>
    <t>Add_Waterbodies_Form_V1.0.3</t>
  </si>
  <si>
    <t>Hindi(hi)</t>
  </si>
  <si>
    <t>concat(${waterbodies_id})</t>
  </si>
  <si>
    <t>2.1.3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</si>
</sst>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sz val="10.0"/>
      <color rgb="FF000000"/>
      <name val="Courier New"/>
    </font>
    <font>
      <b/>
      <sz val="10.0"/>
      <color rgb="FF000000"/>
      <name val="Roboto"/>
    </font>
    <font>
      <b/>
      <color theme="1"/>
      <name val="Roboto"/>
    </font>
    <font>
      <b/>
      <sz val="11.0"/>
      <color theme="1"/>
      <name val="Calibri"/>
    </font>
    <font>
      <i/>
      <color theme="1"/>
      <name val="Courier New"/>
    </font>
    <font>
      <sz val="10.0"/>
      <color rgb="FF000000"/>
      <name val="Roboto"/>
    </font>
    <font>
      <color theme="1"/>
      <name val="Arial"/>
    </font>
    <font>
      <sz val="10.0"/>
      <color theme="1"/>
      <name val="Roboto"/>
    </font>
    <font>
      <sz val="10.0"/>
      <color theme="1"/>
      <name val="Courier New"/>
    </font>
    <font>
      <sz val="10.0"/>
      <color rgb="FF000000"/>
      <name val="Courier New"/>
    </font>
    <font>
      <color theme="1"/>
      <name val="Roboto"/>
    </font>
    <font>
      <b/>
      <color rgb="FF000000"/>
      <name val="Arial"/>
    </font>
    <font>
      <color theme="1"/>
      <name val="Courier New"/>
    </font>
    <font>
      <sz val="11.0"/>
      <color theme="1"/>
      <name val="Calibri"/>
    </font>
    <font>
      <sz val="10.0"/>
      <color rgb="FF1F1F1F"/>
      <name val="Inherit"/>
    </font>
    <font>
      <color rgb="FF000000"/>
      <name val="Inherit"/>
    </font>
    <font>
      <sz val="11.0"/>
      <color theme="1"/>
      <name val="Courier New"/>
    </font>
    <font>
      <color theme="1"/>
      <name val="Calibri"/>
    </font>
    <font>
      <b/>
      <sz val="10.0"/>
      <color rgb="FF000000"/>
      <name val="Arial"/>
    </font>
    <font>
      <b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color rgb="FF000000"/>
      <name val="Arial"/>
    </font>
    <font>
      <color rgb="FFEA4335"/>
      <name val="Arial"/>
    </font>
    <font>
      <sz val="12.0"/>
      <color rgb="FF1F1F1F"/>
      <name val="Inherit"/>
    </font>
    <font>
      <sz val="11.0"/>
      <color rgb="FF1F1F1F"/>
      <name val="Inherit"/>
    </font>
    <font>
      <sz val="11.0"/>
      <color rgb="FF000000"/>
      <name val="Arial"/>
    </font>
    <font>
      <sz val="11.0"/>
      <color rgb="FF0000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6FA8DC"/>
        <bgColor rgb="FF6FA8DC"/>
      </patternFill>
    </fill>
  </fills>
  <borders count="3">
    <border/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2" fontId="2" numFmtId="0" xfId="0" applyAlignment="1" applyFont="1">
      <alignment shrinkToFit="0" vertical="bottom" wrapText="1"/>
    </xf>
    <xf borderId="0" fillId="2" fontId="3" numFmtId="0" xfId="0" applyAlignment="1" applyFont="1">
      <alignment shrinkToFit="0" vertical="bottom" wrapText="1"/>
    </xf>
    <xf borderId="2" fillId="2" fontId="2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shrinkToFit="0" vertical="bottom" wrapText="1"/>
    </xf>
    <xf borderId="0" fillId="2" fontId="4" numFmtId="0" xfId="0" applyAlignment="1" applyFont="1">
      <alignment shrinkToFit="0" vertical="bottom" wrapText="1"/>
    </xf>
    <xf borderId="0" fillId="2" fontId="4" numFmtId="0" xfId="0" applyAlignment="1" applyFont="1">
      <alignment readingOrder="0" shrinkToFit="0" vertical="bottom" wrapText="1"/>
    </xf>
    <xf borderId="0" fillId="2" fontId="2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1"/>
    </xf>
    <xf borderId="1" fillId="3" fontId="5" numFmtId="0" xfId="0" applyAlignment="1" applyBorder="1" applyFill="1" applyFont="1">
      <alignment shrinkToFit="0" vertical="bottom" wrapText="1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1"/>
    </xf>
    <xf borderId="0" fillId="0" fontId="7" numFmtId="0" xfId="0" applyAlignment="1" applyFont="1">
      <alignment vertical="bottom"/>
    </xf>
    <xf borderId="0" fillId="0" fontId="8" numFmtId="0" xfId="0" applyFont="1"/>
    <xf borderId="0" fillId="0" fontId="8" numFmtId="0" xfId="0" applyAlignment="1" applyFont="1">
      <alignment shrinkToFit="0" wrapText="1"/>
    </xf>
    <xf borderId="2" fillId="3" fontId="5" numFmtId="0" xfId="0" applyAlignment="1" applyBorder="1" applyFont="1">
      <alignment shrinkToFit="0" vertical="bottom" wrapText="1"/>
    </xf>
    <xf borderId="0" fillId="0" fontId="9" numFmtId="0" xfId="0" applyFont="1"/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1"/>
    </xf>
    <xf borderId="0" fillId="0" fontId="12" numFmtId="0" xfId="0" applyAlignment="1" applyFont="1">
      <alignment horizontal="left" vertical="bottom"/>
    </xf>
    <xf borderId="0" fillId="0" fontId="10" numFmtId="0" xfId="0" applyAlignment="1" applyFont="1">
      <alignment shrinkToFit="0" vertical="bottom" wrapText="1"/>
    </xf>
    <xf borderId="0" fillId="4" fontId="9" numFmtId="0" xfId="0" applyFill="1" applyFont="1"/>
    <xf borderId="0" fillId="4" fontId="8" numFmtId="0" xfId="0" applyFont="1"/>
    <xf borderId="0" fillId="4" fontId="6" numFmtId="0" xfId="0" applyAlignment="1" applyFont="1">
      <alignment shrinkToFit="0" vertical="bottom" wrapText="1"/>
    </xf>
    <xf borderId="0" fillId="4" fontId="8" numFmtId="0" xfId="0" applyAlignment="1" applyFont="1">
      <alignment shrinkToFit="0" wrapText="1"/>
    </xf>
    <xf borderId="0" fillId="4" fontId="13" numFmtId="0" xfId="0" applyAlignment="1" applyFont="1">
      <alignment vertical="bottom"/>
    </xf>
    <xf borderId="0" fillId="4" fontId="7" numFmtId="0" xfId="0" applyAlignment="1" applyFont="1">
      <alignment shrinkToFit="0" vertical="bottom" wrapText="1"/>
    </xf>
    <xf borderId="0" fillId="4" fontId="7" numFmtId="0" xfId="0" applyAlignment="1" applyFont="1">
      <alignment vertical="bottom"/>
    </xf>
    <xf borderId="0" fillId="4" fontId="10" numFmtId="0" xfId="0" applyAlignment="1" applyFont="1">
      <alignment shrinkToFit="0" vertical="bottom" wrapText="1"/>
    </xf>
    <xf borderId="0" fillId="4" fontId="7" numFmtId="0" xfId="0" applyAlignment="1" applyFont="1">
      <alignment shrinkToFit="0" wrapText="1"/>
    </xf>
    <xf borderId="0" fillId="4" fontId="14" numFmtId="0" xfId="0" applyAlignment="1" applyFont="1">
      <alignment shrinkToFit="0" vertical="bottom" wrapText="1"/>
    </xf>
    <xf borderId="0" fillId="5" fontId="15" numFmtId="0" xfId="0" applyAlignment="1" applyFill="1" applyFont="1">
      <alignment horizontal="left" readingOrder="0" shrinkToFit="0" wrapText="1"/>
    </xf>
    <xf borderId="0" fillId="4" fontId="10" numFmtId="0" xfId="0" applyAlignment="1" applyFont="1">
      <alignment shrinkToFit="0" vertical="bottom" wrapText="0"/>
    </xf>
    <xf borderId="0" fillId="4" fontId="6" numFmtId="0" xfId="0" applyAlignment="1" applyFont="1">
      <alignment shrinkToFit="0" vertical="bottom" wrapText="0"/>
    </xf>
    <xf borderId="0" fillId="4" fontId="11" numFmtId="0" xfId="0" applyAlignment="1" applyFont="1">
      <alignment shrinkToFit="0" vertical="bottom" wrapText="1"/>
    </xf>
    <xf borderId="0" fillId="4" fontId="8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6" numFmtId="0" xfId="0" applyAlignment="1" applyFont="1">
      <alignment horizontal="left" shrinkToFit="0" wrapText="1"/>
    </xf>
    <xf borderId="0" fillId="6" fontId="10" numFmtId="0" xfId="0" applyAlignment="1" applyFill="1" applyFont="1">
      <alignment shrinkToFit="0" vertical="bottom" wrapText="0"/>
    </xf>
    <xf borderId="0" fillId="6" fontId="6" numFmtId="0" xfId="0" applyAlignment="1" applyFont="1">
      <alignment shrinkToFit="0" vertical="bottom" wrapText="0"/>
    </xf>
    <xf borderId="0" fillId="6" fontId="6" numFmtId="0" xfId="0" applyAlignment="1" applyFont="1">
      <alignment shrinkToFit="0" vertical="bottom" wrapText="1"/>
    </xf>
    <xf borderId="0" fillId="6" fontId="11" numFmtId="0" xfId="0" applyAlignment="1" applyFont="1">
      <alignment shrinkToFit="0" vertical="bottom" wrapText="1"/>
    </xf>
    <xf borderId="0" fillId="6" fontId="8" numFmtId="0" xfId="0" applyFont="1"/>
    <xf borderId="0" fillId="6" fontId="8" numFmtId="0" xfId="0" applyAlignment="1" applyFont="1">
      <alignment shrinkToFit="0" wrapText="1"/>
    </xf>
    <xf borderId="0" fillId="4" fontId="6" numFmtId="0" xfId="0" applyAlignment="1" applyFont="1">
      <alignment readingOrder="0" shrinkToFit="0" vertical="bottom" wrapText="1"/>
    </xf>
    <xf borderId="0" fillId="7" fontId="9" numFmtId="0" xfId="0" applyFill="1" applyFont="1"/>
    <xf borderId="0" fillId="7" fontId="6" numFmtId="0" xfId="0" applyAlignment="1" applyFont="1">
      <alignment shrinkToFit="0" vertical="bottom" wrapText="1"/>
    </xf>
    <xf borderId="0" fillId="7" fontId="11" numFmtId="0" xfId="0" applyAlignment="1" applyFont="1">
      <alignment shrinkToFit="0" vertical="bottom" wrapText="1"/>
    </xf>
    <xf borderId="0" fillId="7" fontId="8" numFmtId="0" xfId="0" applyFont="1"/>
    <xf borderId="0" fillId="7" fontId="8" numFmtId="0" xfId="0" applyAlignment="1" applyFont="1">
      <alignment shrinkToFit="0" wrapText="1"/>
    </xf>
    <xf borderId="0" fillId="6" fontId="13" numFmtId="0" xfId="0" applyAlignment="1" applyFont="1">
      <alignment shrinkToFit="0" vertical="bottom" wrapText="1"/>
    </xf>
    <xf borderId="0" fillId="6" fontId="7" numFmtId="0" xfId="0" applyAlignment="1" applyFont="1">
      <alignment shrinkToFit="0" vertical="bottom" wrapText="1"/>
    </xf>
    <xf borderId="0" fillId="6" fontId="7" numFmtId="0" xfId="0" applyAlignment="1" applyFont="1">
      <alignment vertical="bottom"/>
    </xf>
    <xf borderId="0" fillId="6" fontId="7" numFmtId="0" xfId="0" applyFont="1"/>
    <xf borderId="0" fillId="8" fontId="9" numFmtId="0" xfId="0" applyFill="1" applyFont="1"/>
    <xf borderId="0" fillId="8" fontId="8" numFmtId="0" xfId="0" applyFont="1"/>
    <xf borderId="0" fillId="8" fontId="6" numFmtId="0" xfId="0" applyAlignment="1" applyFont="1">
      <alignment shrinkToFit="0" vertical="bottom" wrapText="0"/>
    </xf>
    <xf borderId="0" fillId="8" fontId="8" numFmtId="0" xfId="0" applyAlignment="1" applyFont="1">
      <alignment shrinkToFit="0" wrapText="1"/>
    </xf>
    <xf borderId="0" fillId="0" fontId="13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4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18" numFmtId="0" xfId="0" applyAlignment="1" applyFont="1">
      <alignment vertical="bottom"/>
    </xf>
    <xf borderId="1" fillId="9" fontId="6" numFmtId="0" xfId="0" applyAlignment="1" applyBorder="1" applyFill="1" applyFont="1">
      <alignment shrinkToFit="0" vertical="bottom" wrapText="0"/>
    </xf>
    <xf borderId="0" fillId="0" fontId="13" numFmtId="0" xfId="0" applyAlignment="1" applyFont="1">
      <alignment shrinkToFit="0" vertical="bottom" wrapText="1"/>
    </xf>
    <xf borderId="0" fillId="0" fontId="18" numFmtId="0" xfId="0" applyAlignment="1" applyFont="1">
      <alignment shrinkToFit="0" vertical="bottom" wrapText="1"/>
    </xf>
    <xf borderId="0" fillId="6" fontId="18" numFmtId="0" xfId="0" applyAlignment="1" applyFont="1">
      <alignment shrinkToFit="0" vertical="bottom" wrapText="1"/>
    </xf>
    <xf borderId="1" fillId="10" fontId="1" numFmtId="0" xfId="0" applyAlignment="1" applyBorder="1" applyFill="1" applyFont="1">
      <alignment shrinkToFit="0" vertical="bottom" wrapText="0"/>
    </xf>
    <xf borderId="1" fillId="10" fontId="19" numFmtId="0" xfId="0" applyAlignment="1" applyBorder="1" applyFont="1">
      <alignment shrinkToFit="0" vertical="bottom" wrapText="0"/>
    </xf>
    <xf borderId="0" fillId="10" fontId="19" numFmtId="0" xfId="0" applyAlignment="1" applyFont="1">
      <alignment shrinkToFit="0" vertical="bottom" wrapText="1"/>
    </xf>
    <xf borderId="1" fillId="10" fontId="20" numFmtId="0" xfId="0" applyAlignment="1" applyBorder="1" applyFont="1">
      <alignment vertical="bottom"/>
    </xf>
    <xf borderId="0" fillId="0" fontId="21" numFmtId="0" xfId="0" applyFont="1"/>
    <xf borderId="0" fillId="0" fontId="22" numFmtId="0" xfId="0" applyAlignment="1" applyFont="1">
      <alignment shrinkToFit="0" vertical="bottom" wrapText="0"/>
    </xf>
    <xf borderId="0" fillId="0" fontId="22" numFmtId="0" xfId="0" applyAlignment="1" applyFont="1">
      <alignment shrinkToFit="0" vertical="bottom" wrapText="1"/>
    </xf>
    <xf borderId="0" fillId="0" fontId="23" numFmtId="0" xfId="0" applyAlignment="1" applyFont="1">
      <alignment horizontal="left" vertical="bottom"/>
    </xf>
    <xf borderId="0" fillId="0" fontId="7" numFmtId="0" xfId="0" applyAlignment="1" applyFont="1">
      <alignment horizontal="center" vertical="bottom"/>
    </xf>
    <xf borderId="0" fillId="0" fontId="10" numFmtId="0" xfId="0" applyAlignment="1" applyFont="1">
      <alignment horizontal="left" vertical="bottom"/>
    </xf>
    <xf borderId="0" fillId="0" fontId="22" numFmtId="0" xfId="0" applyAlignment="1" applyFont="1">
      <alignment readingOrder="0" shrinkToFit="0" vertical="bottom" wrapText="1"/>
    </xf>
    <xf borderId="0" fillId="0" fontId="24" numFmtId="0" xfId="0" applyAlignment="1" applyFont="1">
      <alignment horizontal="left" vertical="bottom"/>
    </xf>
    <xf borderId="0" fillId="0" fontId="21" numFmtId="0" xfId="0" applyAlignment="1" applyFont="1">
      <alignment readingOrder="0"/>
    </xf>
    <xf borderId="0" fillId="5" fontId="25" numFmtId="0" xfId="0" applyAlignment="1" applyFont="1">
      <alignment horizontal="left" readingOrder="0" shrinkToFit="0" wrapText="1"/>
    </xf>
    <xf borderId="0" fillId="5" fontId="26" numFmtId="0" xfId="0" applyAlignment="1" applyFont="1">
      <alignment horizontal="left" readingOrder="0" shrinkToFit="0" wrapText="1"/>
    </xf>
    <xf borderId="0" fillId="0" fontId="7" numFmtId="0" xfId="0" applyAlignment="1" applyFont="1">
      <alignment horizontal="left" vertical="bottom"/>
    </xf>
    <xf borderId="0" fillId="0" fontId="27" numFmtId="0" xfId="0" applyFont="1"/>
    <xf borderId="0" fillId="0" fontId="28" numFmtId="0" xfId="0" applyFont="1"/>
    <xf borderId="1" fillId="2" fontId="19" numFmtId="0" xfId="0" applyAlignment="1" applyBorder="1" applyFont="1">
      <alignment shrinkToFit="0" vertical="bottom" wrapText="0"/>
    </xf>
    <xf borderId="0" fillId="2" fontId="20" numFmtId="0" xfId="0" applyAlignment="1" applyFont="1">
      <alignment vertical="bottom"/>
    </xf>
    <xf borderId="0" fillId="0" fontId="27" numFmtId="0" xfId="0" applyAlignment="1" applyFont="1">
      <alignment shrinkToFit="0" vertical="bottom" wrapText="0"/>
    </xf>
    <xf borderId="0" fillId="0" fontId="2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4.75"/>
    <col customWidth="1" min="2" max="2" width="32.38"/>
    <col customWidth="1" min="3" max="3" width="59.0"/>
    <col customWidth="1" min="4" max="4" width="43.63"/>
    <col customWidth="1" min="5" max="6" width="60.63"/>
    <col customWidth="1" min="7" max="8" width="31.25"/>
    <col customWidth="1" min="9" max="13" width="20.5"/>
    <col customWidth="1" min="14" max="14" width="12.38"/>
    <col customWidth="1" min="15" max="15" width="19.63"/>
    <col customWidth="1" min="16" max="16" width="12.38"/>
    <col customWidth="1" min="17" max="17" width="89.13"/>
    <col customWidth="1" min="18" max="18" width="42.63"/>
    <col customWidth="1" min="19" max="23" width="55.88"/>
    <col customWidth="1" min="24" max="24" width="26.88"/>
    <col customWidth="1" min="25" max="44" width="12.38"/>
  </cols>
  <sheetData>
    <row r="1" ht="12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5" t="s">
        <v>14</v>
      </c>
      <c r="P1" s="2" t="s">
        <v>15</v>
      </c>
      <c r="Q1" s="2" t="s">
        <v>16</v>
      </c>
      <c r="R1" s="6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8" t="s">
        <v>22</v>
      </c>
      <c r="X1" s="2" t="s">
        <v>23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9"/>
      <c r="AR1" s="9"/>
    </row>
    <row r="2" ht="12.75" customHeight="1">
      <c r="A2" s="10" t="s">
        <v>24</v>
      </c>
      <c r="B2" s="11" t="s">
        <v>24</v>
      </c>
      <c r="C2" s="12"/>
      <c r="D2" s="13"/>
      <c r="E2" s="13"/>
      <c r="F2" s="14"/>
      <c r="G2" s="15"/>
      <c r="H2" s="15"/>
      <c r="I2" s="15"/>
      <c r="J2" s="15"/>
      <c r="K2" s="15"/>
      <c r="L2" s="15"/>
      <c r="M2" s="15"/>
      <c r="N2" s="15"/>
      <c r="O2" s="12"/>
      <c r="P2" s="15"/>
      <c r="Q2" s="15"/>
      <c r="R2" s="16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ht="12.75" customHeight="1">
      <c r="A3" s="10" t="s">
        <v>25</v>
      </c>
      <c r="B3" s="11" t="s">
        <v>25</v>
      </c>
      <c r="C3" s="12"/>
      <c r="D3" s="13"/>
      <c r="E3" s="13"/>
      <c r="F3" s="14"/>
      <c r="G3" s="15"/>
      <c r="H3" s="15"/>
      <c r="I3" s="15"/>
      <c r="J3" s="15"/>
      <c r="K3" s="15"/>
      <c r="L3" s="15"/>
      <c r="M3" s="15"/>
      <c r="N3" s="15"/>
      <c r="O3" s="12"/>
      <c r="P3" s="15"/>
      <c r="Q3" s="15"/>
      <c r="R3" s="16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</row>
    <row r="4" ht="12.75" customHeight="1">
      <c r="A4" s="10" t="s">
        <v>26</v>
      </c>
      <c r="B4" s="11" t="s">
        <v>26</v>
      </c>
      <c r="C4" s="12"/>
      <c r="D4" s="13"/>
      <c r="E4" s="13"/>
      <c r="F4" s="14"/>
      <c r="G4" s="15"/>
      <c r="H4" s="15"/>
      <c r="I4" s="15"/>
      <c r="J4" s="15"/>
      <c r="K4" s="15"/>
      <c r="L4" s="15"/>
      <c r="M4" s="15"/>
      <c r="N4" s="15"/>
      <c r="O4" s="12"/>
      <c r="P4" s="15"/>
      <c r="Q4" s="15"/>
      <c r="R4" s="16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</row>
    <row r="5" ht="12.75" customHeight="1">
      <c r="A5" s="10" t="s">
        <v>27</v>
      </c>
      <c r="B5" s="17" t="s">
        <v>27</v>
      </c>
      <c r="C5" s="12"/>
      <c r="D5" s="13"/>
      <c r="E5" s="13"/>
      <c r="F5" s="14"/>
      <c r="G5" s="15"/>
      <c r="H5" s="15"/>
      <c r="I5" s="15"/>
      <c r="J5" s="15"/>
      <c r="K5" s="15"/>
      <c r="L5" s="15"/>
      <c r="M5" s="15"/>
      <c r="N5" s="15"/>
      <c r="O5" s="12"/>
      <c r="P5" s="15"/>
      <c r="Q5" s="15"/>
      <c r="R5" s="16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</row>
    <row r="6" ht="12.75" customHeight="1">
      <c r="A6" s="10"/>
      <c r="B6" s="10"/>
      <c r="C6" s="12"/>
      <c r="D6" s="13"/>
      <c r="E6" s="13"/>
      <c r="F6" s="14"/>
      <c r="G6" s="15"/>
      <c r="H6" s="15"/>
      <c r="I6" s="15"/>
      <c r="J6" s="15"/>
      <c r="K6" s="15"/>
      <c r="L6" s="15"/>
      <c r="M6" s="15"/>
      <c r="N6" s="15"/>
      <c r="O6" s="12"/>
      <c r="P6" s="15"/>
      <c r="Q6" s="15"/>
      <c r="R6" s="16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</row>
    <row r="7" ht="12.75" customHeight="1">
      <c r="A7" s="18"/>
      <c r="B7" s="18"/>
      <c r="C7" s="15"/>
      <c r="D7" s="12"/>
      <c r="E7" s="12"/>
      <c r="F7" s="14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6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ht="12.75" customHeight="1">
      <c r="A8" s="19" t="s">
        <v>28</v>
      </c>
      <c r="B8" s="19" t="s">
        <v>29</v>
      </c>
      <c r="C8" s="12" t="s">
        <v>30</v>
      </c>
      <c r="D8" s="13" t="s">
        <v>31</v>
      </c>
      <c r="E8" s="13" t="str">
        <f>IFERROR(__xludf.DUMMYFUNCTION("GOOGLETRANSLATE(D8,""hi"", ""gu"")"),"પાણીના સ્ત્રોતનું ઓળખપત્ર")</f>
        <v>પાણીના સ્ત્રોતનું ઓળખપત્ર</v>
      </c>
      <c r="F8" s="20" t="s">
        <v>32</v>
      </c>
      <c r="G8" s="21" t="str">
        <f>IFERROR(__xludf.DUMMYFUNCTION("GOOGLETRANSLATE(C8, ""en"", ""or"")"),"ଜଳସଂରଚନା ID")</f>
        <v>ଜଳସଂରଚନା ID</v>
      </c>
      <c r="H8" s="15"/>
      <c r="I8" s="15"/>
      <c r="J8" s="15"/>
      <c r="K8" s="15"/>
      <c r="L8" s="12"/>
      <c r="M8" s="12" t="s">
        <v>33</v>
      </c>
      <c r="N8" s="12" t="s">
        <v>34</v>
      </c>
      <c r="O8" s="15"/>
      <c r="P8" s="15"/>
      <c r="Q8" s="15"/>
      <c r="R8" s="16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</row>
    <row r="9" ht="12.75" customHeight="1">
      <c r="A9" s="22" t="s">
        <v>28</v>
      </c>
      <c r="B9" s="22" t="s">
        <v>35</v>
      </c>
      <c r="C9" s="13" t="s">
        <v>36</v>
      </c>
      <c r="D9" s="13" t="s">
        <v>37</v>
      </c>
      <c r="E9" s="13" t="str">
        <f>IFERROR(__xludf.DUMMYFUNCTION("GOOGLETRANSLATE(D9,""hi"", ""gu"")"),"લાભાર્થી સમાધાનનું નામ")</f>
        <v>લાભાર્થી સમાધાનનું નામ</v>
      </c>
      <c r="F9" s="20" t="s">
        <v>38</v>
      </c>
      <c r="G9" s="21" t="str">
        <f>IFERROR(__xludf.DUMMYFUNCTION("GOOGLETRANSLATE(C9, ""en"", ""or"")"),"ହିତାଧିକାରୀଙ୍କ ବନ୍ଦୋବସ୍ତ ନାମ")</f>
        <v>ହିତାଧିକାରୀଙ୍କ ବନ୍ଦୋବସ୍ତ ନାମ</v>
      </c>
      <c r="H9" s="13"/>
      <c r="I9" s="13"/>
      <c r="J9" s="13"/>
      <c r="K9" s="13"/>
      <c r="L9" s="13"/>
      <c r="M9" s="13"/>
      <c r="N9" s="13"/>
      <c r="O9" s="13"/>
      <c r="P9" s="13" t="s">
        <v>34</v>
      </c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</row>
    <row r="10" ht="12.75" customHeight="1">
      <c r="A10" s="18"/>
      <c r="B10" s="18"/>
      <c r="C10" s="15"/>
      <c r="D10" s="12"/>
      <c r="E10" s="13"/>
      <c r="F10" s="14"/>
      <c r="G10" s="21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6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</row>
    <row r="11" ht="12.75" customHeight="1">
      <c r="A11" s="18" t="s">
        <v>39</v>
      </c>
      <c r="B11" s="18" t="s">
        <v>40</v>
      </c>
      <c r="C11" s="13" t="s">
        <v>41</v>
      </c>
      <c r="D11" s="13" t="s">
        <v>42</v>
      </c>
      <c r="E11" s="13" t="str">
        <f>IFERROR(__xludf.DUMMYFUNCTION("GOOGLETRANSLATE(D11,""hi"", ""gu"")"),"પાણીના સ્ત્રોતોના પ્રકારો")</f>
        <v>પાણીના સ્ત્રોતોના પ્રકારો</v>
      </c>
      <c r="F11" s="20" t="s">
        <v>43</v>
      </c>
      <c r="G11" s="21" t="str">
        <f>IFERROR(__xludf.DUMMYFUNCTION("GOOGLETRANSLATE(C11, ""en"", ""or"")"),"ଜଳ ଗଠନର ପ୍ରକାର
")</f>
        <v>ଜଳ ଗଠନର ପ୍ରକାର
</v>
      </c>
      <c r="H11" s="15"/>
      <c r="I11" s="15"/>
      <c r="J11" s="15"/>
      <c r="K11" s="15"/>
      <c r="L11" s="15"/>
      <c r="M11" s="15"/>
      <c r="N11" s="15"/>
      <c r="O11" s="15"/>
      <c r="P11" s="15" t="s">
        <v>34</v>
      </c>
      <c r="Q11" s="15"/>
      <c r="R11" s="16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ht="12.75" customHeight="1">
      <c r="A12" s="19" t="s">
        <v>44</v>
      </c>
      <c r="B12" s="19" t="s">
        <v>45</v>
      </c>
      <c r="C12" s="12" t="s">
        <v>46</v>
      </c>
      <c r="D12" s="13" t="s">
        <v>47</v>
      </c>
      <c r="E12" s="13" t="str">
        <f>IFERROR(__xludf.DUMMYFUNCTION("GOOGLETRANSLATE(D12,""hi"", ""gu"")"),"પાણીના સ્ત્રોતોની સંભાળ કોણ રાખે છે?")</f>
        <v>પાણીના સ્ત્રોતોની સંભાળ કોણ રાખે છે?</v>
      </c>
      <c r="F12" s="20" t="s">
        <v>48</v>
      </c>
      <c r="G12" s="21" t="str">
        <f>IFERROR(__xludf.DUMMYFUNCTION("GOOGLETRANSLATE(C12, ""en"", ""or"")"),"ଏହି ବସ୍ତିରେ ଜଳ ସଂରଚନା କିଏ ପରିଚାଳନା କରେ?")</f>
        <v>ଏହି ବସ୍ତିରେ ଜଳ ସଂରଚନା କିଏ ପରିଚାଳନା କରେ?</v>
      </c>
      <c r="H12" s="15"/>
      <c r="I12" s="15"/>
      <c r="J12" s="15"/>
      <c r="K12" s="15"/>
      <c r="L12" s="15"/>
      <c r="M12" s="15"/>
      <c r="N12" s="15"/>
      <c r="O12" s="15"/>
      <c r="P12" s="12" t="s">
        <v>34</v>
      </c>
      <c r="Q12" s="15"/>
      <c r="R12" s="16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</row>
    <row r="13" ht="12.75" customHeight="1">
      <c r="A13" s="19" t="s">
        <v>28</v>
      </c>
      <c r="B13" s="19" t="s">
        <v>49</v>
      </c>
      <c r="C13" s="12" t="s">
        <v>50</v>
      </c>
      <c r="D13" s="13" t="s">
        <v>51</v>
      </c>
      <c r="E13" s="13" t="str">
        <f>IFERROR(__xludf.DUMMYFUNCTION("GOOGLETRANSLATE(D13,""hi"", ""gu"")"),"અન્ય માહિતી આપો")</f>
        <v>અન્ય માહિતી આપો</v>
      </c>
      <c r="F13" s="20" t="s">
        <v>52</v>
      </c>
      <c r="G13" s="21" t="str">
        <f>IFERROR(__xludf.DUMMYFUNCTION("GOOGLETRANSLATE(C13, ""en"", ""or"")"),"ଅନ୍ୟ ନିର୍ଦ୍ଦିଷ୍ଟ କରନ୍ତୁ")</f>
        <v>ଅନ୍ୟ ନିର୍ଦ୍ଦିଷ୍ଟ କରନ୍ତୁ</v>
      </c>
      <c r="H13" s="15"/>
      <c r="I13" s="15"/>
      <c r="J13" s="15"/>
      <c r="K13" s="15"/>
      <c r="L13" s="15"/>
      <c r="M13" s="15"/>
      <c r="N13" s="15"/>
      <c r="O13" s="15"/>
      <c r="P13" s="15"/>
      <c r="Q13" s="12" t="s">
        <v>53</v>
      </c>
      <c r="R13" s="16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</row>
    <row r="14" ht="12.75" customHeight="1">
      <c r="A14" s="18"/>
      <c r="B14" s="18"/>
      <c r="C14" s="15"/>
      <c r="D14" s="12"/>
      <c r="E14" s="13"/>
      <c r="F14" s="14"/>
      <c r="G14" s="21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6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ht="12.75" customHeight="1">
      <c r="A15" s="19" t="s">
        <v>54</v>
      </c>
      <c r="B15" s="19" t="s">
        <v>55</v>
      </c>
      <c r="C15" s="12" t="s">
        <v>56</v>
      </c>
      <c r="D15" s="13" t="s">
        <v>57</v>
      </c>
      <c r="E15" s="13" t="str">
        <f>IFERROR(__xludf.DUMMYFUNCTION("GOOGLETRANSLATE(D15,""hi"", ""gu"")"),"વસાહતના પાણીના સ્ત્રોત કોના માલિક છે?")</f>
        <v>વસાહતના પાણીના સ્ત્રોત કોના માલિક છે?</v>
      </c>
      <c r="F15" s="20" t="s">
        <v>58</v>
      </c>
      <c r="G15" s="21" t="str">
        <f>IFERROR(__xludf.DUMMYFUNCTION("GOOGLETRANSLATE(C15, ""en"", ""or"")"),"ଏହି ବସ୍ତିରେ ଥିବା ଜଳ ସଂରଚନାର ମାଲିକ କିଏ?")</f>
        <v>ଏହି ବସ୍ତିରେ ଥିବା ଜଳ ସଂରଚନାର ମାଲିକ କିଏ?</v>
      </c>
      <c r="H15" s="15"/>
      <c r="I15" s="15"/>
      <c r="J15" s="15"/>
      <c r="K15" s="15"/>
      <c r="L15" s="15"/>
      <c r="M15" s="15"/>
      <c r="N15" s="15"/>
      <c r="O15" s="15"/>
      <c r="P15" s="15" t="s">
        <v>34</v>
      </c>
      <c r="Q15" s="15"/>
      <c r="R15" s="16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ht="12.75" customHeight="1">
      <c r="A16" s="19" t="s">
        <v>28</v>
      </c>
      <c r="B16" s="19" t="s">
        <v>59</v>
      </c>
      <c r="C16" s="12" t="s">
        <v>50</v>
      </c>
      <c r="D16" s="13" t="s">
        <v>51</v>
      </c>
      <c r="E16" s="13" t="str">
        <f>IFERROR(__xludf.DUMMYFUNCTION("GOOGLETRANSLATE(D16,""hi"", ""gu"")"),"અન્ય માહિતી આપો")</f>
        <v>અન્ય માહિતી આપો</v>
      </c>
      <c r="F16" s="20" t="s">
        <v>52</v>
      </c>
      <c r="G16" s="21" t="str">
        <f>IFERROR(__xludf.DUMMYFUNCTION("GOOGLETRANSLATE(C16, ""en"", ""or"")"),"ଅନ୍ୟ ନିର୍ଦ୍ଦିଷ୍ଟ କରନ୍ତୁ")</f>
        <v>ଅନ୍ୟ ନିର୍ଦ୍ଦିଷ୍ଟ କରନ୍ତୁ</v>
      </c>
      <c r="H16" s="15"/>
      <c r="I16" s="15"/>
      <c r="J16" s="15"/>
      <c r="K16" s="15"/>
      <c r="L16" s="15"/>
      <c r="M16" s="15"/>
      <c r="N16" s="15"/>
      <c r="O16" s="15"/>
      <c r="P16" s="15"/>
      <c r="Q16" s="12" t="s">
        <v>60</v>
      </c>
      <c r="R16" s="16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</row>
    <row r="17" ht="15.75" customHeight="1">
      <c r="A17" s="19"/>
      <c r="B17" s="19"/>
      <c r="C17" s="12"/>
      <c r="D17" s="12"/>
      <c r="E17" s="13"/>
      <c r="F17" s="14"/>
      <c r="G17" s="21"/>
      <c r="H17" s="15"/>
      <c r="I17" s="15"/>
      <c r="J17" s="15"/>
      <c r="K17" s="15"/>
      <c r="L17" s="15"/>
      <c r="M17" s="15"/>
      <c r="N17" s="15"/>
      <c r="O17" s="15"/>
      <c r="P17" s="15"/>
      <c r="Q17" s="12"/>
      <c r="R17" s="16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ht="12.75" customHeight="1">
      <c r="A18" s="23" t="s">
        <v>28</v>
      </c>
      <c r="B18" s="23" t="s">
        <v>61</v>
      </c>
      <c r="C18" s="24" t="s">
        <v>62</v>
      </c>
      <c r="D18" s="25" t="s">
        <v>63</v>
      </c>
      <c r="E18" s="25" t="str">
        <f>IFERROR(__xludf.DUMMYFUNCTION("GOOGLETRANSLATE(D18,""hi"", ""gu"")"),"લાભાર્થીનું નામ")</f>
        <v>લાભાર્થીનું નામ</v>
      </c>
      <c r="F18" s="20" t="s">
        <v>64</v>
      </c>
      <c r="G18" s="21" t="str">
        <f>IFERROR(__xludf.DUMMYFUNCTION("GOOGLETRANSLATE(C18, ""en"", ""or"")"),"ହିତାଧିକାରୀଙ୍କ ନାମ")</f>
        <v>ହିତାଧିକାରୀଙ୍କ ନାମ</v>
      </c>
      <c r="H18" s="24"/>
      <c r="I18" s="24"/>
      <c r="J18" s="24"/>
      <c r="K18" s="24"/>
      <c r="L18" s="24"/>
      <c r="M18" s="24"/>
      <c r="N18" s="24"/>
      <c r="O18" s="24"/>
      <c r="P18" s="24" t="s">
        <v>34</v>
      </c>
      <c r="Q18" s="24" t="s">
        <v>65</v>
      </c>
      <c r="R18" s="26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</row>
    <row r="19" ht="13.5" customHeight="1">
      <c r="A19" s="27" t="s">
        <v>28</v>
      </c>
      <c r="B19" s="27" t="s">
        <v>66</v>
      </c>
      <c r="C19" s="28" t="s">
        <v>67</v>
      </c>
      <c r="D19" s="28" t="s">
        <v>68</v>
      </c>
      <c r="E19" s="25" t="str">
        <f>IFERROR(__xludf.DUMMYFUNCTION("GOOGLETRANSLATE(D19,""hi"", ""gu"")"),"લાભાર્થીના પિતાનું નામ")</f>
        <v>લાભાર્થીના પિતાનું નામ</v>
      </c>
      <c r="F19" s="20" t="s">
        <v>69</v>
      </c>
      <c r="G19" s="21" t="str">
        <f>IFERROR(__xludf.DUMMYFUNCTION("GOOGLETRANSLATE(C19, ""en"", ""or"")"),"ହିତାଧିକାରୀଙ୍କ ପିତାଙ୍କ ନାମ")</f>
        <v>ହିତାଧିକାରୀଙ୍କ ପିତାଙ୍କ ନାମ</v>
      </c>
      <c r="H19" s="29"/>
      <c r="I19" s="29"/>
      <c r="J19" s="29"/>
      <c r="K19" s="29"/>
      <c r="L19" s="29"/>
      <c r="M19" s="29"/>
      <c r="N19" s="29"/>
      <c r="O19" s="29"/>
      <c r="P19" s="29" t="s">
        <v>34</v>
      </c>
      <c r="Q19" s="24" t="s">
        <v>65</v>
      </c>
      <c r="R19" s="28" t="s">
        <v>70</v>
      </c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</row>
    <row r="20" ht="13.5" customHeight="1">
      <c r="A20" s="30" t="s">
        <v>71</v>
      </c>
      <c r="B20" s="30" t="s">
        <v>72</v>
      </c>
      <c r="C20" s="25" t="s">
        <v>73</v>
      </c>
      <c r="D20" s="25" t="s">
        <v>74</v>
      </c>
      <c r="E20" s="25" t="str">
        <f>IFERROR(__xludf.DUMMYFUNCTION("GOOGLETRANSLATE(D20,""hi"", ""gu"")"),"લાભાર્થીનો ફોન નંબર")</f>
        <v>લાભાર્થીનો ફોન નંબર</v>
      </c>
      <c r="F20" s="20" t="s">
        <v>75</v>
      </c>
      <c r="G20" s="21" t="str">
        <f>IFERROR(__xludf.DUMMYFUNCTION("GOOGLETRANSLATE(C20, ""en"", ""or"")"),"ହିତାଧିକାରୀଙ୍କ ଯୋଗାଯୋଗ ନମ୍ବର")</f>
        <v>ହିତାଧିକାରୀଙ୍କ ଯୋଗାଯୋଗ ନମ୍ବର</v>
      </c>
      <c r="H20" s="25"/>
      <c r="I20" s="25"/>
      <c r="J20" s="25"/>
      <c r="K20" s="25"/>
      <c r="L20" s="25"/>
      <c r="M20" s="25"/>
      <c r="N20" s="25"/>
      <c r="O20" s="25"/>
      <c r="P20" s="25"/>
      <c r="Q20" s="24" t="s">
        <v>65</v>
      </c>
      <c r="R20" s="31" t="s">
        <v>76</v>
      </c>
      <c r="S20" s="32" t="s">
        <v>77</v>
      </c>
      <c r="T20" s="32" t="str">
        <f>IFERROR(__xludf.DUMMYFUNCTION("GOOGLETRANSLATE(S20, ""en"", ""hi"")"),"फ़ोन नंबर दर्ज करें (फ़ॉर्मेट: 9876543210)")</f>
        <v>फ़ोन नंबर दर्ज करें (फ़ॉर्मेट: 9876543210)</v>
      </c>
      <c r="U20" s="32" t="str">
        <f>IFERROR(__xludf.DUMMYFUNCTION("GOOGLETRANSLATE(S20, ""en"", ""gu"")"),"ફોન નંબર દાખલ કરો (ફોર્મેટ: 9876543210)")</f>
        <v>ફોન નંબર દાખલ કરો (ફોર્મેટ: 9876543210)</v>
      </c>
      <c r="V20" s="32" t="s">
        <v>78</v>
      </c>
      <c r="W20" s="33" t="s">
        <v>79</v>
      </c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</row>
    <row r="21" ht="12.75" customHeight="1">
      <c r="A21" s="19" t="s">
        <v>71</v>
      </c>
      <c r="B21" s="19" t="s">
        <v>80</v>
      </c>
      <c r="C21" s="12" t="s">
        <v>81</v>
      </c>
      <c r="D21" s="13" t="s">
        <v>82</v>
      </c>
      <c r="E21" s="13" t="str">
        <f>IFERROR(__xludf.DUMMYFUNCTION("GOOGLETRANSLATE(D21,""hi"", ""gu"")"),"વસાહતમાં લાભાર્થી પરિવારોની કુલ સંખ્યા કેટલી છે?")</f>
        <v>વસાહતમાં લાભાર્થી પરિવારોની કુલ સંખ્યા કેટલી છે?</v>
      </c>
      <c r="F21" s="20" t="s">
        <v>83</v>
      </c>
      <c r="G21" s="21" t="str">
        <f>IFERROR(__xludf.DUMMYFUNCTION("GOOGLETRANSLATE(C21, ""en"", ""or"")"),"ଏହି ବସ୍ତିରେ ଏହି ଜଳ ସଂରଚନାରୁ ଉପକୃତ ପରିବାରର ମୋଟ ସଂଖ୍ୟା?")</f>
        <v>ଏହି ବସ୍ତିରେ ଏହି ଜଳ ସଂରଚନାରୁ ଉପକୃତ ପରିବାରର ମୋଟ ସଂଖ୍ୟା?</v>
      </c>
      <c r="H21" s="15"/>
      <c r="I21" s="15"/>
      <c r="J21" s="15"/>
      <c r="K21" s="15"/>
      <c r="L21" s="15"/>
      <c r="M21" s="15"/>
      <c r="N21" s="15"/>
      <c r="O21" s="15"/>
      <c r="P21" s="15" t="s">
        <v>34</v>
      </c>
      <c r="Q21" s="15"/>
      <c r="R21" s="13" t="s">
        <v>84</v>
      </c>
      <c r="S21" s="15" t="s">
        <v>85</v>
      </c>
      <c r="T21" s="15" t="str">
        <f>IFERROR(__xludf.DUMMYFUNCTION("GOOGLETRANSLATE(S21, ""en"", ""hi"")"),"0 या 1 से अधिक")</f>
        <v>0 या 1 से अधिक</v>
      </c>
      <c r="U21" s="32" t="str">
        <f>IFERROR(__xludf.DUMMYFUNCTION("GOOGLETRANSLATE(S21, ""en"", ""gu"")"),"૦ અથવા ૧ થી વધુ")</f>
        <v>૦ અથવા ૧ થી વધુ</v>
      </c>
      <c r="V21" s="32" t="s">
        <v>86</v>
      </c>
      <c r="W21" s="33" t="s">
        <v>87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</row>
    <row r="22" ht="15.75" customHeight="1">
      <c r="F22" s="14"/>
      <c r="G22" s="21"/>
    </row>
    <row r="23" ht="12.75" customHeight="1">
      <c r="A23" s="19" t="s">
        <v>88</v>
      </c>
      <c r="B23" s="19" t="s">
        <v>89</v>
      </c>
      <c r="C23" s="13" t="s">
        <v>90</v>
      </c>
      <c r="D23" s="13" t="s">
        <v>91</v>
      </c>
      <c r="E23" s="13" t="str">
        <f>IFERROR(__xludf.DUMMYFUNCTION("GOOGLETRANSLATE(D23,""hi"", ""gu"")"),"કઈ જાતિના લોકો પાણીના સ્ત્રોતનો ઉપયોગ કરે છે?")</f>
        <v>કઈ જાતિના લોકો પાણીના સ્ત્રોતનો ઉપયોગ કરે છે?</v>
      </c>
      <c r="F23" s="20" t="s">
        <v>92</v>
      </c>
      <c r="G23" s="21" t="str">
        <f>IFERROR(__xludf.DUMMYFUNCTION("GOOGLETRANSLATE(C23, ""en"", ""or"")"),"ଏହି ବସତିରେ କେଉଁ ଜାତି ଗୋଷ୍ଠୀ ଜଳ ସଂରଚନା ବ୍ୟବହାର କରନ୍ତି?
")</f>
        <v>ଏହି ବସତିରେ କେଉଁ ଜାତି ଗୋଷ୍ଠୀ ଜଳ ସଂରଚନା ବ୍ୟବହାର କରନ୍ତି?
</v>
      </c>
      <c r="H23" s="15"/>
      <c r="I23" s="15"/>
      <c r="J23" s="15"/>
      <c r="K23" s="15"/>
      <c r="L23" s="15"/>
      <c r="M23" s="15"/>
      <c r="N23" s="15"/>
      <c r="O23" s="15"/>
      <c r="P23" s="15" t="s">
        <v>34</v>
      </c>
      <c r="Q23" s="15"/>
      <c r="R23" s="16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</row>
    <row r="24" ht="12.75" customHeight="1">
      <c r="A24" s="19" t="s">
        <v>93</v>
      </c>
      <c r="B24" s="19" t="s">
        <v>94</v>
      </c>
      <c r="C24" s="12" t="s">
        <v>95</v>
      </c>
      <c r="D24" s="13" t="s">
        <v>96</v>
      </c>
      <c r="E24" s="13" t="str">
        <f>IFERROR(__xludf.DUMMYFUNCTION("GOOGLETRANSLATE(D24,""hi"", ""gu"")"),"આ વસાહતમાં આ સ્ત્રોતમાંથી પાણીનો ઉપયોગ શું છે?")</f>
        <v>આ વસાહતમાં આ સ્ત્રોતમાંથી પાણીનો ઉપયોગ શું છે?</v>
      </c>
      <c r="F24" s="20" t="s">
        <v>97</v>
      </c>
      <c r="G24" s="21" t="str">
        <f>IFERROR(__xludf.DUMMYFUNCTION("GOOGLETRANSLATE(C24, ""en"", ""or"")"),"ଏହି ବସ୍ତିରେ ଏହି ଗଠନରୁ ପାଣିର ବ୍ୟବହାର କ’ଣ?")</f>
        <v>ଏହି ବସ୍ତିରେ ଏହି ଗଠନରୁ ପାଣିର ବ୍ୟବହାର କ’ଣ?</v>
      </c>
      <c r="H24" s="15"/>
      <c r="I24" s="15"/>
      <c r="J24" s="15"/>
      <c r="K24" s="15"/>
      <c r="L24" s="15"/>
      <c r="M24" s="15"/>
      <c r="N24" s="15"/>
      <c r="O24" s="15"/>
      <c r="P24" s="15" t="s">
        <v>34</v>
      </c>
      <c r="Q24" s="15"/>
      <c r="R24" s="16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</row>
    <row r="25" ht="12.75" customHeight="1">
      <c r="A25" s="19" t="s">
        <v>98</v>
      </c>
      <c r="B25" s="19" t="s">
        <v>99</v>
      </c>
      <c r="C25" s="13" t="s">
        <v>100</v>
      </c>
      <c r="D25" s="13" t="s">
        <v>101</v>
      </c>
      <c r="E25" s="13" t="str">
        <f>IFERROR(__xludf.DUMMYFUNCTION("GOOGLETRANSLATE(D25,""hi"", ""gu"")"),"આ વસાહતમાં આ સ્ત્રોતના બાંધકામ માટે કઈ યોજના હેઠળ ભંડોળ પૂરું પાડવામાં આવ્યું હતું?")</f>
        <v>આ વસાહતમાં આ સ્ત્રોતના બાંધકામ માટે કઈ યોજના હેઠળ ભંડોળ પૂરું પાડવામાં આવ્યું હતું?</v>
      </c>
      <c r="F25" s="20" t="s">
        <v>102</v>
      </c>
      <c r="G25" s="21" t="str">
        <f>IFERROR(__xludf.DUMMYFUNCTION("GOOGLETRANSLATE(C25, ""en"", ""or"")"),"ଏହି ବସ୍ତିରେ ଏହି ଗଠନ ନିର୍ମାଣ ପାଇଁ କେଉଁ ଯୋଜନାରେ ପାଣ୍ଠି ଉପଲବ୍ଧ କରାଯାଇଥିଲା?
")</f>
        <v>ଏହି ବସ୍ତିରେ ଏହି ଗଠନ ନିର୍ମାଣ ପାଇଁ କେଉଁ ଯୋଜନାରେ ପାଣ୍ଠି ଉପଲବ୍ଧ କରାଯାଇଥିଲା?
</v>
      </c>
      <c r="H25" s="15"/>
      <c r="I25" s="15"/>
      <c r="J25" s="15"/>
      <c r="K25" s="15"/>
      <c r="L25" s="15"/>
      <c r="M25" s="15"/>
      <c r="N25" s="15"/>
      <c r="O25" s="15"/>
      <c r="P25" s="15" t="s">
        <v>34</v>
      </c>
      <c r="Q25" s="12"/>
      <c r="R25" s="16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</row>
    <row r="26" ht="15.75" customHeight="1">
      <c r="F26" s="14"/>
      <c r="G26" s="21"/>
    </row>
    <row r="27" ht="15.75" customHeight="1">
      <c r="F27" s="14"/>
      <c r="G27" s="21"/>
    </row>
    <row r="28" ht="21.75" customHeight="1">
      <c r="A28" s="19" t="s">
        <v>103</v>
      </c>
      <c r="B28" s="19" t="s">
        <v>104</v>
      </c>
      <c r="C28" s="13" t="s">
        <v>105</v>
      </c>
      <c r="D28" s="13" t="s">
        <v>106</v>
      </c>
      <c r="E28" s="13" t="str">
        <f>IFERROR(__xludf.DUMMYFUNCTION("GOOGLETRANSLATE(D28,""hi"", ""gu"")"),"શું આ પાણીના સ્ત્રોતોને કાળજીની જરૂર છે?")</f>
        <v>શું આ પાણીના સ્ત્રોતોને કાળજીની જરૂર છે?</v>
      </c>
      <c r="F28" s="20" t="s">
        <v>107</v>
      </c>
      <c r="G28" s="21" t="str">
        <f>IFERROR(__xludf.DUMMYFUNCTION("GOOGLETRANSLATE(C28, ""en"", ""or"")"),"ଜଳ ସଂରଚନାର ମରାମତି ରକ୍ଷଣାବେକ୍ଷଣ ଆବଶ୍ୟକ କି?
")</f>
        <v>ଜଳ ସଂରଚନାର ମରାମତି ରକ୍ଷଣାବେକ୍ଷଣ ଆବଶ୍ୟକ କି?
</v>
      </c>
      <c r="H28" s="15"/>
      <c r="I28" s="15"/>
      <c r="J28" s="15"/>
      <c r="K28" s="15"/>
      <c r="L28" s="15"/>
      <c r="M28" s="15"/>
      <c r="N28" s="15"/>
      <c r="O28" s="15"/>
      <c r="P28" s="15" t="s">
        <v>34</v>
      </c>
      <c r="Q28" s="15"/>
      <c r="R28" s="16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</row>
    <row r="29" ht="12.75" customHeight="1">
      <c r="A29" s="34" t="s">
        <v>108</v>
      </c>
      <c r="B29" s="34" t="s">
        <v>109</v>
      </c>
      <c r="C29" s="35" t="s">
        <v>110</v>
      </c>
      <c r="D29" s="25" t="s">
        <v>111</v>
      </c>
      <c r="E29" s="25" t="str">
        <f>IFERROR(__xludf.DUMMYFUNCTION("GOOGLETRANSLATE(D29,""hi"", ""gu"")"),"ખેતરોમાં બાંધેલા તળાવો/ડોભાઓનું સમારકામ")</f>
        <v>ખેતરોમાં બાંધેલા તળાવો/ડોભાઓનું સમારકામ</v>
      </c>
      <c r="F29" s="36" t="s">
        <v>112</v>
      </c>
      <c r="G29" s="21" t="str">
        <f>IFERROR(__xludf.DUMMYFUNCTION("GOOGLETRANSLATE(C29, ""en"", ""or"")"),"କୃଷି ପୋଖରୀ ମରାମତି")</f>
        <v>କୃଷି ପୋଖରୀ ମରାମତି</v>
      </c>
      <c r="H29" s="24"/>
      <c r="I29" s="24"/>
      <c r="J29" s="24"/>
      <c r="K29" s="24"/>
      <c r="L29" s="24"/>
      <c r="M29" s="24"/>
      <c r="N29" s="24"/>
      <c r="O29" s="35" t="s">
        <v>113</v>
      </c>
      <c r="P29" s="24" t="s">
        <v>34</v>
      </c>
      <c r="Q29" s="35" t="s">
        <v>114</v>
      </c>
      <c r="R29" s="26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</row>
    <row r="30" ht="12.75" customHeight="1">
      <c r="A30" s="23" t="s">
        <v>115</v>
      </c>
      <c r="B30" s="23" t="s">
        <v>116</v>
      </c>
      <c r="C30" s="24" t="s">
        <v>117</v>
      </c>
      <c r="D30" s="25" t="s">
        <v>118</v>
      </c>
      <c r="E30" s="25" t="s">
        <v>119</v>
      </c>
      <c r="F30" s="36" t="s">
        <v>120</v>
      </c>
      <c r="G30" s="21" t="str">
        <f>IFERROR(__xludf.DUMMYFUNCTION("GOOGLETRANSLATE(C30, ""en"", ""or"")"),"ମାଟିର ପ୍ରକାର")</f>
        <v>ମାଟିର ପ୍ରକାର</v>
      </c>
      <c r="H30" s="24"/>
      <c r="I30" s="24"/>
      <c r="J30" s="24"/>
      <c r="K30" s="24"/>
      <c r="L30" s="24"/>
      <c r="M30" s="24"/>
      <c r="N30" s="24"/>
      <c r="O30" s="24"/>
      <c r="P30" s="37" t="s">
        <v>34</v>
      </c>
      <c r="Q30" s="24" t="s">
        <v>121</v>
      </c>
      <c r="R30" s="26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</row>
    <row r="31" ht="12.75" customHeight="1">
      <c r="A31" s="23" t="s">
        <v>122</v>
      </c>
      <c r="B31" s="23" t="s">
        <v>123</v>
      </c>
      <c r="C31" s="24" t="s">
        <v>124</v>
      </c>
      <c r="D31" s="25" t="s">
        <v>125</v>
      </c>
      <c r="E31" s="25" t="s">
        <v>126</v>
      </c>
      <c r="F31" s="36" t="s">
        <v>127</v>
      </c>
      <c r="G31" s="21" t="str">
        <f>IFERROR(__xludf.DUMMYFUNCTION("GOOGLETRANSLATE(C31, ""en"", ""or"")"),"ସିଲ୍ଟର ପରିମାଣ")</f>
        <v>ସିଲ୍ଟର ପରିମାଣ</v>
      </c>
      <c r="H31" s="24"/>
      <c r="I31" s="24"/>
      <c r="J31" s="24"/>
      <c r="K31" s="24"/>
      <c r="L31" s="24"/>
      <c r="M31" s="24"/>
      <c r="N31" s="24"/>
      <c r="O31" s="24"/>
      <c r="P31" s="37" t="s">
        <v>34</v>
      </c>
      <c r="Q31" s="24" t="s">
        <v>121</v>
      </c>
      <c r="R31" s="26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</row>
    <row r="32" ht="12.75" customHeight="1">
      <c r="A32" s="23" t="s">
        <v>128</v>
      </c>
      <c r="B32" s="23" t="s">
        <v>129</v>
      </c>
      <c r="C32" s="24" t="s">
        <v>130</v>
      </c>
      <c r="D32" s="25" t="s">
        <v>131</v>
      </c>
      <c r="E32" s="25" t="str">
        <f>IFERROR(__xludf.DUMMYFUNCTION("GOOGLETRANSLATE(D32,""hi"", ""gu"")"),"નહેરનું સમારકામ")</f>
        <v>નહેરનું સમારકામ</v>
      </c>
      <c r="F32" s="36" t="s">
        <v>132</v>
      </c>
      <c r="G32" s="21" t="str">
        <f>IFERROR(__xludf.DUMMYFUNCTION("GOOGLETRANSLATE(C32, ""en"", ""or"")"),"କେନାଲ ମରାମତି")</f>
        <v>କେନାଲ ମରାମତି</v>
      </c>
      <c r="H32" s="24"/>
      <c r="I32" s="24"/>
      <c r="J32" s="24"/>
      <c r="K32" s="24"/>
      <c r="L32" s="24"/>
      <c r="M32" s="24"/>
      <c r="N32" s="24"/>
      <c r="O32" s="24"/>
      <c r="P32" s="24" t="s">
        <v>34</v>
      </c>
      <c r="Q32" s="24" t="s">
        <v>133</v>
      </c>
      <c r="R32" s="26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</row>
    <row r="33" ht="12.75" customHeight="1">
      <c r="A33" s="23" t="s">
        <v>115</v>
      </c>
      <c r="B33" s="23" t="s">
        <v>134</v>
      </c>
      <c r="C33" s="24" t="s">
        <v>117</v>
      </c>
      <c r="D33" s="25" t="s">
        <v>118</v>
      </c>
      <c r="E33" s="25" t="s">
        <v>119</v>
      </c>
      <c r="F33" s="36" t="s">
        <v>120</v>
      </c>
      <c r="G33" s="21" t="str">
        <f>IFERROR(__xludf.DUMMYFUNCTION("GOOGLETRANSLATE(C33, ""en"", ""or"")"),"ମାଟିର ପ୍ରକାର")</f>
        <v>ମାଟିର ପ୍ରକାର</v>
      </c>
      <c r="H33" s="24"/>
      <c r="I33" s="24"/>
      <c r="J33" s="24"/>
      <c r="K33" s="24"/>
      <c r="L33" s="24"/>
      <c r="M33" s="24"/>
      <c r="N33" s="24"/>
      <c r="O33" s="24"/>
      <c r="P33" s="37" t="s">
        <v>34</v>
      </c>
      <c r="Q33" s="24" t="s">
        <v>135</v>
      </c>
      <c r="R33" s="26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</row>
    <row r="34" ht="12.75" customHeight="1">
      <c r="A34" s="23" t="s">
        <v>122</v>
      </c>
      <c r="B34" s="23" t="s">
        <v>136</v>
      </c>
      <c r="C34" s="24" t="s">
        <v>124</v>
      </c>
      <c r="D34" s="25" t="s">
        <v>125</v>
      </c>
      <c r="E34" s="25" t="s">
        <v>126</v>
      </c>
      <c r="F34" s="36" t="s">
        <v>127</v>
      </c>
      <c r="G34" s="21" t="str">
        <f>IFERROR(__xludf.DUMMYFUNCTION("GOOGLETRANSLATE(C34, ""en"", ""or"")"),"ସିଲ୍ଟର ପରିମାଣ")</f>
        <v>ସିଲ୍ଟର ପରିମାଣ</v>
      </c>
      <c r="H34" s="24"/>
      <c r="I34" s="24"/>
      <c r="J34" s="24"/>
      <c r="K34" s="24"/>
      <c r="L34" s="24"/>
      <c r="M34" s="24"/>
      <c r="N34" s="24"/>
      <c r="O34" s="24"/>
      <c r="P34" s="37" t="s">
        <v>34</v>
      </c>
      <c r="Q34" s="24" t="s">
        <v>135</v>
      </c>
      <c r="R34" s="26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</row>
    <row r="35" ht="15.0" customHeight="1">
      <c r="A35" s="34" t="s">
        <v>137</v>
      </c>
      <c r="B35" s="34" t="s">
        <v>138</v>
      </c>
      <c r="C35" s="35" t="s">
        <v>139</v>
      </c>
      <c r="D35" s="25" t="s">
        <v>140</v>
      </c>
      <c r="E35" s="25" t="str">
        <f>IFERROR(__xludf.DUMMYFUNCTION("GOOGLETRANSLATE(D35,""hi"", ""gu"")"),"સામુદાયિક તળાવનું સમારકામ")</f>
        <v>સામુદાયિક તળાવનું સમારકામ</v>
      </c>
      <c r="F35" s="36" t="s">
        <v>141</v>
      </c>
      <c r="G35" s="21" t="str">
        <f>IFERROR(__xludf.DUMMYFUNCTION("GOOGLETRANSLATE(C35, ""en"", ""or"")"),"ସାମୁଦାୟିକ ପୋଖରୀର ମରାମତି")</f>
        <v>ସାମୁଦାୟିକ ପୋଖରୀର ମରାମତି</v>
      </c>
      <c r="H35" s="24"/>
      <c r="I35" s="24"/>
      <c r="J35" s="24"/>
      <c r="K35" s="24"/>
      <c r="L35" s="24"/>
      <c r="M35" s="24"/>
      <c r="N35" s="24"/>
      <c r="O35" s="35" t="s">
        <v>113</v>
      </c>
      <c r="P35" s="24" t="s">
        <v>34</v>
      </c>
      <c r="Q35" s="35" t="s">
        <v>142</v>
      </c>
      <c r="R35" s="26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</row>
    <row r="36" ht="12.75" customHeight="1">
      <c r="A36" s="23" t="s">
        <v>115</v>
      </c>
      <c r="B36" s="23" t="s">
        <v>143</v>
      </c>
      <c r="C36" s="24" t="s">
        <v>117</v>
      </c>
      <c r="D36" s="25" t="s">
        <v>118</v>
      </c>
      <c r="E36" s="25" t="s">
        <v>119</v>
      </c>
      <c r="F36" s="36" t="s">
        <v>120</v>
      </c>
      <c r="G36" s="21" t="str">
        <f>IFERROR(__xludf.DUMMYFUNCTION("GOOGLETRANSLATE(C36, ""en"", ""or"")"),"ମାଟିର ପ୍ରକାର")</f>
        <v>ମାଟିର ପ୍ରକାର</v>
      </c>
      <c r="H36" s="24"/>
      <c r="I36" s="24"/>
      <c r="J36" s="24"/>
      <c r="K36" s="24"/>
      <c r="L36" s="24"/>
      <c r="M36" s="24"/>
      <c r="N36" s="24"/>
      <c r="O36" s="24"/>
      <c r="P36" s="37" t="s">
        <v>34</v>
      </c>
      <c r="Q36" s="24" t="s">
        <v>144</v>
      </c>
      <c r="R36" s="26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</row>
    <row r="37" ht="12.75" customHeight="1">
      <c r="A37" s="23" t="s">
        <v>122</v>
      </c>
      <c r="B37" s="23" t="s">
        <v>145</v>
      </c>
      <c r="C37" s="24" t="s">
        <v>124</v>
      </c>
      <c r="D37" s="25" t="s">
        <v>125</v>
      </c>
      <c r="E37" s="25" t="s">
        <v>126</v>
      </c>
      <c r="F37" s="36" t="s">
        <v>127</v>
      </c>
      <c r="G37" s="21" t="str">
        <f>IFERROR(__xludf.DUMMYFUNCTION("GOOGLETRANSLATE(C37, ""en"", ""or"")"),"ସିଲ୍ଟର ପରିମାଣ")</f>
        <v>ସିଲ୍ଟର ପରିମାଣ</v>
      </c>
      <c r="H37" s="24"/>
      <c r="I37" s="24"/>
      <c r="J37" s="24"/>
      <c r="K37" s="24"/>
      <c r="L37" s="24"/>
      <c r="M37" s="24"/>
      <c r="N37" s="24"/>
      <c r="O37" s="24"/>
      <c r="P37" s="37" t="s">
        <v>34</v>
      </c>
      <c r="Q37" s="24" t="s">
        <v>144</v>
      </c>
      <c r="R37" s="26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</row>
    <row r="38" ht="15.0" customHeight="1">
      <c r="A38" s="34" t="s">
        <v>146</v>
      </c>
      <c r="B38" s="34" t="s">
        <v>147</v>
      </c>
      <c r="C38" s="35" t="s">
        <v>148</v>
      </c>
      <c r="D38" s="25" t="s">
        <v>149</v>
      </c>
      <c r="E38" s="25" t="str">
        <f>IFERROR(__xludf.DUMMYFUNCTION("GOOGLETRANSLATE(D38,""hi"", ""gu"")"),"ચેક ડેમ રિપેર")</f>
        <v>ચેક ડેમ રિપેર</v>
      </c>
      <c r="F38" s="36" t="s">
        <v>150</v>
      </c>
      <c r="G38" s="21" t="str">
        <f>IFERROR(__xludf.DUMMYFUNCTION("GOOGLETRANSLATE(C38, ""en"", ""or"")"),"ଚେକ୍ ଡ୍ୟାମର ମରାମତି")</f>
        <v>ଚେକ୍ ଡ୍ୟାମର ମରାମତି</v>
      </c>
      <c r="H38" s="24"/>
      <c r="I38" s="24"/>
      <c r="J38" s="24"/>
      <c r="K38" s="24"/>
      <c r="L38" s="24"/>
      <c r="M38" s="24"/>
      <c r="N38" s="24"/>
      <c r="O38" s="35" t="s">
        <v>113</v>
      </c>
      <c r="P38" s="24" t="s">
        <v>34</v>
      </c>
      <c r="Q38" s="35" t="s">
        <v>151</v>
      </c>
      <c r="R38" s="26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</row>
    <row r="39" ht="12.75" customHeight="1">
      <c r="A39" s="23" t="s">
        <v>115</v>
      </c>
      <c r="B39" s="23" t="s">
        <v>152</v>
      </c>
      <c r="C39" s="24" t="s">
        <v>117</v>
      </c>
      <c r="D39" s="25" t="s">
        <v>118</v>
      </c>
      <c r="E39" s="25" t="s">
        <v>119</v>
      </c>
      <c r="F39" s="36" t="s">
        <v>120</v>
      </c>
      <c r="G39" s="21" t="str">
        <f>IFERROR(__xludf.DUMMYFUNCTION("GOOGLETRANSLATE(C39, ""en"", ""or"")"),"ମାଟିର ପ୍ରକାର")</f>
        <v>ମାଟିର ପ୍ରକାର</v>
      </c>
      <c r="H39" s="24"/>
      <c r="I39" s="24"/>
      <c r="J39" s="24"/>
      <c r="K39" s="24"/>
      <c r="L39" s="24"/>
      <c r="M39" s="24"/>
      <c r="N39" s="24"/>
      <c r="O39" s="24"/>
      <c r="P39" s="37" t="s">
        <v>34</v>
      </c>
      <c r="Q39" s="24" t="s">
        <v>153</v>
      </c>
      <c r="R39" s="26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</row>
    <row r="40" ht="12.75" customHeight="1">
      <c r="A40" s="23" t="s">
        <v>122</v>
      </c>
      <c r="B40" s="23" t="s">
        <v>154</v>
      </c>
      <c r="C40" s="24" t="s">
        <v>124</v>
      </c>
      <c r="D40" s="25" t="s">
        <v>125</v>
      </c>
      <c r="E40" s="25" t="s">
        <v>126</v>
      </c>
      <c r="F40" s="36" t="s">
        <v>127</v>
      </c>
      <c r="G40" s="21" t="str">
        <f>IFERROR(__xludf.DUMMYFUNCTION("GOOGLETRANSLATE(C40, ""en"", ""or"")"),"ସିଲ୍ଟର ପରିମାଣ")</f>
        <v>ସିଲ୍ଟର ପରିମାଣ</v>
      </c>
      <c r="H40" s="24"/>
      <c r="I40" s="24"/>
      <c r="J40" s="24"/>
      <c r="K40" s="24"/>
      <c r="L40" s="24"/>
      <c r="M40" s="24"/>
      <c r="N40" s="24"/>
      <c r="O40" s="24"/>
      <c r="P40" s="37" t="s">
        <v>34</v>
      </c>
      <c r="Q40" s="24" t="s">
        <v>153</v>
      </c>
      <c r="R40" s="26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</row>
    <row r="41" ht="15.0" customHeight="1">
      <c r="A41" s="23" t="s">
        <v>155</v>
      </c>
      <c r="B41" s="23" t="s">
        <v>156</v>
      </c>
      <c r="C41" s="24" t="s">
        <v>157</v>
      </c>
      <c r="D41" s="25" t="s">
        <v>158</v>
      </c>
      <c r="E41" s="25" t="str">
        <f>IFERROR(__xludf.DUMMYFUNCTION("GOOGLETRANSLATE(D41,""hi"", ""gu"")"),"પરકોલેશન ટાંકીનું સમારકામ")</f>
        <v>પરકોલેશન ટાંકીનું સમારકામ</v>
      </c>
      <c r="F41" s="36" t="s">
        <v>159</v>
      </c>
      <c r="G41" s="21" t="str">
        <f>IFERROR(__xludf.DUMMYFUNCTION("GOOGLETRANSLATE(C41, ""en"", ""or"")"),"ପର୍କୋଲେସନ୍ ଟାଙ୍କିର ମରାମତି")</f>
        <v>ପର୍କୋଲେସନ୍ ଟାଙ୍କିର ମରାମତି</v>
      </c>
      <c r="H41" s="24"/>
      <c r="I41" s="24"/>
      <c r="J41" s="24"/>
      <c r="K41" s="24"/>
      <c r="L41" s="24"/>
      <c r="M41" s="24"/>
      <c r="N41" s="24"/>
      <c r="O41" s="24"/>
      <c r="P41" s="24" t="s">
        <v>34</v>
      </c>
      <c r="Q41" s="35" t="s">
        <v>160</v>
      </c>
      <c r="R41" s="26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</row>
    <row r="42" ht="12.75" customHeight="1">
      <c r="A42" s="23" t="s">
        <v>115</v>
      </c>
      <c r="B42" s="23" t="s">
        <v>161</v>
      </c>
      <c r="C42" s="24" t="s">
        <v>117</v>
      </c>
      <c r="D42" s="25" t="s">
        <v>118</v>
      </c>
      <c r="E42" s="25" t="s">
        <v>119</v>
      </c>
      <c r="F42" s="36" t="s">
        <v>120</v>
      </c>
      <c r="G42" s="21" t="str">
        <f>IFERROR(__xludf.DUMMYFUNCTION("GOOGLETRANSLATE(C42, ""en"", ""or"")"),"ମାଟିର ପ୍ରକାର")</f>
        <v>ମାଟିର ପ୍ରକାର</v>
      </c>
      <c r="H42" s="24"/>
      <c r="I42" s="24"/>
      <c r="J42" s="24"/>
      <c r="K42" s="24"/>
      <c r="L42" s="24"/>
      <c r="M42" s="24"/>
      <c r="N42" s="24"/>
      <c r="O42" s="24"/>
      <c r="P42" s="37" t="s">
        <v>34</v>
      </c>
      <c r="Q42" s="24" t="s">
        <v>162</v>
      </c>
      <c r="R42" s="26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</row>
    <row r="43" ht="12.75" customHeight="1">
      <c r="A43" s="23" t="s">
        <v>122</v>
      </c>
      <c r="B43" s="23" t="s">
        <v>163</v>
      </c>
      <c r="C43" s="24" t="s">
        <v>124</v>
      </c>
      <c r="D43" s="25" t="s">
        <v>125</v>
      </c>
      <c r="E43" s="25" t="s">
        <v>126</v>
      </c>
      <c r="F43" s="36" t="s">
        <v>127</v>
      </c>
      <c r="G43" s="21" t="str">
        <f>IFERROR(__xludf.DUMMYFUNCTION("GOOGLETRANSLATE(C43, ""en"", ""or"")"),"ସିଲ୍ଟର ପରିମାଣ")</f>
        <v>ସିଲ୍ଟର ପରିମାଣ</v>
      </c>
      <c r="H43" s="24"/>
      <c r="I43" s="24"/>
      <c r="J43" s="24"/>
      <c r="K43" s="24"/>
      <c r="L43" s="24"/>
      <c r="M43" s="24"/>
      <c r="N43" s="24"/>
      <c r="O43" s="24"/>
      <c r="P43" s="37" t="s">
        <v>34</v>
      </c>
      <c r="Q43" s="24" t="s">
        <v>162</v>
      </c>
      <c r="R43" s="26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</row>
    <row r="44" ht="15.0" customHeight="1">
      <c r="A44" s="34" t="s">
        <v>164</v>
      </c>
      <c r="B44" s="34" t="s">
        <v>165</v>
      </c>
      <c r="C44" s="35" t="s">
        <v>166</v>
      </c>
      <c r="D44" s="25" t="s">
        <v>167</v>
      </c>
      <c r="E44" s="25" t="str">
        <f>IFERROR(__xludf.DUMMYFUNCTION("GOOGLETRANSLATE(D44,""hi"", ""gu"")"),"ખાડા-કમ-બંધ નેટવર્કનું સમારકામ")</f>
        <v>ખાડા-કમ-બંધ નેટવર્કનું સમારકામ</v>
      </c>
      <c r="F44" s="36" t="s">
        <v>168</v>
      </c>
      <c r="G44" s="21" t="str">
        <f>IFERROR(__xludf.DUMMYFUNCTION("GOOGLETRANSLATE(C44, ""en"", ""or"")"),"ଟ୍ରେଞ୍ଚ କମ୍ ବଣ୍ଡ ନେଟୱାର୍କର ମରାମତି")</f>
        <v>ଟ୍ରେଞ୍ଚ କମ୍ ବଣ୍ଡ ନେଟୱାର୍କର ମରାମତି</v>
      </c>
      <c r="H44" s="24"/>
      <c r="I44" s="24"/>
      <c r="J44" s="24"/>
      <c r="K44" s="24"/>
      <c r="L44" s="24"/>
      <c r="M44" s="24"/>
      <c r="N44" s="24"/>
      <c r="O44" s="35" t="s">
        <v>113</v>
      </c>
      <c r="P44" s="24" t="s">
        <v>34</v>
      </c>
      <c r="Q44" s="35" t="s">
        <v>169</v>
      </c>
      <c r="R44" s="26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</row>
    <row r="45" ht="12.75" customHeight="1">
      <c r="A45" s="23" t="s">
        <v>115</v>
      </c>
      <c r="B45" s="23" t="s">
        <v>170</v>
      </c>
      <c r="C45" s="24" t="s">
        <v>117</v>
      </c>
      <c r="D45" s="25" t="s">
        <v>118</v>
      </c>
      <c r="E45" s="25" t="s">
        <v>119</v>
      </c>
      <c r="F45" s="36" t="s">
        <v>120</v>
      </c>
      <c r="G45" s="21" t="str">
        <f>IFERROR(__xludf.DUMMYFUNCTION("GOOGLETRANSLATE(C45, ""en"", ""or"")"),"ମାଟିର ପ୍ରକାର")</f>
        <v>ମାଟିର ପ୍ରକାର</v>
      </c>
      <c r="H45" s="24"/>
      <c r="I45" s="24"/>
      <c r="J45" s="24"/>
      <c r="K45" s="24"/>
      <c r="L45" s="24"/>
      <c r="M45" s="24"/>
      <c r="N45" s="24"/>
      <c r="O45" s="24"/>
      <c r="P45" s="37" t="s">
        <v>34</v>
      </c>
      <c r="Q45" s="24" t="s">
        <v>171</v>
      </c>
      <c r="R45" s="26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</row>
    <row r="46" ht="12.75" customHeight="1">
      <c r="A46" s="23" t="s">
        <v>122</v>
      </c>
      <c r="B46" s="23" t="s">
        <v>172</v>
      </c>
      <c r="C46" s="24" t="s">
        <v>124</v>
      </c>
      <c r="D46" s="25" t="s">
        <v>125</v>
      </c>
      <c r="E46" s="25" t="s">
        <v>126</v>
      </c>
      <c r="F46" s="36" t="s">
        <v>127</v>
      </c>
      <c r="G46" s="21" t="str">
        <f>IFERROR(__xludf.DUMMYFUNCTION("GOOGLETRANSLATE(C46, ""en"", ""or"")"),"ସିଲ୍ଟର ପରିମାଣ")</f>
        <v>ସିଲ୍ଟର ପରିମାଣ</v>
      </c>
      <c r="H46" s="24"/>
      <c r="I46" s="24"/>
      <c r="J46" s="24"/>
      <c r="K46" s="24"/>
      <c r="L46" s="24"/>
      <c r="M46" s="24"/>
      <c r="N46" s="24"/>
      <c r="O46" s="24"/>
      <c r="P46" s="37" t="s">
        <v>34</v>
      </c>
      <c r="Q46" s="24" t="s">
        <v>171</v>
      </c>
      <c r="R46" s="26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</row>
    <row r="47" ht="15.0" customHeight="1">
      <c r="A47" s="34" t="s">
        <v>173</v>
      </c>
      <c r="B47" s="34" t="s">
        <v>174</v>
      </c>
      <c r="C47" s="35" t="s">
        <v>175</v>
      </c>
      <c r="D47" s="25" t="s">
        <v>176</v>
      </c>
      <c r="E47" s="25" t="str">
        <f>IFERROR(__xludf.DUMMYFUNCTION("GOOGLETRANSLATE(D47,""hi"", ""gu"")"),"મુખ્ય પાણીના સ્ત્રોતનું સમારકામ")</f>
        <v>મુખ્ય પાણીના સ્ત્રોતનું સમારકામ</v>
      </c>
      <c r="F47" s="36" t="s">
        <v>177</v>
      </c>
      <c r="G47" s="21" t="str">
        <f>IFERROR(__xludf.DUMMYFUNCTION("GOOGLETRANSLATE(C47, ""en"", ""or"")"),"ବଡ଼ ଜଳାଶୟର ମରାମତି")</f>
        <v>ବଡ଼ ଜଳାଶୟର ମରାମତି</v>
      </c>
      <c r="H47" s="24"/>
      <c r="I47" s="24"/>
      <c r="J47" s="24"/>
      <c r="K47" s="24"/>
      <c r="L47" s="24"/>
      <c r="M47" s="24"/>
      <c r="N47" s="24"/>
      <c r="O47" s="35" t="s">
        <v>113</v>
      </c>
      <c r="P47" s="24" t="s">
        <v>34</v>
      </c>
      <c r="Q47" s="35" t="s">
        <v>178</v>
      </c>
      <c r="R47" s="26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</row>
    <row r="48" ht="12.75" customHeight="1">
      <c r="A48" s="23" t="s">
        <v>115</v>
      </c>
      <c r="B48" s="23" t="s">
        <v>179</v>
      </c>
      <c r="C48" s="24" t="s">
        <v>117</v>
      </c>
      <c r="D48" s="25" t="s">
        <v>118</v>
      </c>
      <c r="E48" s="25" t="s">
        <v>119</v>
      </c>
      <c r="F48" s="36" t="s">
        <v>120</v>
      </c>
      <c r="G48" s="21" t="str">
        <f>IFERROR(__xludf.DUMMYFUNCTION("GOOGLETRANSLATE(C48, ""en"", ""or"")"),"ମାଟିର ପ୍ରକାର")</f>
        <v>ମାଟିର ପ୍ରକାର</v>
      </c>
      <c r="H48" s="24"/>
      <c r="I48" s="24"/>
      <c r="J48" s="24"/>
      <c r="K48" s="24"/>
      <c r="L48" s="24"/>
      <c r="M48" s="24"/>
      <c r="N48" s="24"/>
      <c r="O48" s="24"/>
      <c r="P48" s="37" t="s">
        <v>34</v>
      </c>
      <c r="Q48" s="24" t="s">
        <v>180</v>
      </c>
      <c r="R48" s="26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</row>
    <row r="49" ht="12.75" customHeight="1">
      <c r="A49" s="23" t="s">
        <v>122</v>
      </c>
      <c r="B49" s="23" t="s">
        <v>181</v>
      </c>
      <c r="C49" s="24" t="s">
        <v>124</v>
      </c>
      <c r="D49" s="25" t="s">
        <v>125</v>
      </c>
      <c r="E49" s="25" t="s">
        <v>126</v>
      </c>
      <c r="F49" s="36" t="s">
        <v>127</v>
      </c>
      <c r="G49" s="21" t="str">
        <f>IFERROR(__xludf.DUMMYFUNCTION("GOOGLETRANSLATE(C49, ""en"", ""or"")"),"ସିଲ୍ଟର ପରିମାଣ")</f>
        <v>ସିଲ୍ଟର ପରିମାଣ</v>
      </c>
      <c r="H49" s="24"/>
      <c r="I49" s="24"/>
      <c r="J49" s="24"/>
      <c r="K49" s="24"/>
      <c r="L49" s="24"/>
      <c r="M49" s="24"/>
      <c r="N49" s="24"/>
      <c r="O49" s="24"/>
      <c r="P49" s="37" t="s">
        <v>34</v>
      </c>
      <c r="Q49" s="24" t="s">
        <v>180</v>
      </c>
      <c r="R49" s="26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</row>
    <row r="50" ht="15.0" customHeight="1">
      <c r="A50" s="34" t="s">
        <v>182</v>
      </c>
      <c r="B50" s="34" t="s">
        <v>183</v>
      </c>
      <c r="C50" s="35" t="s">
        <v>184</v>
      </c>
      <c r="D50" s="25" t="s">
        <v>185</v>
      </c>
      <c r="E50" s="25" t="str">
        <f>IFERROR(__xludf.DUMMYFUNCTION("GOOGLETRANSLATE(D50,""hi"", ""gu"")"),"માટીના ખાડાના પ્લગનું સમારકામ")</f>
        <v>માટીના ખાડાના પ્લગનું સમારકામ</v>
      </c>
      <c r="F50" s="36" t="s">
        <v>186</v>
      </c>
      <c r="G50" s="21" t="str">
        <f>IFERROR(__xludf.DUMMYFUNCTION("GOOGLETRANSLATE(C50, ""en"", ""or"")"),"ମାଟି ଗଲି ପ୍ଲଗ୍ ମରାମତି")</f>
        <v>ମାଟି ଗଲି ପ୍ଲଗ୍ ମରାମତି</v>
      </c>
      <c r="H50" s="24"/>
      <c r="I50" s="24"/>
      <c r="J50" s="24"/>
      <c r="K50" s="24"/>
      <c r="L50" s="24"/>
      <c r="M50" s="24"/>
      <c r="N50" s="24"/>
      <c r="O50" s="35" t="s">
        <v>113</v>
      </c>
      <c r="P50" s="24" t="s">
        <v>34</v>
      </c>
      <c r="Q50" s="35" t="s">
        <v>187</v>
      </c>
      <c r="R50" s="26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</row>
    <row r="51" ht="12.75" customHeight="1">
      <c r="A51" s="23"/>
      <c r="B51" s="23"/>
      <c r="C51" s="24"/>
      <c r="D51" s="35"/>
      <c r="E51" s="25"/>
      <c r="F51" s="29"/>
      <c r="G51" s="21"/>
      <c r="H51" s="24"/>
      <c r="I51" s="24"/>
      <c r="J51" s="24"/>
      <c r="K51" s="24"/>
      <c r="L51" s="24"/>
      <c r="M51" s="24"/>
      <c r="N51" s="24"/>
      <c r="O51" s="24"/>
      <c r="P51" s="24"/>
      <c r="Q51" s="35"/>
      <c r="R51" s="26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</row>
    <row r="52" ht="12.75" customHeight="1">
      <c r="A52" s="34" t="s">
        <v>188</v>
      </c>
      <c r="B52" s="34" t="s">
        <v>189</v>
      </c>
      <c r="C52" s="35" t="s">
        <v>190</v>
      </c>
      <c r="D52" s="25" t="s">
        <v>191</v>
      </c>
      <c r="E52" s="25" t="str">
        <f>IFERROR(__xludf.DUMMYFUNCTION("GOOGLETRANSLATE(D52,""hi"", ""gu"")"),"છૂટા પથ્થરના માળખાનું સમારકામ")</f>
        <v>છૂટા પથ્થરના માળખાનું સમારકામ</v>
      </c>
      <c r="F52" s="36" t="s">
        <v>192</v>
      </c>
      <c r="G52" s="21" t="str">
        <f>IFERROR(__xludf.DUMMYFUNCTION("GOOGLETRANSLATE(C52, ""en"", ""or"")"),"ଢିଲା ପଥର ଗଠନର ମରାମତି")</f>
        <v>ଢିଲା ପଥର ଗଠନର ମରାମତି</v>
      </c>
      <c r="H52" s="24"/>
      <c r="I52" s="24"/>
      <c r="J52" s="24"/>
      <c r="K52" s="24"/>
      <c r="L52" s="24"/>
      <c r="M52" s="24"/>
      <c r="N52" s="24"/>
      <c r="O52" s="35" t="s">
        <v>113</v>
      </c>
      <c r="P52" s="24" t="s">
        <v>34</v>
      </c>
      <c r="Q52" s="35" t="s">
        <v>193</v>
      </c>
      <c r="R52" s="26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</row>
    <row r="53" ht="15.0" customHeight="1">
      <c r="A53" s="34" t="s">
        <v>194</v>
      </c>
      <c r="B53" s="34" t="s">
        <v>195</v>
      </c>
      <c r="C53" s="35" t="s">
        <v>196</v>
      </c>
      <c r="D53" s="25" t="s">
        <v>197</v>
      </c>
      <c r="E53" s="25" t="str">
        <f>IFERROR(__xludf.DUMMYFUNCTION("GOOGLETRANSLATE(D53,""hi"", ""gu"")"),"ડ્રેઇન/સોક ડ્રેઇનનું સમારકામ")</f>
        <v>ડ્રેઇન/સોક ડ્રેઇનનું સમારકામ</v>
      </c>
      <c r="F53" s="36" t="s">
        <v>198</v>
      </c>
      <c r="G53" s="21" t="str">
        <f>IFERROR(__xludf.DUMMYFUNCTION("GOOGLETRANSLATE(C53, ""en"", ""or"")"),"ଜଳ ନିଷ୍କାସନ/ସୋକେଜ୍ ଚ୍ୟାନେଲଗୁଡ଼ିକର ମରାମତି")</f>
        <v>ଜଳ ନିଷ୍କାସନ/ସୋକେଜ୍ ଚ୍ୟାନେଲଗୁଡ଼ିକର ମରାମତି</v>
      </c>
      <c r="H53" s="24"/>
      <c r="I53" s="24"/>
      <c r="J53" s="24"/>
      <c r="K53" s="24"/>
      <c r="L53" s="24"/>
      <c r="M53" s="24"/>
      <c r="N53" s="24"/>
      <c r="O53" s="35" t="s">
        <v>113</v>
      </c>
      <c r="P53" s="24" t="s">
        <v>34</v>
      </c>
      <c r="Q53" s="35" t="s">
        <v>199</v>
      </c>
      <c r="R53" s="26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</row>
    <row r="54" ht="12.75" customHeight="1">
      <c r="A54" s="23" t="s">
        <v>115</v>
      </c>
      <c r="B54" s="23" t="s">
        <v>200</v>
      </c>
      <c r="C54" s="24" t="s">
        <v>117</v>
      </c>
      <c r="D54" s="25" t="s">
        <v>118</v>
      </c>
      <c r="E54" s="25" t="s">
        <v>119</v>
      </c>
      <c r="F54" s="36" t="s">
        <v>120</v>
      </c>
      <c r="G54" s="21" t="str">
        <f>IFERROR(__xludf.DUMMYFUNCTION("GOOGLETRANSLATE(C54, ""en"", ""or"")"),"ମାଟିର ପ୍ରକାର")</f>
        <v>ମାଟିର ପ୍ରକାର</v>
      </c>
      <c r="H54" s="24"/>
      <c r="I54" s="24"/>
      <c r="J54" s="24"/>
      <c r="K54" s="24"/>
      <c r="L54" s="24"/>
      <c r="M54" s="24"/>
      <c r="N54" s="24"/>
      <c r="O54" s="24"/>
      <c r="P54" s="37" t="s">
        <v>34</v>
      </c>
      <c r="Q54" s="24" t="s">
        <v>201</v>
      </c>
      <c r="R54" s="26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</row>
    <row r="55" ht="12.75" customHeight="1">
      <c r="A55" s="23" t="s">
        <v>122</v>
      </c>
      <c r="B55" s="23" t="s">
        <v>202</v>
      </c>
      <c r="C55" s="24" t="s">
        <v>124</v>
      </c>
      <c r="D55" s="25" t="s">
        <v>125</v>
      </c>
      <c r="E55" s="25" t="s">
        <v>126</v>
      </c>
      <c r="F55" s="36" t="s">
        <v>127</v>
      </c>
      <c r="G55" s="21" t="str">
        <f>IFERROR(__xludf.DUMMYFUNCTION("GOOGLETRANSLATE(C55, ""en"", ""or"")"),"ସିଲ୍ଟର ପରିମାଣ")</f>
        <v>ସିଲ୍ଟର ପରିମାଣ</v>
      </c>
      <c r="H55" s="24"/>
      <c r="I55" s="24"/>
      <c r="J55" s="24"/>
      <c r="K55" s="24"/>
      <c r="L55" s="24"/>
      <c r="M55" s="24"/>
      <c r="N55" s="24"/>
      <c r="O55" s="24"/>
      <c r="P55" s="37" t="s">
        <v>34</v>
      </c>
      <c r="Q55" s="24" t="s">
        <v>201</v>
      </c>
      <c r="R55" s="26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</row>
    <row r="56" ht="15.0" customHeight="1">
      <c r="A56" s="34" t="s">
        <v>203</v>
      </c>
      <c r="B56" s="34" t="s">
        <v>204</v>
      </c>
      <c r="C56" s="35" t="s">
        <v>205</v>
      </c>
      <c r="D56" s="25" t="s">
        <v>206</v>
      </c>
      <c r="E56" s="25" t="str">
        <f>IFERROR(__xludf.DUMMYFUNCTION("GOOGLETRANSLATE(D56,""hi"", ""gu"")"),"રિચાર્જ ખાડાઓનું સમારકામ")</f>
        <v>રિચાર્જ ખાડાઓનું સમારકામ</v>
      </c>
      <c r="F56" s="36" t="s">
        <v>207</v>
      </c>
      <c r="G56" s="21" t="str">
        <f>IFERROR(__xludf.DUMMYFUNCTION("GOOGLETRANSLATE(C56, ""en"", ""or"")"),"ରିଚାର୍ଜ ପିଟ୍‌ଗୁଡ଼ିକର ମରାମତି")</f>
        <v>ରିଚାର୍ଜ ପିଟ୍‌ଗୁଡ଼ିକର ମରାମତି</v>
      </c>
      <c r="H56" s="24"/>
      <c r="I56" s="24"/>
      <c r="J56" s="24"/>
      <c r="K56" s="24"/>
      <c r="L56" s="24"/>
      <c r="M56" s="24"/>
      <c r="N56" s="24"/>
      <c r="O56" s="35" t="s">
        <v>113</v>
      </c>
      <c r="P56" s="24" t="s">
        <v>34</v>
      </c>
      <c r="Q56" s="35" t="s">
        <v>208</v>
      </c>
      <c r="R56" s="26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</row>
    <row r="57" ht="12.75" customHeight="1">
      <c r="A57" s="23" t="s">
        <v>115</v>
      </c>
      <c r="B57" s="23" t="s">
        <v>209</v>
      </c>
      <c r="C57" s="24" t="s">
        <v>117</v>
      </c>
      <c r="D57" s="25" t="s">
        <v>118</v>
      </c>
      <c r="E57" s="25" t="s">
        <v>119</v>
      </c>
      <c r="F57" s="36" t="s">
        <v>120</v>
      </c>
      <c r="G57" s="21" t="str">
        <f>IFERROR(__xludf.DUMMYFUNCTION("GOOGLETRANSLATE(C57, ""en"", ""or"")"),"ମାଟିର ପ୍ରକାର")</f>
        <v>ମାଟିର ପ୍ରକାର</v>
      </c>
      <c r="H57" s="24"/>
      <c r="I57" s="24"/>
      <c r="J57" s="24"/>
      <c r="K57" s="24"/>
      <c r="L57" s="24"/>
      <c r="M57" s="24"/>
      <c r="N57" s="24"/>
      <c r="O57" s="24"/>
      <c r="P57" s="37" t="s">
        <v>34</v>
      </c>
      <c r="Q57" s="24" t="s">
        <v>210</v>
      </c>
      <c r="R57" s="26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</row>
    <row r="58" ht="12.75" customHeight="1">
      <c r="A58" s="23" t="s">
        <v>122</v>
      </c>
      <c r="B58" s="23" t="s">
        <v>211</v>
      </c>
      <c r="C58" s="24" t="s">
        <v>124</v>
      </c>
      <c r="D58" s="25" t="s">
        <v>125</v>
      </c>
      <c r="E58" s="25" t="s">
        <v>126</v>
      </c>
      <c r="F58" s="36" t="s">
        <v>127</v>
      </c>
      <c r="G58" s="21" t="str">
        <f>IFERROR(__xludf.DUMMYFUNCTION("GOOGLETRANSLATE(C58, ""en"", ""or"")"),"ସିଲ୍ଟର ପରିମାଣ")</f>
        <v>ସିଲ୍ଟର ପରିମାଣ</v>
      </c>
      <c r="H58" s="24"/>
      <c r="I58" s="24"/>
      <c r="J58" s="24"/>
      <c r="K58" s="24"/>
      <c r="L58" s="24"/>
      <c r="M58" s="24"/>
      <c r="N58" s="24"/>
      <c r="O58" s="24"/>
      <c r="P58" s="37" t="s">
        <v>34</v>
      </c>
      <c r="Q58" s="24" t="s">
        <v>210</v>
      </c>
      <c r="R58" s="26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</row>
    <row r="59" ht="15.0" customHeight="1">
      <c r="A59" s="34" t="s">
        <v>212</v>
      </c>
      <c r="B59" s="34" t="s">
        <v>213</v>
      </c>
      <c r="C59" s="35" t="s">
        <v>214</v>
      </c>
      <c r="D59" s="25" t="s">
        <v>215</v>
      </c>
      <c r="E59" s="25" t="str">
        <f>IFERROR(__xludf.DUMMYFUNCTION("GOOGLETRANSLATE(D59,""hi"", ""gu"")"),"ખાડાનું સમારકામ")</f>
        <v>ખાડાનું સમારકામ</v>
      </c>
      <c r="F59" s="36" t="s">
        <v>216</v>
      </c>
      <c r="G59" s="21" t="str">
        <f>IFERROR(__xludf.DUMMYFUNCTION("GOOGLETRANSLATE(C59, ""en"", ""or"")"),"ସୋକେଜ୍ ପିଟ୍‌ଗୁଡ଼ିକର ମରାମତି")</f>
        <v>ସୋକେଜ୍ ପିଟ୍‌ଗୁଡ଼ିକର ମରାମତି</v>
      </c>
      <c r="H59" s="24"/>
      <c r="I59" s="24"/>
      <c r="J59" s="24"/>
      <c r="K59" s="24"/>
      <c r="L59" s="24"/>
      <c r="M59" s="24"/>
      <c r="N59" s="24"/>
      <c r="O59" s="35" t="s">
        <v>113</v>
      </c>
      <c r="P59" s="24" t="s">
        <v>34</v>
      </c>
      <c r="Q59" s="35" t="s">
        <v>217</v>
      </c>
      <c r="R59" s="26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</row>
    <row r="60" ht="12.75" customHeight="1">
      <c r="A60" s="23" t="s">
        <v>115</v>
      </c>
      <c r="B60" s="23" t="s">
        <v>218</v>
      </c>
      <c r="C60" s="24" t="s">
        <v>117</v>
      </c>
      <c r="D60" s="25" t="s">
        <v>118</v>
      </c>
      <c r="E60" s="25" t="s">
        <v>119</v>
      </c>
      <c r="F60" s="36" t="s">
        <v>120</v>
      </c>
      <c r="G60" s="21" t="str">
        <f>IFERROR(__xludf.DUMMYFUNCTION("GOOGLETRANSLATE(C60, ""en"", ""or"")"),"ମାଟିର ପ୍ରକାର")</f>
        <v>ମାଟିର ପ୍ରକାର</v>
      </c>
      <c r="H60" s="24"/>
      <c r="I60" s="24"/>
      <c r="J60" s="24"/>
      <c r="K60" s="24"/>
      <c r="L60" s="24"/>
      <c r="M60" s="24"/>
      <c r="N60" s="24"/>
      <c r="O60" s="24"/>
      <c r="P60" s="37" t="s">
        <v>34</v>
      </c>
      <c r="Q60" s="24" t="s">
        <v>219</v>
      </c>
      <c r="R60" s="26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</row>
    <row r="61" ht="12.75" customHeight="1">
      <c r="A61" s="23" t="s">
        <v>122</v>
      </c>
      <c r="B61" s="23" t="s">
        <v>220</v>
      </c>
      <c r="C61" s="24" t="s">
        <v>124</v>
      </c>
      <c r="D61" s="25" t="s">
        <v>125</v>
      </c>
      <c r="E61" s="25" t="s">
        <v>126</v>
      </c>
      <c r="F61" s="36" t="s">
        <v>127</v>
      </c>
      <c r="G61" s="21" t="str">
        <f>IFERROR(__xludf.DUMMYFUNCTION("GOOGLETRANSLATE(C61, ""en"", ""or"")"),"ସିଲ୍ଟର ପରିମାଣ")</f>
        <v>ସିଲ୍ଟର ପରିମାଣ</v>
      </c>
      <c r="H61" s="24"/>
      <c r="I61" s="24"/>
      <c r="J61" s="24"/>
      <c r="K61" s="24"/>
      <c r="L61" s="24"/>
      <c r="M61" s="24"/>
      <c r="N61" s="24"/>
      <c r="O61" s="24"/>
      <c r="P61" s="37" t="s">
        <v>34</v>
      </c>
      <c r="Q61" s="24" t="s">
        <v>219</v>
      </c>
      <c r="R61" s="26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</row>
    <row r="62" ht="26.25" customHeight="1">
      <c r="A62" s="34" t="s">
        <v>221</v>
      </c>
      <c r="B62" s="30" t="s">
        <v>222</v>
      </c>
      <c r="C62" s="25" t="s">
        <v>223</v>
      </c>
      <c r="D62" s="25" t="s">
        <v>224</v>
      </c>
      <c r="E62" s="25" t="str">
        <f>IFERROR(__xludf.DUMMYFUNCTION("GOOGLETRANSLATE(D62,""hi"", ""gu"")"),"સતત કોન્ટૂર ટ્રેન્ચ (CCT) સમારકામ")</f>
        <v>સતત કોન્ટૂર ટ્રેન્ચ (CCT) સમારકામ</v>
      </c>
      <c r="F62" s="36" t="s">
        <v>225</v>
      </c>
      <c r="G62" s="21" t="str">
        <f>IFERROR(__xludf.DUMMYFUNCTION("GOOGLETRANSLATE(C62, ""en"", ""or"")"),"ନିରନ୍ତର କଣ୍ଟୋର ଟ୍ରେଞ୍ଚ (CCT) ର ମରାମତି
")</f>
        <v>ନିରନ୍ତର କଣ୍ଟୋର ଟ୍ରେଞ୍ଚ (CCT) ର ମରାମତି
</v>
      </c>
      <c r="H62" s="24"/>
      <c r="I62" s="24"/>
      <c r="J62" s="24"/>
      <c r="K62" s="24"/>
      <c r="L62" s="24"/>
      <c r="M62" s="24"/>
      <c r="N62" s="24"/>
      <c r="O62" s="35" t="s">
        <v>113</v>
      </c>
      <c r="P62" s="24" t="s">
        <v>34</v>
      </c>
      <c r="Q62" s="35" t="s">
        <v>226</v>
      </c>
      <c r="R62" s="26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</row>
    <row r="63" ht="12.75" customHeight="1">
      <c r="A63" s="23" t="s">
        <v>115</v>
      </c>
      <c r="B63" s="23" t="s">
        <v>227</v>
      </c>
      <c r="C63" s="24" t="s">
        <v>117</v>
      </c>
      <c r="D63" s="25" t="s">
        <v>118</v>
      </c>
      <c r="E63" s="25" t="s">
        <v>119</v>
      </c>
      <c r="F63" s="36" t="s">
        <v>120</v>
      </c>
      <c r="G63" s="21" t="str">
        <f>IFERROR(__xludf.DUMMYFUNCTION("GOOGLETRANSLATE(C63, ""en"", ""or"")"),"ମାଟିର ପ୍ରକାର")</f>
        <v>ମାଟିର ପ୍ରକାର</v>
      </c>
      <c r="H63" s="24"/>
      <c r="I63" s="24"/>
      <c r="J63" s="24"/>
      <c r="K63" s="24"/>
      <c r="L63" s="24"/>
      <c r="M63" s="24"/>
      <c r="N63" s="24"/>
      <c r="O63" s="24"/>
      <c r="P63" s="37" t="s">
        <v>34</v>
      </c>
      <c r="Q63" s="24" t="s">
        <v>228</v>
      </c>
      <c r="R63" s="26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</row>
    <row r="64" ht="12.75" customHeight="1">
      <c r="A64" s="23" t="s">
        <v>122</v>
      </c>
      <c r="B64" s="23" t="s">
        <v>229</v>
      </c>
      <c r="C64" s="24" t="s">
        <v>124</v>
      </c>
      <c r="D64" s="25" t="s">
        <v>125</v>
      </c>
      <c r="E64" s="25" t="s">
        <v>126</v>
      </c>
      <c r="F64" s="36" t="s">
        <v>127</v>
      </c>
      <c r="G64" s="21" t="str">
        <f>IFERROR(__xludf.DUMMYFUNCTION("GOOGLETRANSLATE(C64, ""en"", ""or"")"),"ସିଲ୍ଟର ପରିମାଣ")</f>
        <v>ସିଲ୍ଟର ପରିମାଣ</v>
      </c>
      <c r="H64" s="24"/>
      <c r="I64" s="24"/>
      <c r="J64" s="24"/>
      <c r="K64" s="24"/>
      <c r="L64" s="24"/>
      <c r="M64" s="24"/>
      <c r="N64" s="24"/>
      <c r="O64" s="24"/>
      <c r="P64" s="37" t="s">
        <v>34</v>
      </c>
      <c r="Q64" s="24" t="s">
        <v>228</v>
      </c>
      <c r="R64" s="26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</row>
    <row r="65" ht="46.5" customHeight="1">
      <c r="A65" s="34" t="s">
        <v>230</v>
      </c>
      <c r="B65" s="30" t="s">
        <v>231</v>
      </c>
      <c r="C65" s="25" t="s">
        <v>232</v>
      </c>
      <c r="D65" s="25" t="s">
        <v>233</v>
      </c>
      <c r="E65" s="25" t="str">
        <f>IFERROR(__xludf.DUMMYFUNCTION("GOOGLETRANSLATE(D65,""hi"", ""gu"")"),"સ્ટેગર્ડ કોન્ટૂર ટ્રેન્ચ (SCT) નું સમારકામ")</f>
        <v>સ્ટેગર્ડ કોન્ટૂર ટ્રેન્ચ (SCT) નું સમારકામ</v>
      </c>
      <c r="F65" s="36" t="s">
        <v>234</v>
      </c>
      <c r="G65" s="21" t="str">
        <f>IFERROR(__xludf.DUMMYFUNCTION("GOOGLETRANSLATE(C65, ""en"", ""or"")"),"ଷ୍ଟାଗର୍ଡ କଣ୍ଟୋର ଟ୍ରେଞ୍ଚ (SCT) ର ମରାମତି
")</f>
        <v>ଷ୍ଟାଗର୍ଡ କଣ୍ଟୋର ଟ୍ରେଞ୍ଚ (SCT) ର ମରାମତି
</v>
      </c>
      <c r="H65" s="24"/>
      <c r="I65" s="24"/>
      <c r="J65" s="24"/>
      <c r="K65" s="24"/>
      <c r="L65" s="24"/>
      <c r="M65" s="24"/>
      <c r="N65" s="24"/>
      <c r="O65" s="35" t="s">
        <v>113</v>
      </c>
      <c r="P65" s="24" t="s">
        <v>34</v>
      </c>
      <c r="Q65" s="35" t="s">
        <v>235</v>
      </c>
      <c r="R65" s="26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</row>
    <row r="66" ht="12.75" customHeight="1">
      <c r="A66" s="23" t="s">
        <v>115</v>
      </c>
      <c r="B66" s="23" t="s">
        <v>236</v>
      </c>
      <c r="C66" s="24" t="s">
        <v>117</v>
      </c>
      <c r="D66" s="25" t="s">
        <v>118</v>
      </c>
      <c r="E66" s="25" t="s">
        <v>119</v>
      </c>
      <c r="F66" s="36" t="s">
        <v>120</v>
      </c>
      <c r="G66" s="21" t="str">
        <f>IFERROR(__xludf.DUMMYFUNCTION("GOOGLETRANSLATE(C66, ""en"", ""or"")"),"ମାଟିର ପ୍ରକାର")</f>
        <v>ମାଟିର ପ୍ରକାର</v>
      </c>
      <c r="H66" s="24"/>
      <c r="I66" s="24"/>
      <c r="J66" s="24"/>
      <c r="K66" s="24"/>
      <c r="L66" s="24"/>
      <c r="M66" s="24"/>
      <c r="N66" s="24"/>
      <c r="O66" s="24"/>
      <c r="P66" s="37" t="s">
        <v>34</v>
      </c>
      <c r="Q66" s="24" t="s">
        <v>237</v>
      </c>
      <c r="R66" s="26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</row>
    <row r="67" ht="12.75" customHeight="1">
      <c r="A67" s="23" t="s">
        <v>122</v>
      </c>
      <c r="B67" s="23" t="s">
        <v>238</v>
      </c>
      <c r="C67" s="24" t="s">
        <v>124</v>
      </c>
      <c r="D67" s="25" t="s">
        <v>125</v>
      </c>
      <c r="E67" s="25" t="s">
        <v>126</v>
      </c>
      <c r="F67" s="36" t="s">
        <v>127</v>
      </c>
      <c r="G67" s="21" t="str">
        <f>IFERROR(__xludf.DUMMYFUNCTION("GOOGLETRANSLATE(C67, ""en"", ""or"")"),"ସିଲ୍ଟର ପରିମାଣ")</f>
        <v>ସିଲ୍ଟର ପରିମାଣ</v>
      </c>
      <c r="H67" s="24"/>
      <c r="I67" s="24"/>
      <c r="J67" s="24"/>
      <c r="K67" s="24"/>
      <c r="L67" s="24"/>
      <c r="M67" s="24"/>
      <c r="N67" s="24"/>
      <c r="O67" s="24"/>
      <c r="P67" s="37" t="s">
        <v>34</v>
      </c>
      <c r="Q67" s="24" t="s">
        <v>239</v>
      </c>
      <c r="R67" s="26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</row>
    <row r="68" ht="26.25" customHeight="1">
      <c r="A68" s="34" t="s">
        <v>240</v>
      </c>
      <c r="B68" s="30" t="s">
        <v>241</v>
      </c>
      <c r="C68" s="25" t="s">
        <v>242</v>
      </c>
      <c r="D68" s="25" t="s">
        <v>243</v>
      </c>
      <c r="E68" s="25" t="str">
        <f>IFERROR(__xludf.DUMMYFUNCTION("GOOGLETRANSLATE(D68,""hi"", ""gu"")"),"વોટર ઓબ્સ્ક્યુરેશન ટ્રેન્ચ (WAT) નું સમારકામ")</f>
        <v>વોટર ઓબ્સ્ક્યુરેશન ટ્રેન્ચ (WAT) નું સમારકામ</v>
      </c>
      <c r="F68" s="36" t="s">
        <v>244</v>
      </c>
      <c r="G68" s="21" t="str">
        <f>IFERROR(__xludf.DUMMYFUNCTION("GOOGLETRANSLATE(C68, ""en"", ""or"")"),"ଜଳ ଅବଶୋଷଣ ଟ୍ରେଞ୍ଚ (WAT) ର ମରାମତି
")</f>
        <v>ଜଳ ଅବଶୋଷଣ ଟ୍ରେଞ୍ଚ (WAT) ର ମରାମତି
</v>
      </c>
      <c r="H68" s="24"/>
      <c r="I68" s="24"/>
      <c r="J68" s="24"/>
      <c r="K68" s="24"/>
      <c r="L68" s="24"/>
      <c r="M68" s="24"/>
      <c r="N68" s="24"/>
      <c r="O68" s="35" t="s">
        <v>113</v>
      </c>
      <c r="P68" s="24" t="s">
        <v>34</v>
      </c>
      <c r="Q68" s="35" t="s">
        <v>245</v>
      </c>
      <c r="R68" s="26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</row>
    <row r="69" ht="12.75" customHeight="1">
      <c r="A69" s="23" t="s">
        <v>115</v>
      </c>
      <c r="B69" s="23" t="s">
        <v>246</v>
      </c>
      <c r="C69" s="24" t="s">
        <v>117</v>
      </c>
      <c r="D69" s="25" t="s">
        <v>118</v>
      </c>
      <c r="E69" s="25" t="s">
        <v>119</v>
      </c>
      <c r="F69" s="36" t="s">
        <v>120</v>
      </c>
      <c r="G69" s="21" t="str">
        <f>IFERROR(__xludf.DUMMYFUNCTION("GOOGLETRANSLATE(C69, ""en"", ""or"")"),"ମାଟିର ପ୍ରକାର")</f>
        <v>ମାଟିର ପ୍ରକାର</v>
      </c>
      <c r="H69" s="24"/>
      <c r="I69" s="24"/>
      <c r="J69" s="24"/>
      <c r="K69" s="24"/>
      <c r="L69" s="24"/>
      <c r="M69" s="24"/>
      <c r="N69" s="24"/>
      <c r="O69" s="24"/>
      <c r="P69" s="37" t="s">
        <v>34</v>
      </c>
      <c r="Q69" s="24" t="s">
        <v>247</v>
      </c>
      <c r="R69" s="26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</row>
    <row r="70" ht="12.75" customHeight="1">
      <c r="A70" s="23" t="s">
        <v>122</v>
      </c>
      <c r="B70" s="23" t="s">
        <v>248</v>
      </c>
      <c r="C70" s="24" t="s">
        <v>124</v>
      </c>
      <c r="D70" s="25" t="s">
        <v>125</v>
      </c>
      <c r="E70" s="25" t="s">
        <v>126</v>
      </c>
      <c r="F70" s="36" t="s">
        <v>127</v>
      </c>
      <c r="G70" s="21" t="str">
        <f>IFERROR(__xludf.DUMMYFUNCTION("GOOGLETRANSLATE(C70, ""en"", ""or"")"),"ସିଲ୍ଟର ପରିମାଣ")</f>
        <v>ସିଲ୍ଟର ପରିମାଣ</v>
      </c>
      <c r="H70" s="24"/>
      <c r="I70" s="24"/>
      <c r="J70" s="24"/>
      <c r="K70" s="24"/>
      <c r="L70" s="24"/>
      <c r="M70" s="24"/>
      <c r="N70" s="24"/>
      <c r="O70" s="24"/>
      <c r="P70" s="37" t="s">
        <v>34</v>
      </c>
      <c r="Q70" s="24" t="s">
        <v>247</v>
      </c>
      <c r="R70" s="26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</row>
    <row r="71" ht="15.0" customHeight="1">
      <c r="A71" s="34" t="s">
        <v>249</v>
      </c>
      <c r="B71" s="34" t="s">
        <v>250</v>
      </c>
      <c r="C71" s="35" t="s">
        <v>251</v>
      </c>
      <c r="D71" s="25" t="s">
        <v>252</v>
      </c>
      <c r="E71" s="25" t="str">
        <f>IFERROR(__xludf.DUMMYFUNCTION("GOOGLETRANSLATE(D71,""hi"", ""gu"")"),"રોકફિલ ડેમનું સમારકામ")</f>
        <v>રોકફિલ ડેમનું સમારકામ</v>
      </c>
      <c r="F71" s="36" t="s">
        <v>253</v>
      </c>
      <c r="G71" s="21" t="str">
        <f>IFERROR(__xludf.DUMMYFUNCTION("GOOGLETRANSLATE(C71, ""en"", ""or"")"),"ପଥର ପୂରଣ ବନ୍ଧର ମରାମତି")</f>
        <v>ପଥର ପୂରଣ ବନ୍ଧର ମରାମତି</v>
      </c>
      <c r="H71" s="24"/>
      <c r="I71" s="24"/>
      <c r="J71" s="24"/>
      <c r="K71" s="24"/>
      <c r="L71" s="24"/>
      <c r="M71" s="24"/>
      <c r="N71" s="24"/>
      <c r="O71" s="35" t="s">
        <v>113</v>
      </c>
      <c r="P71" s="24" t="s">
        <v>34</v>
      </c>
      <c r="Q71" s="35" t="s">
        <v>254</v>
      </c>
      <c r="R71" s="26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</row>
    <row r="72" ht="12.75" customHeight="1">
      <c r="A72" s="23" t="s">
        <v>115</v>
      </c>
      <c r="B72" s="23" t="s">
        <v>255</v>
      </c>
      <c r="C72" s="24" t="s">
        <v>117</v>
      </c>
      <c r="D72" s="25" t="s">
        <v>118</v>
      </c>
      <c r="E72" s="25" t="s">
        <v>119</v>
      </c>
      <c r="F72" s="36" t="s">
        <v>120</v>
      </c>
      <c r="G72" s="21" t="str">
        <f>IFERROR(__xludf.DUMMYFUNCTION("GOOGLETRANSLATE(C72, ""en"", ""or"")"),"ମାଟିର ପ୍ରକାର")</f>
        <v>ମାଟିର ପ୍ରକାର</v>
      </c>
      <c r="H72" s="24"/>
      <c r="I72" s="24"/>
      <c r="J72" s="24"/>
      <c r="K72" s="24"/>
      <c r="L72" s="24"/>
      <c r="M72" s="24"/>
      <c r="N72" s="24"/>
      <c r="O72" s="24"/>
      <c r="P72" s="37" t="s">
        <v>34</v>
      </c>
      <c r="Q72" s="24" t="s">
        <v>256</v>
      </c>
      <c r="R72" s="26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</row>
    <row r="73" ht="12.75" customHeight="1">
      <c r="A73" s="23" t="s">
        <v>122</v>
      </c>
      <c r="B73" s="23" t="s">
        <v>257</v>
      </c>
      <c r="C73" s="24" t="s">
        <v>124</v>
      </c>
      <c r="D73" s="25" t="s">
        <v>125</v>
      </c>
      <c r="E73" s="25" t="s">
        <v>126</v>
      </c>
      <c r="F73" s="36" t="s">
        <v>127</v>
      </c>
      <c r="G73" s="21" t="str">
        <f>IFERROR(__xludf.DUMMYFUNCTION("GOOGLETRANSLATE(C73, ""en"", ""or"")"),"ସିଲ୍ଟର ପରିମାଣ")</f>
        <v>ସିଲ୍ଟର ପରିମାଣ</v>
      </c>
      <c r="H73" s="24"/>
      <c r="I73" s="24"/>
      <c r="J73" s="24"/>
      <c r="K73" s="24"/>
      <c r="L73" s="24"/>
      <c r="M73" s="24"/>
      <c r="N73" s="24"/>
      <c r="O73" s="24"/>
      <c r="P73" s="37" t="s">
        <v>34</v>
      </c>
      <c r="Q73" s="24" t="s">
        <v>256</v>
      </c>
      <c r="R73" s="26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</row>
    <row r="74" ht="15.0" customHeight="1">
      <c r="A74" s="34" t="s">
        <v>258</v>
      </c>
      <c r="B74" s="34" t="s">
        <v>259</v>
      </c>
      <c r="C74" s="35" t="s">
        <v>260</v>
      </c>
      <c r="D74" s="25" t="s">
        <v>261</v>
      </c>
      <c r="E74" s="25" t="str">
        <f>IFERROR(__xludf.DUMMYFUNCTION("GOOGLETRANSLATE(D74,""hi"", ""gu"")"),"પથ્થર બંધનું સમારકામ")</f>
        <v>પથ્થર બંધનું સમારકામ</v>
      </c>
      <c r="F74" s="36" t="s">
        <v>262</v>
      </c>
      <c r="G74" s="21" t="str">
        <f>IFERROR(__xludf.DUMMYFUNCTION("GOOGLETRANSLATE(C74, ""en"", ""or"")"),"ପଥର ବନ୍ଧନର ମରାମତି")</f>
        <v>ପଥର ବନ୍ଧନର ମରାମତି</v>
      </c>
      <c r="H74" s="24"/>
      <c r="I74" s="24"/>
      <c r="J74" s="24"/>
      <c r="K74" s="24"/>
      <c r="L74" s="24"/>
      <c r="M74" s="24"/>
      <c r="N74" s="24"/>
      <c r="O74" s="35" t="s">
        <v>113</v>
      </c>
      <c r="P74" s="24" t="s">
        <v>34</v>
      </c>
      <c r="Q74" s="35" t="s">
        <v>263</v>
      </c>
      <c r="R74" s="26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</row>
    <row r="75" ht="12.75" customHeight="1">
      <c r="A75" s="23" t="s">
        <v>115</v>
      </c>
      <c r="B75" s="23" t="s">
        <v>264</v>
      </c>
      <c r="C75" s="24" t="s">
        <v>117</v>
      </c>
      <c r="D75" s="25" t="s">
        <v>118</v>
      </c>
      <c r="E75" s="25" t="s">
        <v>119</v>
      </c>
      <c r="F75" s="36" t="s">
        <v>120</v>
      </c>
      <c r="G75" s="21" t="str">
        <f>IFERROR(__xludf.DUMMYFUNCTION("GOOGLETRANSLATE(C75, ""en"", ""or"")"),"ମାଟିର ପ୍ରକାର")</f>
        <v>ମାଟିର ପ୍ରକାର</v>
      </c>
      <c r="H75" s="24"/>
      <c r="I75" s="24"/>
      <c r="J75" s="24"/>
      <c r="K75" s="24"/>
      <c r="L75" s="24"/>
      <c r="M75" s="24"/>
      <c r="N75" s="24"/>
      <c r="O75" s="24"/>
      <c r="P75" s="37" t="s">
        <v>34</v>
      </c>
      <c r="Q75" s="24" t="s">
        <v>265</v>
      </c>
      <c r="R75" s="26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</row>
    <row r="76" ht="12.75" customHeight="1">
      <c r="A76" s="23" t="s">
        <v>122</v>
      </c>
      <c r="B76" s="23" t="s">
        <v>266</v>
      </c>
      <c r="C76" s="24" t="s">
        <v>124</v>
      </c>
      <c r="D76" s="25" t="s">
        <v>125</v>
      </c>
      <c r="E76" s="25" t="s">
        <v>126</v>
      </c>
      <c r="F76" s="36" t="s">
        <v>127</v>
      </c>
      <c r="G76" s="21" t="str">
        <f>IFERROR(__xludf.DUMMYFUNCTION("GOOGLETRANSLATE(C76, ""en"", ""or"")"),"ସିଲ୍ଟର ପରିମାଣ")</f>
        <v>ସିଲ୍ଟର ପରିମାଣ</v>
      </c>
      <c r="H76" s="24"/>
      <c r="I76" s="24"/>
      <c r="J76" s="24"/>
      <c r="K76" s="24"/>
      <c r="L76" s="24"/>
      <c r="M76" s="24"/>
      <c r="N76" s="24"/>
      <c r="O76" s="24"/>
      <c r="P76" s="37" t="s">
        <v>34</v>
      </c>
      <c r="Q76" s="24" t="s">
        <v>265</v>
      </c>
      <c r="R76" s="26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</row>
    <row r="77" ht="15.0" customHeight="1">
      <c r="A77" s="34" t="s">
        <v>267</v>
      </c>
      <c r="B77" s="34" t="s">
        <v>268</v>
      </c>
      <c r="C77" s="35" t="s">
        <v>269</v>
      </c>
      <c r="D77" s="25" t="s">
        <v>270</v>
      </c>
      <c r="E77" s="25" t="str">
        <f>IFERROR(__xludf.DUMMYFUNCTION("GOOGLETRANSLATE(D77,""hi"", ""gu"")"),"ડાયવર્ઝન ડ્રેઇનનું સમારકામ")</f>
        <v>ડાયવર્ઝન ડ્રેઇનનું સમારકામ</v>
      </c>
      <c r="F77" s="36" t="s">
        <v>271</v>
      </c>
      <c r="G77" s="21" t="str">
        <f>IFERROR(__xludf.DUMMYFUNCTION("GOOGLETRANSLATE(C77, ""en"", ""or"")"),"ଡାଇଭର୍ସନ ଡ୍ରେନଗୁଡ଼ିକର ମରାମତି")</f>
        <v>ଡାଇଭର୍ସନ ଡ୍ରେନଗୁଡ଼ିକର ମରାମତି</v>
      </c>
      <c r="H77" s="24"/>
      <c r="I77" s="24"/>
      <c r="J77" s="24"/>
      <c r="K77" s="24"/>
      <c r="L77" s="24"/>
      <c r="M77" s="24"/>
      <c r="N77" s="24"/>
      <c r="O77" s="35" t="s">
        <v>113</v>
      </c>
      <c r="P77" s="24" t="s">
        <v>34</v>
      </c>
      <c r="Q77" s="35" t="s">
        <v>272</v>
      </c>
      <c r="R77" s="26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</row>
    <row r="78" ht="12.75" customHeight="1">
      <c r="A78" s="23" t="s">
        <v>115</v>
      </c>
      <c r="B78" s="23" t="s">
        <v>273</v>
      </c>
      <c r="C78" s="24" t="s">
        <v>117</v>
      </c>
      <c r="D78" s="25" t="s">
        <v>118</v>
      </c>
      <c r="E78" s="25" t="s">
        <v>119</v>
      </c>
      <c r="F78" s="36" t="s">
        <v>120</v>
      </c>
      <c r="G78" s="21" t="str">
        <f>IFERROR(__xludf.DUMMYFUNCTION("GOOGLETRANSLATE(C78, ""en"", ""or"")"),"ମାଟିର ପ୍ରକାର")</f>
        <v>ମାଟିର ପ୍ରକାର</v>
      </c>
      <c r="H78" s="24"/>
      <c r="I78" s="24"/>
      <c r="J78" s="24"/>
      <c r="K78" s="24"/>
      <c r="L78" s="24"/>
      <c r="M78" s="24"/>
      <c r="N78" s="24"/>
      <c r="O78" s="24"/>
      <c r="P78" s="37" t="s">
        <v>34</v>
      </c>
      <c r="Q78" s="24" t="s">
        <v>274</v>
      </c>
      <c r="R78" s="26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</row>
    <row r="79" ht="12.75" customHeight="1">
      <c r="A79" s="23" t="s">
        <v>122</v>
      </c>
      <c r="B79" s="23" t="s">
        <v>275</v>
      </c>
      <c r="C79" s="24" t="s">
        <v>124</v>
      </c>
      <c r="D79" s="25" t="s">
        <v>125</v>
      </c>
      <c r="E79" s="25" t="s">
        <v>126</v>
      </c>
      <c r="F79" s="36" t="s">
        <v>127</v>
      </c>
      <c r="G79" s="21" t="str">
        <f>IFERROR(__xludf.DUMMYFUNCTION("GOOGLETRANSLATE(C79, ""en"", ""or"")"),"ସିଲ୍ଟର ପରିମାଣ")</f>
        <v>ସିଲ୍ଟର ପରିମାଣ</v>
      </c>
      <c r="H79" s="24"/>
      <c r="I79" s="24"/>
      <c r="J79" s="24"/>
      <c r="K79" s="24"/>
      <c r="L79" s="24"/>
      <c r="M79" s="24"/>
      <c r="N79" s="24"/>
      <c r="O79" s="24"/>
      <c r="P79" s="37" t="s">
        <v>34</v>
      </c>
      <c r="Q79" s="24" t="s">
        <v>274</v>
      </c>
      <c r="R79" s="26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</row>
    <row r="80" ht="15.0" customHeight="1">
      <c r="A80" s="34" t="s">
        <v>276</v>
      </c>
      <c r="B80" s="34" t="s">
        <v>277</v>
      </c>
      <c r="C80" s="35" t="s">
        <v>278</v>
      </c>
      <c r="D80" s="25" t="s">
        <v>279</v>
      </c>
      <c r="E80" s="25" t="str">
        <f>IFERROR(__xludf.DUMMYFUNCTION("GOOGLETRANSLATE(D80,""hi"", ""gu"")"),"બંધન: કોન્ટૂર બંધ/ગ્રેડેડ બંધનું સમારકામ")</f>
        <v>બંધન: કોન્ટૂર બંધ/ગ્રેડેડ બંધનું સમારકામ</v>
      </c>
      <c r="F80" s="36" t="s">
        <v>280</v>
      </c>
      <c r="G80" s="21" t="str">
        <f>IFERROR(__xludf.DUMMYFUNCTION("GOOGLETRANSLATE(C80, ""en"", ""or"")"),"ବାଣ୍ଡିଂର ମରାମତି: କଣ୍ଟୁର ବାଣ୍ଡ / ଗ୍ରେଡେଡ୍ ବାଣ୍ଡ")</f>
        <v>ବାଣ୍ଡିଂର ମରାମତି: କଣ୍ଟୁର ବାଣ୍ଡ / ଗ୍ରେଡେଡ୍ ବାଣ୍ଡ</v>
      </c>
      <c r="H80" s="24"/>
      <c r="I80" s="24"/>
      <c r="J80" s="24"/>
      <c r="K80" s="24"/>
      <c r="L80" s="24"/>
      <c r="M80" s="24"/>
      <c r="N80" s="24"/>
      <c r="O80" s="35" t="s">
        <v>113</v>
      </c>
      <c r="P80" s="24" t="s">
        <v>34</v>
      </c>
      <c r="Q80" s="35" t="s">
        <v>281</v>
      </c>
      <c r="R80" s="26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</row>
    <row r="81" ht="12.75" customHeight="1">
      <c r="A81" s="23" t="s">
        <v>115</v>
      </c>
      <c r="B81" s="23" t="s">
        <v>282</v>
      </c>
      <c r="C81" s="24" t="s">
        <v>117</v>
      </c>
      <c r="D81" s="25" t="s">
        <v>118</v>
      </c>
      <c r="E81" s="25" t="s">
        <v>119</v>
      </c>
      <c r="F81" s="36" t="s">
        <v>120</v>
      </c>
      <c r="G81" s="21" t="str">
        <f>IFERROR(__xludf.DUMMYFUNCTION("GOOGLETRANSLATE(C81, ""en"", ""or"")"),"ମାଟିର ପ୍ରକାର")</f>
        <v>ମାଟିର ପ୍ରକାର</v>
      </c>
      <c r="H81" s="24"/>
      <c r="I81" s="24"/>
      <c r="J81" s="24"/>
      <c r="K81" s="24"/>
      <c r="L81" s="24"/>
      <c r="M81" s="24"/>
      <c r="N81" s="24"/>
      <c r="O81" s="24"/>
      <c r="P81" s="37" t="s">
        <v>34</v>
      </c>
      <c r="Q81" s="24" t="s">
        <v>283</v>
      </c>
      <c r="R81" s="26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</row>
    <row r="82" ht="12.75" customHeight="1">
      <c r="A82" s="23" t="s">
        <v>122</v>
      </c>
      <c r="B82" s="23" t="s">
        <v>284</v>
      </c>
      <c r="C82" s="24" t="s">
        <v>124</v>
      </c>
      <c r="D82" s="25" t="s">
        <v>125</v>
      </c>
      <c r="E82" s="25" t="s">
        <v>126</v>
      </c>
      <c r="F82" s="36" t="s">
        <v>127</v>
      </c>
      <c r="G82" s="21" t="str">
        <f>IFERROR(__xludf.DUMMYFUNCTION("GOOGLETRANSLATE(C82, ""en"", ""or"")"),"ସିଲ୍ଟର ପରିମାଣ")</f>
        <v>ସିଲ୍ଟର ପରିମାଣ</v>
      </c>
      <c r="H82" s="24"/>
      <c r="I82" s="24"/>
      <c r="J82" s="24"/>
      <c r="K82" s="24"/>
      <c r="L82" s="24"/>
      <c r="M82" s="24"/>
      <c r="N82" s="24"/>
      <c r="O82" s="24"/>
      <c r="P82" s="37" t="s">
        <v>34</v>
      </c>
      <c r="Q82" s="24" t="s">
        <v>283</v>
      </c>
      <c r="R82" s="26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</row>
    <row r="83" ht="15.0" customHeight="1">
      <c r="A83" s="34" t="s">
        <v>285</v>
      </c>
      <c r="B83" s="34" t="s">
        <v>286</v>
      </c>
      <c r="C83" s="35" t="s">
        <v>287</v>
      </c>
      <c r="D83" s="25" t="s">
        <v>288</v>
      </c>
      <c r="E83" s="25" t="str">
        <f>IFERROR(__xludf.DUMMYFUNCTION("GOOGLETRANSLATE(D83,""hi"", ""gu"")"),"ખેતરનું સમારકામ")</f>
        <v>ખેતરનું સમારકામ</v>
      </c>
      <c r="F83" s="36" t="s">
        <v>289</v>
      </c>
      <c r="G83" s="21" t="str">
        <f>IFERROR(__xludf.DUMMYFUNCTION("GOOGLETRANSLATE(C83, ""en"", ""or"")"),"ଫାର୍ମ ବନ୍ଧର ମରାମତି")</f>
        <v>ଫାର୍ମ ବନ୍ଧର ମରାମତି</v>
      </c>
      <c r="H83" s="24"/>
      <c r="I83" s="24"/>
      <c r="J83" s="24"/>
      <c r="K83" s="24"/>
      <c r="L83" s="24"/>
      <c r="M83" s="24"/>
      <c r="N83" s="24"/>
      <c r="O83" s="35" t="s">
        <v>113</v>
      </c>
      <c r="P83" s="24" t="s">
        <v>34</v>
      </c>
      <c r="Q83" s="35" t="s">
        <v>290</v>
      </c>
      <c r="R83" s="26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</row>
    <row r="84" ht="15.0" customHeight="1">
      <c r="A84" s="34" t="s">
        <v>291</v>
      </c>
      <c r="B84" s="34" t="s">
        <v>292</v>
      </c>
      <c r="C84" s="35" t="s">
        <v>293</v>
      </c>
      <c r="D84" s="25" t="s">
        <v>294</v>
      </c>
      <c r="E84" s="25" t="str">
        <f>IFERROR(__xludf.DUMMYFUNCTION("GOOGLETRANSLATE(D84,""hi"", ""gu"")"),"મોડેલ સ્ટ્રક્ચર્સનું 5% સમારકામ")</f>
        <v>મોડેલ સ્ટ્રક્ચર્સનું 5% સમારકામ</v>
      </c>
      <c r="F84" s="36" t="s">
        <v>295</v>
      </c>
      <c r="G84" s="21" t="str">
        <f>IFERROR(__xludf.DUMMYFUNCTION("GOOGLETRANSLATE(C84, ""en"", ""or"")"),"୫% ମଡେଲ ଗଠନର ମରାମତି")</f>
        <v>୫% ମଡେଲ ଗଠନର ମରାମତି</v>
      </c>
      <c r="H84" s="24"/>
      <c r="I84" s="24"/>
      <c r="J84" s="24"/>
      <c r="K84" s="24"/>
      <c r="L84" s="24"/>
      <c r="M84" s="24"/>
      <c r="N84" s="24"/>
      <c r="O84" s="35" t="s">
        <v>113</v>
      </c>
      <c r="P84" s="24" t="s">
        <v>34</v>
      </c>
      <c r="Q84" s="35" t="s">
        <v>296</v>
      </c>
      <c r="R84" s="26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</row>
    <row r="85" ht="12.75" customHeight="1">
      <c r="A85" s="23" t="s">
        <v>115</v>
      </c>
      <c r="B85" s="23" t="s">
        <v>297</v>
      </c>
      <c r="C85" s="24" t="s">
        <v>117</v>
      </c>
      <c r="D85" s="25" t="s">
        <v>118</v>
      </c>
      <c r="E85" s="25" t="s">
        <v>119</v>
      </c>
      <c r="F85" s="36" t="s">
        <v>120</v>
      </c>
      <c r="G85" s="21" t="str">
        <f>IFERROR(__xludf.DUMMYFUNCTION("GOOGLETRANSLATE(C85, ""en"", ""or"")"),"ମାଟିର ପ୍ରକାର")</f>
        <v>ମାଟିର ପ୍ରକାର</v>
      </c>
      <c r="H85" s="24"/>
      <c r="I85" s="24"/>
      <c r="J85" s="24"/>
      <c r="K85" s="24"/>
      <c r="L85" s="24"/>
      <c r="M85" s="24"/>
      <c r="N85" s="24"/>
      <c r="O85" s="24"/>
      <c r="P85" s="37" t="s">
        <v>34</v>
      </c>
      <c r="Q85" s="24" t="s">
        <v>298</v>
      </c>
      <c r="R85" s="26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</row>
    <row r="86" ht="12.75" customHeight="1">
      <c r="A86" s="23" t="s">
        <v>122</v>
      </c>
      <c r="B86" s="23" t="s">
        <v>299</v>
      </c>
      <c r="C86" s="24" t="s">
        <v>124</v>
      </c>
      <c r="D86" s="25" t="s">
        <v>125</v>
      </c>
      <c r="E86" s="25" t="s">
        <v>126</v>
      </c>
      <c r="F86" s="36" t="s">
        <v>127</v>
      </c>
      <c r="G86" s="21" t="str">
        <f>IFERROR(__xludf.DUMMYFUNCTION("GOOGLETRANSLATE(C86, ""en"", ""or"")"),"ସିଲ୍ଟର ପରିମାଣ")</f>
        <v>ସିଲ୍ଟର ପରିମାଣ</v>
      </c>
      <c r="H86" s="24"/>
      <c r="I86" s="24"/>
      <c r="J86" s="24"/>
      <c r="K86" s="24"/>
      <c r="L86" s="24"/>
      <c r="M86" s="24"/>
      <c r="N86" s="24"/>
      <c r="O86" s="24"/>
      <c r="P86" s="37" t="s">
        <v>34</v>
      </c>
      <c r="Q86" s="24" t="s">
        <v>298</v>
      </c>
      <c r="R86" s="26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</row>
    <row r="87" ht="15.0" customHeight="1">
      <c r="A87" s="34" t="s">
        <v>300</v>
      </c>
      <c r="B87" s="34" t="s">
        <v>301</v>
      </c>
      <c r="C87" s="35" t="s">
        <v>302</v>
      </c>
      <c r="D87" s="25" t="s">
        <v>303</v>
      </c>
      <c r="E87" s="25" t="str">
        <f>IFERROR(__xludf.DUMMYFUNCTION("GOOGLETRANSLATE(D87,""hi"", ""gu"")"),"૩૦-૪૦ મોડેલ સ્ટ્રક્ચર્સનું સમારકામ")</f>
        <v>૩૦-૪૦ મોડેલ સ્ટ્રક્ચર્સનું સમારકામ</v>
      </c>
      <c r="F87" s="36" t="s">
        <v>304</v>
      </c>
      <c r="G87" s="21" t="str">
        <f>IFERROR(__xludf.DUMMYFUNCTION("GOOGLETRANSLATE(C87, ""en"", ""or"")"),"30-40 ମଡେଲ ଗଠନର ମରାମତି")</f>
        <v>30-40 ମଡେଲ ଗଠନର ମରାମତି</v>
      </c>
      <c r="H87" s="24"/>
      <c r="I87" s="24"/>
      <c r="J87" s="24"/>
      <c r="K87" s="24"/>
      <c r="L87" s="24"/>
      <c r="M87" s="24"/>
      <c r="N87" s="24"/>
      <c r="O87" s="35" t="s">
        <v>113</v>
      </c>
      <c r="P87" s="24" t="s">
        <v>34</v>
      </c>
      <c r="Q87" s="35" t="s">
        <v>305</v>
      </c>
      <c r="R87" s="26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</row>
    <row r="88" ht="12.75" customHeight="1">
      <c r="A88" s="23" t="s">
        <v>115</v>
      </c>
      <c r="B88" s="23" t="s">
        <v>306</v>
      </c>
      <c r="C88" s="24" t="s">
        <v>117</v>
      </c>
      <c r="D88" s="25" t="s">
        <v>118</v>
      </c>
      <c r="E88" s="25" t="s">
        <v>119</v>
      </c>
      <c r="F88" s="36" t="s">
        <v>120</v>
      </c>
      <c r="G88" s="21" t="str">
        <f>IFERROR(__xludf.DUMMYFUNCTION("GOOGLETRANSLATE(C88, ""en"", ""or"")"),"ମାଟିର ପ୍ରକାର")</f>
        <v>ମାଟିର ପ୍ରକାର</v>
      </c>
      <c r="H88" s="24"/>
      <c r="I88" s="24"/>
      <c r="J88" s="24"/>
      <c r="K88" s="24"/>
      <c r="L88" s="24"/>
      <c r="M88" s="24"/>
      <c r="N88" s="24"/>
      <c r="O88" s="24"/>
      <c r="P88" s="37" t="s">
        <v>34</v>
      </c>
      <c r="Q88" s="24" t="s">
        <v>307</v>
      </c>
      <c r="R88" s="26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</row>
    <row r="89" ht="12.75" customHeight="1">
      <c r="A89" s="23" t="s">
        <v>122</v>
      </c>
      <c r="B89" s="23" t="s">
        <v>308</v>
      </c>
      <c r="C89" s="24" t="s">
        <v>124</v>
      </c>
      <c r="D89" s="25" t="s">
        <v>125</v>
      </c>
      <c r="E89" s="25" t="s">
        <v>126</v>
      </c>
      <c r="F89" s="36" t="s">
        <v>127</v>
      </c>
      <c r="G89" s="21" t="str">
        <f>IFERROR(__xludf.DUMMYFUNCTION("GOOGLETRANSLATE(C89, ""en"", ""or"")"),"ସିଲ୍ଟର ପରିମାଣ")</f>
        <v>ସିଲ୍ଟର ପରିମାଣ</v>
      </c>
      <c r="H89" s="24"/>
      <c r="I89" s="24"/>
      <c r="J89" s="24"/>
      <c r="K89" s="24"/>
      <c r="L89" s="24"/>
      <c r="M89" s="24"/>
      <c r="N89" s="24"/>
      <c r="O89" s="24"/>
      <c r="P89" s="37" t="s">
        <v>34</v>
      </c>
      <c r="Q89" s="24" t="s">
        <v>307</v>
      </c>
      <c r="R89" s="26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</row>
    <row r="90" ht="12.75" customHeight="1">
      <c r="A90" s="18"/>
      <c r="B90" s="18"/>
      <c r="C90" s="15"/>
      <c r="D90" s="12"/>
      <c r="E90" s="13"/>
      <c r="F90" s="14"/>
      <c r="G90" s="21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6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ht="12.75" customHeight="1">
      <c r="A91" s="18" t="s">
        <v>28</v>
      </c>
      <c r="B91" s="18" t="s">
        <v>309</v>
      </c>
      <c r="C91" s="15" t="s">
        <v>310</v>
      </c>
      <c r="D91" s="13" t="s">
        <v>311</v>
      </c>
      <c r="E91" s="13" t="str">
        <f>IFERROR(__xludf.DUMMYFUNCTION("GOOGLETRANSLATE(D91,""hi"", ""gu"")"),"આ માળખાનું છેલ્લે સમારકામ ક્યારે કરવામાં આવ્યું હતું? (વર્ષ જણાવો)")</f>
        <v>આ માળખાનું છેલ્લે સમારકામ ક્યારે કરવામાં આવ્યું હતું? (વર્ષ જણાવો)</v>
      </c>
      <c r="F91" s="20" t="s">
        <v>312</v>
      </c>
      <c r="G91" s="21" t="str">
        <f>IFERROR(__xludf.DUMMYFUNCTION("GOOGLETRANSLATE(C91, ""en"", ""or"")"),"ଏହି ଗଠନର ଶେଷ ରକ୍ଷଣାବେକ୍ଷଣ କେବେ କରାଯାଇଥିଲା?")</f>
        <v>ଏହି ଗଠନର ଶେଷ ରକ୍ଷଣାବେକ୍ଷଣ କେବେ କରାଯାଇଥିଲା?</v>
      </c>
      <c r="H91" s="15" t="s">
        <v>313</v>
      </c>
      <c r="I91" s="15" t="str">
        <f>IFERROR(__xludf.DUMMYFUNCTION("GOOGLETRANSLATE(H91, ""en"", ""hi"")"),"वर्ष निर्दिष्ट करें")</f>
        <v>वर्ष निर्दिष्ट करें</v>
      </c>
      <c r="J91" s="15" t="str">
        <f>IFERROR(__xludf.DUMMYFUNCTION("GOOGLETRANSLATE(I91, ""en"", ""gu"")"),"વર્ષ કરો")</f>
        <v>વર્ષ કરો</v>
      </c>
      <c r="K91" s="15" t="str">
        <f>IFERROR(__xludf.DUMMYFUNCTION("GOOGLETRANSLATE(J91, ""en"", ""kn"")"),"ವರ್ಷ ಕರೋ")</f>
        <v>ವರ್ಷ ಕರೋ</v>
      </c>
      <c r="L91" s="38" t="s">
        <v>314</v>
      </c>
      <c r="M91" s="15"/>
      <c r="N91" s="15"/>
      <c r="O91" s="15"/>
      <c r="P91" s="15"/>
      <c r="Q91" s="15"/>
      <c r="R91" s="39" t="s">
        <v>315</v>
      </c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</row>
    <row r="92" ht="12.75" customHeight="1">
      <c r="A92" s="18" t="s">
        <v>316</v>
      </c>
      <c r="B92" s="18" t="s">
        <v>317</v>
      </c>
      <c r="C92" s="15" t="s">
        <v>318</v>
      </c>
      <c r="D92" s="12" t="str">
        <f>IFERROR(__xludf.DUMMYFUNCTION("GOOGLETRANSLATE(C92, ""en"", ""hi"")"),"क्या यह जल संरचना कॉमन्स कनेक्ट पर स्वतः ही दिखाई दे रही थी?")</f>
        <v>क्या यह जल संरचना कॉमन्स कनेक्ट पर स्वतः ही दिखाई दे रही थी?</v>
      </c>
      <c r="E92" s="13" t="str">
        <f>IFERROR(__xludf.DUMMYFUNCTION("GOOGLETRANSLATE(D92,""hi"", ""gu"")"),"શું આ પાણીની રચના કોમન્સ કનેક્ટ પર આપમેળે દેખાઈ?")</f>
        <v>શું આ પાણીની રચના કોમન્સ કનેક્ટ પર આપમેળે દેખાઈ?</v>
      </c>
      <c r="F92" s="20" t="s">
        <v>319</v>
      </c>
      <c r="G92" s="21" t="str">
        <f>IFERROR(__xludf.DUMMYFUNCTION("GOOGLETRANSLATE(C92, ""en"", ""or"")"),"ଏହି ଜଳ ଗଠନ କ’ଣ କମନ୍ସ କନେକ୍ଟରେ ସ୍ୱୟଂଚାଳିତ ଭାବରେ ଦୃଶ୍ୟମାନ ହେଉଥିଲା?")</f>
        <v>ଏହି ଜଳ ଗଠନ କ’ଣ କମନ୍ସ କନେକ୍ଟରେ ସ୍ୱୟଂଚାଳିତ ଭାବରେ ଦୃଶ୍ୟମାନ ହେଉଥିଲା?</v>
      </c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6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</row>
    <row r="93" ht="12.75" customHeight="1">
      <c r="A93" s="40" t="s">
        <v>71</v>
      </c>
      <c r="B93" s="40" t="s">
        <v>320</v>
      </c>
      <c r="C93" s="41" t="s">
        <v>321</v>
      </c>
      <c r="D93" s="42" t="s">
        <v>322</v>
      </c>
      <c r="E93" s="42" t="str">
        <f>IFERROR(__xludf.DUMMYFUNCTION("GOOGLETRANSLATE(D93,""hi"", ""gu"")"),"પાણીનો સ્ત્રોત કેટલો જૂનો છે? (વર્ષોમાં)")</f>
        <v>પાણીનો સ્ત્રોત કેટલો જૂનો છે? (વર્ષોમાં)</v>
      </c>
      <c r="F93" s="43" t="s">
        <v>323</v>
      </c>
      <c r="G93" s="21" t="str">
        <f>IFERROR(__xludf.DUMMYFUNCTION("GOOGLETRANSLATE(C93, ""en"", ""or"")"),"ଜଳ ଗଠନର ବୟସ କେତେ?")</f>
        <v>ଜଳ ଗଠନର ବୟସ କେତେ?</v>
      </c>
      <c r="H93" s="44" t="s">
        <v>324</v>
      </c>
      <c r="I93" s="44" t="str">
        <f>IFERROR(__xludf.DUMMYFUNCTION("GOOGLETRANSLATE(H93, ""en"", ""hi"")"),"महीने में")</f>
        <v>महीने में</v>
      </c>
      <c r="J93" s="44" t="str">
        <f>IFERROR(__xludf.DUMMYFUNCTION("GOOGLETRANSLATE(I93, ""en"", ""gu"")"),"મહિને")</f>
        <v>મહિને</v>
      </c>
      <c r="K93" s="44" t="str">
        <f>IFERROR(__xludf.DUMMYFUNCTION("GOOGLETRANSLATE(J93, ""en"", ""kn"")"),"ತಿಂಗಳು")</f>
        <v>ತಿಂಗಳು</v>
      </c>
      <c r="L93" s="44"/>
      <c r="M93" s="44"/>
      <c r="N93" s="44"/>
      <c r="O93" s="44"/>
      <c r="P93" s="44"/>
      <c r="Q93" s="44" t="s">
        <v>325</v>
      </c>
      <c r="R93" s="45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</row>
    <row r="94" ht="12.75" customHeight="1">
      <c r="A94" s="34" t="s">
        <v>326</v>
      </c>
      <c r="B94" s="34" t="s">
        <v>327</v>
      </c>
      <c r="C94" s="35" t="s">
        <v>321</v>
      </c>
      <c r="D94" s="46" t="s">
        <v>328</v>
      </c>
      <c r="E94" s="25" t="str">
        <f>IFERROR(__xludf.DUMMYFUNCTION("GOOGLETRANSLATE(D94,""hi"", ""gu"")"),"પાણીનો સ્ત્રોત કેટલો જૂનો છે?")</f>
        <v>પાણીનો સ્ત્રોત કેટલો જૂનો છે?</v>
      </c>
      <c r="F94" s="20" t="s">
        <v>323</v>
      </c>
      <c r="G94" s="21" t="str">
        <f>IFERROR(__xludf.DUMMYFUNCTION("GOOGLETRANSLATE(C94, ""en"", ""or"")"),"ଜଳ ଗଠନର ବୟସ କେତେ?")</f>
        <v>ଜଳ ଗଠନର ବୟସ କେତେ?</v>
      </c>
      <c r="H94" s="24"/>
      <c r="I94" s="15"/>
      <c r="J94" s="15"/>
      <c r="K94" s="15"/>
      <c r="L94" s="24"/>
      <c r="M94" s="24"/>
      <c r="N94" s="24"/>
      <c r="O94" s="24"/>
      <c r="P94" s="24"/>
      <c r="Q94" s="24"/>
      <c r="R94" s="26" t="s">
        <v>329</v>
      </c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</row>
    <row r="95" ht="13.5" customHeight="1">
      <c r="A95" s="22" t="s">
        <v>330</v>
      </c>
      <c r="B95" s="22" t="s">
        <v>331</v>
      </c>
      <c r="C95" s="13" t="s">
        <v>332</v>
      </c>
      <c r="D95" s="13" t="s">
        <v>333</v>
      </c>
      <c r="E95" s="13" t="str">
        <f>IFERROR(__xludf.DUMMYFUNCTION("GOOGLETRANSLATE(D95,""hi"", ""gu"")"),"વિસ્તારનો ફોટો")</f>
        <v>વિસ્તારનો ફોટો</v>
      </c>
      <c r="F95" s="20" t="s">
        <v>334</v>
      </c>
      <c r="G95" s="21" t="str">
        <f>IFERROR(__xludf.DUMMYFUNCTION("GOOGLETRANSLATE(C95, ""en"", ""or"")"),"ଅଞ୍ଚଳର ଫଟୋ")</f>
        <v>ଅଞ୍ଚଳର ଫଟୋ</v>
      </c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 t="s">
        <v>335</v>
      </c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</row>
    <row r="96" ht="12.75" customHeight="1">
      <c r="A96" s="47" t="s">
        <v>336</v>
      </c>
      <c r="B96" s="47" t="s">
        <v>337</v>
      </c>
      <c r="C96" s="48" t="s">
        <v>338</v>
      </c>
      <c r="D96" s="48" t="s">
        <v>339</v>
      </c>
      <c r="E96" s="48" t="str">
        <f>IFERROR(__xludf.DUMMYFUNCTION("GOOGLETRANSLATE(D96,""hi"", ""gu"")"),"આ સ્થાન પર રિચાર્જ સ્ટ્રક્ચરને શા માટે કાળજીની જરૂર છે તે સમજાવતો સંદેશ રેકોર્ડ કરો.")</f>
        <v>આ સ્થાન પર રિચાર્જ સ્ટ્રક્ચરને શા માટે કાળજીની જરૂર છે તે સમજાવતો સંદેશ રેકોર્ડ કરો.</v>
      </c>
      <c r="F96" s="49" t="s">
        <v>340</v>
      </c>
      <c r="G96" s="21" t="str">
        <f>IFERROR(__xludf.DUMMYFUNCTION("GOOGLETRANSLATE(C96, ""en"", ""or"")"),"ଏହି ସ୍ଥାନରେ ରକ୍ଷଣାବେକ୍ଷଣ ରିଚାର୍ଜ ଗଠନର ଆବଶ୍ୟକତାକୁ ଯଥାର୍ଥ କରି ଏକ ବାର୍ତ୍ତା ରେକର୍ଡ କରନ୍ତୁ।")</f>
        <v>ଏହି ସ୍ଥାନରେ ରକ୍ଷଣାବେକ୍ଷଣ ରିଚାର୍ଜ ଗଠନର ଆବଶ୍ୟକତାକୁ ଯଥାର୍ଥ କରି ଏକ ବାର୍ତ୍ତା ରେକର୍ଡ କରନ୍ତୁ।</v>
      </c>
      <c r="H96" s="50"/>
      <c r="I96" s="50"/>
      <c r="J96" s="50"/>
      <c r="K96" s="50"/>
      <c r="L96" s="50"/>
      <c r="M96" s="50"/>
      <c r="N96" s="50"/>
      <c r="O96" s="50"/>
      <c r="P96" s="50"/>
      <c r="Q96" s="50" t="s">
        <v>325</v>
      </c>
      <c r="R96" s="51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</row>
    <row r="97" ht="12.75" customHeight="1">
      <c r="A97" s="52" t="s">
        <v>28</v>
      </c>
      <c r="B97" s="52" t="s">
        <v>341</v>
      </c>
      <c r="C97" s="53" t="s">
        <v>342</v>
      </c>
      <c r="D97" s="53" t="s">
        <v>343</v>
      </c>
      <c r="E97" s="42" t="str">
        <f>IFERROR(__xludf.DUMMYFUNCTION("GOOGLETRANSLATE(D97,""hi"", ""gu"")"),"જો તમે રેકોર્ડ કરી શકતા નથી, તો આ સ્થાન પર રિચાર્જ સ્ટ્રક્ચર જાળવવાની જરૂરિયાતનું કારણ લખો.")</f>
        <v>જો તમે રેકોર્ડ કરી શકતા નથી, તો આ સ્થાન પર રિચાર્જ સ્ટ્રક્ચર જાળવવાની જરૂરિયાતનું કારણ લખો.</v>
      </c>
      <c r="F97" s="43" t="str">
        <f>IFERROR(__xludf.DUMMYFUNCTION("GOOGLETRANSLATE(E97, ""en"", ""kn"")"),"ಜೋ ನಿಮ್ಮ ರೆಕಾರ್ಡ್ ಕರಿ ಶಕತಾ ನತಿ, ತೋ ಆ ಸ್ಥಾವರ ರಿಚಾರ್ಜ್ ಸ್ಟ್ರಕ್ಚರ್ ಜಾಲವಾಣಿ ಜರೂರಿಯಂತನ್ ಲಖೋ.")</f>
        <v>ಜೋ ನಿಮ್ಮ ರೆಕಾರ್ಡ್ ಕರಿ ಶಕತಾ ನತಿ, ತೋ ಆ ಸ್ಥಾವರ ರಿಚಾರ್ಜ್ ಸ್ಟ್ರಕ್ಚರ್ ಜಾಲವಾಣಿ ಜರೂರಿಯಂತನ್ ಲಖೋ.</v>
      </c>
      <c r="G97" s="21" t="str">
        <f>IFERROR(__xludf.DUMMYFUNCTION("GOOGLETRANSLATE(C97, ""en"", ""or"")"),"ଯଦି ଆପଣ ରେକର୍ଡ କରିପାରିବେ ନାହିଁ, ତେବେ ଏହି ସ୍ଥାନରେ ରିଚାର୍ଜ ଷ୍ଟ୍ରକଚରର ରକ୍ଷଣାବେକ୍ଷଣର ଆବଶ୍ୟକତାର ଯଥାର୍ଥତା ଲେଖନ୍ତୁ।")</f>
        <v>ଯଦି ଆପଣ ରେକର୍ଡ କରିପାରିବେ ନାହିଁ, ତେବେ ଏହି ସ୍ଥାନରେ ରିଚାର୍ଜ ଷ୍ଟ୍ରକଚରର ରକ୍ଷଣାବେକ୍ଷଣର ଆବଶ୍ୟକତାର ଯଥାର୍ଥତା ଲେଖନ୍ତୁ।</v>
      </c>
      <c r="H97" s="54"/>
      <c r="I97" s="54"/>
      <c r="J97" s="54"/>
      <c r="K97" s="54"/>
      <c r="L97" s="54"/>
      <c r="M97" s="54"/>
      <c r="N97" s="55"/>
      <c r="O97" s="54"/>
      <c r="P97" s="54"/>
      <c r="Q97" s="54" t="s">
        <v>325</v>
      </c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</row>
    <row r="98" ht="12.75" customHeight="1">
      <c r="A98" s="18"/>
      <c r="B98" s="18"/>
      <c r="C98" s="15"/>
      <c r="D98" s="12"/>
      <c r="E98" s="13"/>
      <c r="F98" s="14"/>
      <c r="G98" s="21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6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</row>
    <row r="99" ht="12.75" customHeight="1">
      <c r="A99" s="56"/>
      <c r="B99" s="56"/>
      <c r="C99" s="57"/>
      <c r="D99" s="58"/>
      <c r="E99" s="13"/>
      <c r="F99" s="14"/>
      <c r="G99" s="21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9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</row>
    <row r="100" ht="12.75" customHeight="1">
      <c r="A100" s="18"/>
      <c r="B100" s="18"/>
      <c r="C100" s="15"/>
      <c r="D100" s="12"/>
      <c r="E100" s="13"/>
      <c r="F100" s="14"/>
      <c r="G100" s="21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6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</row>
    <row r="101" ht="12.75" customHeight="1">
      <c r="A101" s="60" t="s">
        <v>344</v>
      </c>
      <c r="B101" s="61" t="s">
        <v>345</v>
      </c>
      <c r="C101" s="62" t="s">
        <v>346</v>
      </c>
      <c r="D101" s="63" t="s">
        <v>347</v>
      </c>
      <c r="E101" s="63" t="str">
        <f>IFERROR(__xludf.DUMMYFUNCTION("GOOGLETRANSLATE(D101,""hi"", ""gu"")"),"&lt;span style=""color:red""&gt;આનાથી આગળ કંઈપણ બદલશો નહીં અને તમારો ફોર્મ ડેટા સબમિટ કરો&lt;/span&gt;")</f>
        <v>&lt;span style="color:red"&gt;આનાથી આગળ કંઈપણ બદલશો નહીં અને તમારો ફોર્મ ડેટા સબમિટ કરો&lt;/span&gt;</v>
      </c>
      <c r="F101" s="20" t="s">
        <v>348</v>
      </c>
      <c r="G101" s="21" t="str">
        <f>IFERROR(__xludf.DUMMYFUNCTION("GOOGLETRANSLATE(C101, ""en"", ""or"")"),"&lt;span style=""font-size: large; font-weight: bold; color:red;""&gt; ଏହି ବିନ୍ଦୁ ବ୍ୟତୀତ ଅନ୍ୟ କିଛି ପରିବର୍ତ୍ତନ କରନ୍ତୁ ନାହିଁ ଏବଂ ଆପଣଙ୍କର ଫର୍ମ ଡାଟା ଦାଖଲ କରନ୍ତୁ&lt;/span&gt;")</f>
        <v>&lt;span style="font-size: large; font-weight: bold; color:red;"&gt; ଏହି ବିନ୍ଦୁ ବ୍ୟତୀତ ଅନ୍ୟ କିଛି ପରିବର୍ତ୍ତନ କରନ୍ତୁ ନାହିଁ ଏବଂ ଆପଣଙ୍କର ଫର୍ମ ଡାଟା ଦାଖଲ କରନ୍ତୁ&lt;/span&gt;</v>
      </c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63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</row>
    <row r="102" ht="12.75" customHeight="1">
      <c r="A102" s="19" t="s">
        <v>349</v>
      </c>
      <c r="B102" s="19" t="s">
        <v>350</v>
      </c>
      <c r="C102" s="63" t="s">
        <v>351</v>
      </c>
      <c r="D102" s="64" t="s">
        <v>352</v>
      </c>
      <c r="E102" s="63" t="str">
        <f>IFERROR(__xludf.DUMMYFUNCTION("GOOGLETRANSLATE(D102,""hi"", ""gu"")"),"અક્ષાંશ રેખાંશ")</f>
        <v>અક્ષાંશ રેખાંશ</v>
      </c>
      <c r="F102" s="20" t="s">
        <v>353</v>
      </c>
      <c r="G102" s="21" t="str">
        <f>IFERROR(__xludf.DUMMYFUNCTION("GOOGLETRANSLATE(C102, ""en"", ""or"")"),"ଅକ୍ଷାଂଶ/ଲୋନ")</f>
        <v>ଅକ୍ଷାଂଶ/ଲୋନ</v>
      </c>
      <c r="H102" s="15"/>
      <c r="I102" s="15"/>
      <c r="J102" s="15"/>
      <c r="K102" s="15"/>
      <c r="L102" s="15"/>
      <c r="M102" s="15"/>
      <c r="N102" s="15"/>
      <c r="O102" s="65" t="s">
        <v>354</v>
      </c>
      <c r="P102" s="15"/>
      <c r="Q102" s="15"/>
      <c r="R102" s="16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</row>
    <row r="103" ht="12.75" customHeight="1">
      <c r="A103" s="66" t="s">
        <v>344</v>
      </c>
      <c r="B103" s="61" t="s">
        <v>355</v>
      </c>
      <c r="C103" s="63" t="s">
        <v>356</v>
      </c>
      <c r="D103" s="67" t="s">
        <v>357</v>
      </c>
      <c r="E103" s="13" t="str">
        <f>IFERROR(__xludf.DUMMYFUNCTION("GOOGLETRANSLATE(D103,""hi"", ""gu"")"),"&lt;span style=""color:red""&gt;કૃપા કરીને નીચેના નકશામાં ભટકશો નહીં&lt;/span&gt;")</f>
        <v>&lt;span style="color:red"&gt;કૃપા કરીને નીચેના નકશામાં ભટકશો નહીં&lt;/span&gt;</v>
      </c>
      <c r="F103" s="20" t="s">
        <v>358</v>
      </c>
      <c r="G103" s="21" t="str">
        <f>IFERROR(__xludf.DUMMYFUNCTION("GOOGLETRANSLATE(C103, ""en"", ""or"")"),"&lt;span style=""color:red""&gt;ଦୟାକରି ତଳେ ଥିବା ମାନଚିତ୍ରରେ ଏଣେତେଣେ ବୁଲି ଦେଖନ୍ତୁ ନାହିଁ&lt;/span&gt;")</f>
        <v>&lt;span style="color:red"&gt;ଦୟାକରି ତଳେ ଥିବା ମାନଚିତ୍ରରେ ଏଣେତେଣେ ବୁଲି ଦେଖନ୍ତୁ ନାହିଁ&lt;/span&gt;</v>
      </c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63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</row>
    <row r="104" ht="12.75" customHeight="1">
      <c r="A104" s="19" t="s">
        <v>359</v>
      </c>
      <c r="B104" s="19" t="s">
        <v>360</v>
      </c>
      <c r="C104" s="63"/>
      <c r="D104" s="64"/>
      <c r="E104" s="13"/>
      <c r="F104" s="14"/>
      <c r="G104" s="21"/>
      <c r="H104" s="63" t="s">
        <v>359</v>
      </c>
      <c r="I104" s="63" t="s">
        <v>361</v>
      </c>
      <c r="J104" s="63" t="str">
        <f>IFERROR(__xludf.DUMMYFUNCTION("GOOGLETRANSLATE(H104, ""en"", ""gu"")"),"જીઓપોઇન્ટ")</f>
        <v>જીઓપોઇન્ટ</v>
      </c>
      <c r="K104" s="63" t="str">
        <f>IFERROR(__xludf.DUMMYFUNCTION("GOOGLETRANSLATE(H104, ""en"", ""kn"")"),"ಜಿಯೋಪಾಯಿಂಟ್")</f>
        <v>ಜಿಯೋಪಾಯಿಂಟ್</v>
      </c>
      <c r="L104" s="15"/>
      <c r="M104" s="15"/>
      <c r="N104" s="15"/>
      <c r="O104" s="12" t="s">
        <v>362</v>
      </c>
      <c r="P104" s="15"/>
      <c r="Q104" s="15"/>
      <c r="R104" s="16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ht="12.75" customHeight="1">
      <c r="A105" s="19" t="s">
        <v>363</v>
      </c>
      <c r="B105" s="18"/>
      <c r="C105" s="15"/>
      <c r="D105" s="12"/>
      <c r="E105" s="13"/>
      <c r="F105" s="14"/>
      <c r="G105" s="21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6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</row>
    <row r="106" ht="12.75" customHeight="1">
      <c r="A106" s="18"/>
      <c r="B106" s="18"/>
      <c r="C106" s="15"/>
      <c r="D106" s="12"/>
      <c r="E106" s="13"/>
      <c r="F106" s="14"/>
      <c r="G106" s="21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6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</row>
    <row r="107" ht="15.0" customHeight="1">
      <c r="A107" s="19" t="s">
        <v>28</v>
      </c>
      <c r="B107" s="19" t="s">
        <v>364</v>
      </c>
      <c r="C107" s="12" t="s">
        <v>365</v>
      </c>
      <c r="D107" s="13" t="s">
        <v>366</v>
      </c>
      <c r="E107" s="13" t="str">
        <f>IFERROR(__xludf.DUMMYFUNCTION("GOOGLETRANSLATE(D107,""hi"", ""gu"")"),"સંબંધિત જોબ ID")</f>
        <v>સંબંધિત જોબ ID</v>
      </c>
      <c r="F107" s="20" t="s">
        <v>367</v>
      </c>
      <c r="G107" s="21" t="str">
        <f>IFERROR(__xludf.DUMMYFUNCTION("GOOGLETRANSLATE(C107, ""en"", ""or"")"),"ସମ୍ବନ୍ଧିତ କାର୍ଯ୍ୟ ID")</f>
        <v>ସମ୍ବନ୍ଧିତ କାର୍ଯ୍ୟ ID</v>
      </c>
      <c r="H107" s="15"/>
      <c r="I107" s="15"/>
      <c r="J107" s="15"/>
      <c r="K107" s="15"/>
      <c r="L107" s="15"/>
      <c r="M107" s="15"/>
      <c r="N107" s="15"/>
      <c r="O107" s="15"/>
      <c r="P107" s="15"/>
      <c r="Q107" s="12"/>
      <c r="R107" s="16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</row>
    <row r="108" ht="12.75" customHeight="1">
      <c r="A108" s="19" t="s">
        <v>28</v>
      </c>
      <c r="B108" s="22" t="s">
        <v>368</v>
      </c>
      <c r="C108" s="12" t="s">
        <v>369</v>
      </c>
      <c r="D108" s="13" t="s">
        <v>370</v>
      </c>
      <c r="E108" s="13" t="str">
        <f>IFERROR(__xludf.DUMMYFUNCTION("GOOGLETRANSLATE(D108,""hi"", ""gu"")"),"બ્લોકનું નામ")</f>
        <v>બ્લોકનું નામ</v>
      </c>
      <c r="F108" s="20" t="s">
        <v>371</v>
      </c>
      <c r="G108" s="21" t="str">
        <f>IFERROR(__xludf.DUMMYFUNCTION("GOOGLETRANSLATE(C108, ""en"", ""or"")"),"ବ୍ଲକ୍ ନାମ")</f>
        <v>ବ୍ଲକ୍ ନାମ</v>
      </c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6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</row>
    <row r="109" ht="12.75" customHeight="1">
      <c r="A109" s="22" t="s">
        <v>28</v>
      </c>
      <c r="B109" s="22" t="s">
        <v>372</v>
      </c>
      <c r="C109" s="13" t="s">
        <v>373</v>
      </c>
      <c r="D109" s="13" t="s">
        <v>374</v>
      </c>
      <c r="E109" s="13" t="str">
        <f>IFERROR(__xludf.DUMMYFUNCTION("GOOGLETRANSLATE(D109,""hi"", ""gu"")"),"સ્કીમ આઈડી")</f>
        <v>સ્કીમ આઈડી</v>
      </c>
      <c r="F109" s="20" t="s">
        <v>375</v>
      </c>
      <c r="G109" s="21" t="str">
        <f>IFERROR(__xludf.DUMMYFUNCTION("GOOGLETRANSLATE(C109, ""en"", ""or"")"),"ପ୍ଲାନ୍ ID")</f>
        <v>ପ୍ଲାନ୍ ID</v>
      </c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</row>
    <row r="110" ht="12.75" customHeight="1">
      <c r="A110" s="22" t="s">
        <v>28</v>
      </c>
      <c r="B110" s="22" t="s">
        <v>376</v>
      </c>
      <c r="C110" s="13" t="s">
        <v>377</v>
      </c>
      <c r="D110" s="13" t="s">
        <v>378</v>
      </c>
      <c r="E110" s="13" t="str">
        <f>IFERROR(__xludf.DUMMYFUNCTION("GOOGLETRANSLATE(D110,""hi"", ""gu"")"),"યોજનાનું નામ")</f>
        <v>યોજનાનું નામ</v>
      </c>
      <c r="F110" s="20" t="s">
        <v>379</v>
      </c>
      <c r="G110" s="21" t="str">
        <f>IFERROR(__xludf.DUMMYFUNCTION("GOOGLETRANSLATE(C110, ""en"", ""or"")"),"ଯୋଜନାର ନାମ")</f>
        <v>ଯୋଜନାର ନାମ</v>
      </c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</row>
    <row r="111" ht="12.75" customHeight="1">
      <c r="A111" s="66" t="s">
        <v>28</v>
      </c>
      <c r="B111" s="66" t="s">
        <v>380</v>
      </c>
      <c r="C111" s="63" t="s">
        <v>381</v>
      </c>
      <c r="D111" s="67" t="s">
        <v>382</v>
      </c>
      <c r="E111" s="13" t="str">
        <f>IFERROR(__xludf.DUMMYFUNCTION("GOOGLETRANSLATE(D111,""hi"", ""gu"")"),"વપરાશકર્તાનું વર્તમાન સ્થાન")</f>
        <v>વપરાશકર્તાનું વર્તમાન સ્થાન</v>
      </c>
      <c r="F111" s="20" t="s">
        <v>383</v>
      </c>
      <c r="G111" s="21" t="str">
        <f>IFERROR(__xludf.DUMMYFUNCTION("GOOGLETRANSLATE(C111, ""en"", ""or"")"),"ଉପଯୋଗକର୍ତ୍ତାଙ୍କ ବର୍ତ୍ତମାନର ସ୍ଥାନ")</f>
        <v>ଉପଯୋଗକର୍ତ୍ତାଙ୍କ ବର୍ତ୍ତମାନର ସ୍ଥାନ</v>
      </c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63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</row>
    <row r="112" ht="12.75" customHeight="1">
      <c r="A112" s="52"/>
      <c r="B112" s="52"/>
      <c r="C112" s="53"/>
      <c r="D112" s="68"/>
      <c r="E112" s="42"/>
      <c r="F112" s="43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3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</row>
    <row r="113" ht="12.75" customHeight="1">
      <c r="A113" s="18"/>
      <c r="B113" s="18"/>
      <c r="C113" s="15"/>
      <c r="D113" s="12"/>
      <c r="E113" s="12"/>
      <c r="F113" s="14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6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</row>
    <row r="114" ht="12.75" customHeight="1">
      <c r="A114" s="18"/>
      <c r="B114" s="18"/>
      <c r="C114" s="15"/>
      <c r="D114" s="12"/>
      <c r="E114" s="12"/>
      <c r="F114" s="14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6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</row>
    <row r="115" ht="12.75" customHeight="1">
      <c r="A115" s="18"/>
      <c r="B115" s="18"/>
      <c r="C115" s="15"/>
      <c r="D115" s="12"/>
      <c r="E115" s="12"/>
      <c r="F115" s="14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6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</row>
    <row r="116" ht="12.75" customHeight="1">
      <c r="A116" s="18"/>
      <c r="B116" s="18"/>
      <c r="C116" s="15"/>
      <c r="D116" s="12"/>
      <c r="E116" s="12"/>
      <c r="F116" s="14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6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</row>
    <row r="117" ht="12.75" customHeight="1">
      <c r="A117" s="18"/>
      <c r="B117" s="18"/>
      <c r="C117" s="15"/>
      <c r="D117" s="12"/>
      <c r="E117" s="12"/>
      <c r="F117" s="14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6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</row>
    <row r="118" ht="12.75" customHeight="1">
      <c r="A118" s="18"/>
      <c r="B118" s="18"/>
      <c r="C118" s="15"/>
      <c r="D118" s="12"/>
      <c r="E118" s="12"/>
      <c r="F118" s="14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6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</row>
    <row r="119" ht="12.75" customHeight="1">
      <c r="A119" s="18"/>
      <c r="B119" s="18"/>
      <c r="C119" s="15"/>
      <c r="D119" s="12"/>
      <c r="E119" s="12"/>
      <c r="F119" s="14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6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</row>
    <row r="120" ht="12.75" customHeight="1">
      <c r="A120" s="18"/>
      <c r="B120" s="18"/>
      <c r="C120" s="15"/>
      <c r="D120" s="12"/>
      <c r="E120" s="12"/>
      <c r="F120" s="14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6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</row>
    <row r="121" ht="12.75" customHeight="1">
      <c r="A121" s="18"/>
      <c r="B121" s="18"/>
      <c r="C121" s="15"/>
      <c r="D121" s="12"/>
      <c r="E121" s="12"/>
      <c r="F121" s="14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6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</row>
    <row r="122" ht="12.75" customHeight="1">
      <c r="A122" s="18"/>
      <c r="B122" s="18"/>
      <c r="C122" s="15"/>
      <c r="D122" s="12"/>
      <c r="E122" s="12"/>
      <c r="F122" s="14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6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</row>
    <row r="123" ht="12.75" customHeight="1">
      <c r="A123" s="18"/>
      <c r="B123" s="18"/>
      <c r="C123" s="15"/>
      <c r="D123" s="12"/>
      <c r="E123" s="12"/>
      <c r="F123" s="14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6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</row>
    <row r="124" ht="12.75" customHeight="1">
      <c r="A124" s="18"/>
      <c r="B124" s="18"/>
      <c r="C124" s="15"/>
      <c r="D124" s="12"/>
      <c r="E124" s="12"/>
      <c r="F124" s="14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6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</row>
    <row r="125" ht="12.75" customHeight="1">
      <c r="A125" s="18"/>
      <c r="B125" s="18"/>
      <c r="C125" s="15"/>
      <c r="D125" s="12"/>
      <c r="E125" s="12"/>
      <c r="F125" s="14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6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</row>
    <row r="126" ht="12.75" customHeight="1">
      <c r="A126" s="18"/>
      <c r="B126" s="18"/>
      <c r="C126" s="15"/>
      <c r="D126" s="12"/>
      <c r="E126" s="12"/>
      <c r="F126" s="14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6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</row>
    <row r="127" ht="12.75" customHeight="1">
      <c r="A127" s="18"/>
      <c r="B127" s="18"/>
      <c r="C127" s="15"/>
      <c r="D127" s="12"/>
      <c r="E127" s="12"/>
      <c r="F127" s="14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6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</row>
    <row r="128" ht="12.75" customHeight="1">
      <c r="A128" s="18"/>
      <c r="B128" s="18"/>
      <c r="C128" s="15"/>
      <c r="D128" s="12"/>
      <c r="E128" s="12"/>
      <c r="F128" s="14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6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</row>
    <row r="129" ht="12.75" customHeight="1">
      <c r="A129" s="18"/>
      <c r="B129" s="18"/>
      <c r="C129" s="15"/>
      <c r="D129" s="12"/>
      <c r="E129" s="12"/>
      <c r="F129" s="14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6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</row>
    <row r="130" ht="12.75" customHeight="1">
      <c r="A130" s="18"/>
      <c r="B130" s="18"/>
      <c r="C130" s="15"/>
      <c r="D130" s="12"/>
      <c r="E130" s="12"/>
      <c r="F130" s="14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6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</row>
    <row r="131" ht="12.75" customHeight="1">
      <c r="A131" s="18"/>
      <c r="B131" s="18"/>
      <c r="C131" s="15"/>
      <c r="D131" s="12"/>
      <c r="E131" s="12"/>
      <c r="F131" s="14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6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</row>
    <row r="132" ht="12.75" customHeight="1">
      <c r="A132" s="18"/>
      <c r="B132" s="18"/>
      <c r="C132" s="15"/>
      <c r="D132" s="12"/>
      <c r="E132" s="12"/>
      <c r="F132" s="14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6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</row>
    <row r="133" ht="12.75" customHeight="1">
      <c r="A133" s="18"/>
      <c r="B133" s="18"/>
      <c r="C133" s="15"/>
      <c r="D133" s="12"/>
      <c r="E133" s="12"/>
      <c r="F133" s="14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6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</row>
    <row r="134" ht="12.75" customHeight="1">
      <c r="A134" s="18"/>
      <c r="B134" s="18"/>
      <c r="C134" s="15"/>
      <c r="D134" s="12"/>
      <c r="E134" s="12"/>
      <c r="F134" s="14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6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</row>
    <row r="135" ht="12.75" customHeight="1">
      <c r="A135" s="18"/>
      <c r="B135" s="18"/>
      <c r="C135" s="15"/>
      <c r="D135" s="12"/>
      <c r="E135" s="12"/>
      <c r="F135" s="14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6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</row>
    <row r="136" ht="12.75" customHeight="1">
      <c r="A136" s="18"/>
      <c r="B136" s="18"/>
      <c r="C136" s="15"/>
      <c r="D136" s="12"/>
      <c r="E136" s="12"/>
      <c r="F136" s="14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6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</row>
    <row r="137" ht="12.75" customHeight="1">
      <c r="A137" s="18"/>
      <c r="B137" s="18"/>
      <c r="C137" s="15"/>
      <c r="D137" s="12"/>
      <c r="E137" s="12"/>
      <c r="F137" s="14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6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</row>
    <row r="138" ht="12.75" customHeight="1">
      <c r="A138" s="18"/>
      <c r="B138" s="18"/>
      <c r="C138" s="15"/>
      <c r="D138" s="12"/>
      <c r="E138" s="12"/>
      <c r="F138" s="14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6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</row>
    <row r="139" ht="12.75" customHeight="1">
      <c r="A139" s="18"/>
      <c r="B139" s="18"/>
      <c r="C139" s="15"/>
      <c r="D139" s="12"/>
      <c r="E139" s="12"/>
      <c r="F139" s="14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6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</row>
    <row r="140" ht="12.75" customHeight="1">
      <c r="A140" s="18"/>
      <c r="B140" s="18"/>
      <c r="C140" s="15"/>
      <c r="D140" s="12"/>
      <c r="E140" s="12"/>
      <c r="F140" s="14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6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</row>
    <row r="141" ht="12.75" customHeight="1">
      <c r="A141" s="18"/>
      <c r="B141" s="18"/>
      <c r="C141" s="15"/>
      <c r="D141" s="12"/>
      <c r="E141" s="12"/>
      <c r="F141" s="14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6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</row>
    <row r="142" ht="12.75" customHeight="1">
      <c r="A142" s="18"/>
      <c r="B142" s="18"/>
      <c r="C142" s="15"/>
      <c r="D142" s="12"/>
      <c r="E142" s="12"/>
      <c r="F142" s="14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6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</row>
    <row r="143" ht="12.75" customHeight="1">
      <c r="A143" s="18"/>
      <c r="B143" s="18"/>
      <c r="C143" s="15"/>
      <c r="D143" s="12"/>
      <c r="E143" s="12"/>
      <c r="F143" s="14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6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</row>
    <row r="144" ht="12.75" customHeight="1">
      <c r="A144" s="18"/>
      <c r="B144" s="18"/>
      <c r="C144" s="15"/>
      <c r="D144" s="12"/>
      <c r="E144" s="12"/>
      <c r="F144" s="14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6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</row>
    <row r="145" ht="12.75" customHeight="1">
      <c r="A145" s="18"/>
      <c r="B145" s="18"/>
      <c r="C145" s="15"/>
      <c r="D145" s="12"/>
      <c r="E145" s="12"/>
      <c r="F145" s="14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6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</row>
    <row r="146" ht="12.75" customHeight="1">
      <c r="A146" s="18"/>
      <c r="B146" s="18"/>
      <c r="C146" s="15"/>
      <c r="D146" s="12"/>
      <c r="E146" s="12"/>
      <c r="F146" s="14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6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</row>
    <row r="147" ht="12.75" customHeight="1">
      <c r="A147" s="18"/>
      <c r="B147" s="18"/>
      <c r="C147" s="15"/>
      <c r="D147" s="12"/>
      <c r="E147" s="12"/>
      <c r="F147" s="14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6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</row>
    <row r="148" ht="12.75" customHeight="1">
      <c r="A148" s="18"/>
      <c r="B148" s="18"/>
      <c r="C148" s="15"/>
      <c r="D148" s="12"/>
      <c r="E148" s="12"/>
      <c r="F148" s="14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6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</row>
    <row r="149" ht="12.75" customHeight="1">
      <c r="A149" s="18"/>
      <c r="B149" s="18"/>
      <c r="C149" s="15"/>
      <c r="D149" s="12"/>
      <c r="E149" s="12"/>
      <c r="F149" s="14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6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</row>
    <row r="150" ht="12.75" customHeight="1">
      <c r="A150" s="18"/>
      <c r="B150" s="18"/>
      <c r="C150" s="15"/>
      <c r="D150" s="12"/>
      <c r="E150" s="12"/>
      <c r="F150" s="14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6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</row>
    <row r="151" ht="12.75" customHeight="1">
      <c r="A151" s="18"/>
      <c r="B151" s="18"/>
      <c r="C151" s="15"/>
      <c r="D151" s="12"/>
      <c r="E151" s="12"/>
      <c r="F151" s="14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6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</row>
    <row r="152" ht="12.75" customHeight="1">
      <c r="A152" s="18"/>
      <c r="B152" s="18"/>
      <c r="C152" s="15"/>
      <c r="D152" s="12"/>
      <c r="E152" s="12"/>
      <c r="F152" s="14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6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</row>
    <row r="153" ht="12.75" customHeight="1">
      <c r="A153" s="18"/>
      <c r="B153" s="18"/>
      <c r="C153" s="15"/>
      <c r="D153" s="12"/>
      <c r="E153" s="12"/>
      <c r="F153" s="14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6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</row>
    <row r="154" ht="12.75" customHeight="1">
      <c r="A154" s="18"/>
      <c r="B154" s="18"/>
      <c r="C154" s="15"/>
      <c r="D154" s="12"/>
      <c r="E154" s="12"/>
      <c r="F154" s="14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6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</row>
    <row r="155" ht="12.75" customHeight="1">
      <c r="A155" s="18"/>
      <c r="B155" s="18"/>
      <c r="C155" s="15"/>
      <c r="D155" s="12"/>
      <c r="E155" s="12"/>
      <c r="F155" s="14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6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</row>
    <row r="156" ht="12.75" customHeight="1">
      <c r="A156" s="18"/>
      <c r="B156" s="18"/>
      <c r="C156" s="15"/>
      <c r="D156" s="12"/>
      <c r="E156" s="12"/>
      <c r="F156" s="14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6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</row>
    <row r="157" ht="12.75" customHeight="1">
      <c r="A157" s="18"/>
      <c r="B157" s="18"/>
      <c r="C157" s="15"/>
      <c r="D157" s="12"/>
      <c r="E157" s="12"/>
      <c r="F157" s="14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6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</row>
    <row r="158" ht="12.75" customHeight="1">
      <c r="A158" s="18"/>
      <c r="B158" s="18"/>
      <c r="C158" s="15"/>
      <c r="D158" s="12"/>
      <c r="E158" s="12"/>
      <c r="F158" s="14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6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</row>
    <row r="159" ht="12.75" customHeight="1">
      <c r="A159" s="18"/>
      <c r="B159" s="18"/>
      <c r="C159" s="15"/>
      <c r="D159" s="12"/>
      <c r="E159" s="12"/>
      <c r="F159" s="14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6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</row>
    <row r="160" ht="12.75" customHeight="1">
      <c r="A160" s="18"/>
      <c r="B160" s="18"/>
      <c r="C160" s="15"/>
      <c r="D160" s="12"/>
      <c r="E160" s="12"/>
      <c r="F160" s="14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6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</row>
    <row r="161" ht="12.75" customHeight="1">
      <c r="A161" s="18"/>
      <c r="B161" s="18"/>
      <c r="C161" s="15"/>
      <c r="D161" s="12"/>
      <c r="E161" s="12"/>
      <c r="F161" s="14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6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</row>
    <row r="162" ht="12.75" customHeight="1">
      <c r="A162" s="18"/>
      <c r="B162" s="18"/>
      <c r="C162" s="15"/>
      <c r="D162" s="12"/>
      <c r="E162" s="12"/>
      <c r="F162" s="14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6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</row>
    <row r="163" ht="12.75" customHeight="1">
      <c r="A163" s="18"/>
      <c r="B163" s="18"/>
      <c r="C163" s="15"/>
      <c r="D163" s="12"/>
      <c r="E163" s="12"/>
      <c r="F163" s="14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6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</row>
    <row r="164" ht="12.75" customHeight="1">
      <c r="A164" s="18"/>
      <c r="B164" s="18"/>
      <c r="C164" s="15"/>
      <c r="D164" s="12"/>
      <c r="E164" s="12"/>
      <c r="F164" s="14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6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</row>
    <row r="165" ht="12.75" customHeight="1">
      <c r="A165" s="18"/>
      <c r="B165" s="18"/>
      <c r="C165" s="15"/>
      <c r="D165" s="12"/>
      <c r="E165" s="12"/>
      <c r="F165" s="14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6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</row>
    <row r="166" ht="12.75" customHeight="1">
      <c r="A166" s="18"/>
      <c r="B166" s="18"/>
      <c r="C166" s="15"/>
      <c r="D166" s="12"/>
      <c r="E166" s="12"/>
      <c r="F166" s="14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6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</row>
    <row r="167" ht="12.75" customHeight="1">
      <c r="A167" s="18"/>
      <c r="B167" s="18"/>
      <c r="C167" s="15"/>
      <c r="D167" s="12"/>
      <c r="E167" s="12"/>
      <c r="F167" s="14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6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</row>
    <row r="168" ht="12.75" customHeight="1">
      <c r="A168" s="18"/>
      <c r="B168" s="18"/>
      <c r="C168" s="15"/>
      <c r="D168" s="12"/>
      <c r="E168" s="12"/>
      <c r="F168" s="14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6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</row>
    <row r="169" ht="12.75" customHeight="1">
      <c r="A169" s="18"/>
      <c r="B169" s="18"/>
      <c r="C169" s="15"/>
      <c r="D169" s="12"/>
      <c r="E169" s="12"/>
      <c r="F169" s="14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6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</row>
    <row r="170" ht="12.75" customHeight="1">
      <c r="A170" s="18"/>
      <c r="B170" s="18"/>
      <c r="C170" s="15"/>
      <c r="D170" s="12"/>
      <c r="E170" s="12"/>
      <c r="F170" s="14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6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</row>
    <row r="171" ht="12.75" customHeight="1">
      <c r="A171" s="18"/>
      <c r="B171" s="18"/>
      <c r="C171" s="15"/>
      <c r="D171" s="12"/>
      <c r="E171" s="12"/>
      <c r="F171" s="14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6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</row>
    <row r="172" ht="12.75" customHeight="1">
      <c r="A172" s="18"/>
      <c r="B172" s="18"/>
      <c r="C172" s="15"/>
      <c r="D172" s="12"/>
      <c r="E172" s="12"/>
      <c r="F172" s="14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6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</row>
    <row r="173" ht="12.75" customHeight="1">
      <c r="A173" s="18"/>
      <c r="B173" s="18"/>
      <c r="C173" s="15"/>
      <c r="D173" s="12"/>
      <c r="E173" s="12"/>
      <c r="F173" s="14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6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</row>
    <row r="174" ht="12.75" customHeight="1">
      <c r="A174" s="18"/>
      <c r="B174" s="18"/>
      <c r="C174" s="15"/>
      <c r="D174" s="12"/>
      <c r="E174" s="12"/>
      <c r="F174" s="14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6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</row>
    <row r="175" ht="12.75" customHeight="1">
      <c r="A175" s="18"/>
      <c r="B175" s="18"/>
      <c r="C175" s="15"/>
      <c r="D175" s="12"/>
      <c r="E175" s="12"/>
      <c r="F175" s="14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6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</row>
    <row r="176" ht="12.75" customHeight="1">
      <c r="A176" s="18"/>
      <c r="B176" s="18"/>
      <c r="C176" s="15"/>
      <c r="D176" s="12"/>
      <c r="E176" s="12"/>
      <c r="F176" s="14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6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</row>
    <row r="177" ht="12.75" customHeight="1">
      <c r="A177" s="18"/>
      <c r="B177" s="18"/>
      <c r="C177" s="15"/>
      <c r="D177" s="12"/>
      <c r="E177" s="12"/>
      <c r="F177" s="14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6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</row>
    <row r="178" ht="12.75" customHeight="1">
      <c r="A178" s="18"/>
      <c r="B178" s="18"/>
      <c r="C178" s="15"/>
      <c r="D178" s="12"/>
      <c r="E178" s="12"/>
      <c r="F178" s="14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6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</row>
    <row r="179" ht="12.75" customHeight="1">
      <c r="A179" s="18"/>
      <c r="B179" s="18"/>
      <c r="C179" s="15"/>
      <c r="D179" s="12"/>
      <c r="E179" s="12"/>
      <c r="F179" s="14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6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</row>
    <row r="180" ht="12.75" customHeight="1">
      <c r="A180" s="18"/>
      <c r="B180" s="18"/>
      <c r="C180" s="15"/>
      <c r="D180" s="12"/>
      <c r="E180" s="12"/>
      <c r="F180" s="14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6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</row>
    <row r="181" ht="12.75" customHeight="1">
      <c r="A181" s="18"/>
      <c r="B181" s="18"/>
      <c r="C181" s="15"/>
      <c r="D181" s="12"/>
      <c r="E181" s="12"/>
      <c r="F181" s="14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6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</row>
    <row r="182" ht="12.75" customHeight="1">
      <c r="A182" s="18"/>
      <c r="B182" s="18"/>
      <c r="C182" s="15"/>
      <c r="D182" s="12"/>
      <c r="E182" s="12"/>
      <c r="F182" s="14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6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</row>
    <row r="183" ht="12.75" customHeight="1">
      <c r="A183" s="18"/>
      <c r="B183" s="18"/>
      <c r="C183" s="15"/>
      <c r="D183" s="12"/>
      <c r="E183" s="12"/>
      <c r="F183" s="14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6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</row>
    <row r="184" ht="12.75" customHeight="1">
      <c r="A184" s="18"/>
      <c r="B184" s="18"/>
      <c r="C184" s="15"/>
      <c r="D184" s="12"/>
      <c r="E184" s="12"/>
      <c r="F184" s="14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6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</row>
    <row r="185" ht="12.75" customHeight="1">
      <c r="A185" s="18"/>
      <c r="B185" s="18"/>
      <c r="C185" s="15"/>
      <c r="D185" s="12"/>
      <c r="E185" s="12"/>
      <c r="F185" s="14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6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</row>
    <row r="186" ht="12.75" customHeight="1">
      <c r="A186" s="18"/>
      <c r="B186" s="18"/>
      <c r="C186" s="15"/>
      <c r="D186" s="12"/>
      <c r="E186" s="12"/>
      <c r="F186" s="14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6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</row>
    <row r="187" ht="12.75" customHeight="1">
      <c r="A187" s="18"/>
      <c r="B187" s="18"/>
      <c r="C187" s="15"/>
      <c r="D187" s="12"/>
      <c r="E187" s="12"/>
      <c r="F187" s="14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6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</row>
    <row r="188" ht="12.75" customHeight="1">
      <c r="A188" s="18"/>
      <c r="B188" s="18"/>
      <c r="C188" s="15"/>
      <c r="D188" s="12"/>
      <c r="E188" s="12"/>
      <c r="F188" s="14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6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</row>
    <row r="189" ht="12.75" customHeight="1">
      <c r="A189" s="18"/>
      <c r="B189" s="18"/>
      <c r="C189" s="15"/>
      <c r="D189" s="12"/>
      <c r="E189" s="12"/>
      <c r="F189" s="14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6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</row>
    <row r="190" ht="12.75" customHeight="1">
      <c r="A190" s="18"/>
      <c r="B190" s="18"/>
      <c r="C190" s="15"/>
      <c r="D190" s="12"/>
      <c r="E190" s="12"/>
      <c r="F190" s="14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6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</row>
    <row r="191" ht="12.75" customHeight="1">
      <c r="A191" s="18"/>
      <c r="B191" s="18"/>
      <c r="C191" s="15"/>
      <c r="D191" s="12"/>
      <c r="E191" s="12"/>
      <c r="F191" s="14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6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</row>
    <row r="192" ht="12.75" customHeight="1">
      <c r="A192" s="18"/>
      <c r="B192" s="18"/>
      <c r="C192" s="15"/>
      <c r="D192" s="12"/>
      <c r="E192" s="12"/>
      <c r="F192" s="14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6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</row>
    <row r="193" ht="12.75" customHeight="1">
      <c r="A193" s="18"/>
      <c r="B193" s="18"/>
      <c r="C193" s="15"/>
      <c r="D193" s="12"/>
      <c r="E193" s="12"/>
      <c r="F193" s="14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6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</row>
    <row r="194" ht="12.75" customHeight="1">
      <c r="A194" s="18"/>
      <c r="B194" s="18"/>
      <c r="C194" s="15"/>
      <c r="D194" s="12"/>
      <c r="E194" s="12"/>
      <c r="F194" s="14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6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</row>
    <row r="195" ht="12.75" customHeight="1">
      <c r="A195" s="18"/>
      <c r="B195" s="18"/>
      <c r="C195" s="15"/>
      <c r="D195" s="12"/>
      <c r="E195" s="12"/>
      <c r="F195" s="14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6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</row>
    <row r="196" ht="12.75" customHeight="1">
      <c r="A196" s="18"/>
      <c r="B196" s="18"/>
      <c r="C196" s="15"/>
      <c r="D196" s="12"/>
      <c r="E196" s="12"/>
      <c r="F196" s="14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6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</row>
    <row r="197" ht="12.75" customHeight="1">
      <c r="A197" s="18"/>
      <c r="B197" s="18"/>
      <c r="C197" s="15"/>
      <c r="D197" s="12"/>
      <c r="E197" s="12"/>
      <c r="F197" s="14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6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</row>
    <row r="198" ht="12.75" customHeight="1">
      <c r="A198" s="18"/>
      <c r="B198" s="18"/>
      <c r="C198" s="15"/>
      <c r="D198" s="12"/>
      <c r="E198" s="12"/>
      <c r="F198" s="14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6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</row>
    <row r="199" ht="12.75" customHeight="1">
      <c r="A199" s="18"/>
      <c r="B199" s="18"/>
      <c r="C199" s="15"/>
      <c r="D199" s="12"/>
      <c r="E199" s="12"/>
      <c r="F199" s="14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6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</row>
    <row r="200" ht="12.75" customHeight="1">
      <c r="A200" s="18"/>
      <c r="B200" s="18"/>
      <c r="C200" s="15"/>
      <c r="D200" s="12"/>
      <c r="E200" s="12"/>
      <c r="F200" s="14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6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</row>
    <row r="201" ht="12.75" customHeight="1">
      <c r="A201" s="18"/>
      <c r="B201" s="18"/>
      <c r="C201" s="15"/>
      <c r="D201" s="12"/>
      <c r="E201" s="12"/>
      <c r="F201" s="14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6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</row>
    <row r="202" ht="12.75" customHeight="1">
      <c r="A202" s="18"/>
      <c r="B202" s="18"/>
      <c r="C202" s="15"/>
      <c r="D202" s="12"/>
      <c r="E202" s="12"/>
      <c r="F202" s="14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6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</row>
    <row r="203" ht="12.75" customHeight="1">
      <c r="A203" s="18"/>
      <c r="B203" s="18"/>
      <c r="C203" s="15"/>
      <c r="D203" s="12"/>
      <c r="E203" s="12"/>
      <c r="F203" s="14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6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</row>
    <row r="204" ht="12.75" customHeight="1">
      <c r="A204" s="18"/>
      <c r="B204" s="18"/>
      <c r="C204" s="15"/>
      <c r="D204" s="12"/>
      <c r="E204" s="12"/>
      <c r="F204" s="14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6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</row>
    <row r="205" ht="12.75" customHeight="1">
      <c r="A205" s="18"/>
      <c r="B205" s="18"/>
      <c r="C205" s="15"/>
      <c r="D205" s="12"/>
      <c r="E205" s="12"/>
      <c r="F205" s="14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6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</row>
    <row r="206" ht="12.75" customHeight="1">
      <c r="A206" s="18"/>
      <c r="B206" s="18"/>
      <c r="C206" s="15"/>
      <c r="D206" s="12"/>
      <c r="E206" s="12"/>
      <c r="F206" s="14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6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</row>
    <row r="207" ht="12.75" customHeight="1">
      <c r="A207" s="18"/>
      <c r="B207" s="18"/>
      <c r="C207" s="15"/>
      <c r="D207" s="12"/>
      <c r="E207" s="12"/>
      <c r="F207" s="14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6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</row>
    <row r="208" ht="12.75" customHeight="1">
      <c r="A208" s="18"/>
      <c r="B208" s="18"/>
      <c r="C208" s="15"/>
      <c r="D208" s="12"/>
      <c r="E208" s="12"/>
      <c r="F208" s="14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6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</row>
    <row r="209" ht="12.75" customHeight="1">
      <c r="A209" s="18"/>
      <c r="B209" s="18"/>
      <c r="C209" s="15"/>
      <c r="D209" s="12"/>
      <c r="E209" s="12"/>
      <c r="F209" s="14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6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</row>
    <row r="210" ht="12.75" customHeight="1">
      <c r="A210" s="18"/>
      <c r="B210" s="18"/>
      <c r="C210" s="15"/>
      <c r="D210" s="12"/>
      <c r="E210" s="12"/>
      <c r="F210" s="14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6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</row>
    <row r="211" ht="12.75" customHeight="1">
      <c r="A211" s="18"/>
      <c r="B211" s="18"/>
      <c r="C211" s="15"/>
      <c r="D211" s="12"/>
      <c r="E211" s="12"/>
      <c r="F211" s="14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6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</row>
    <row r="212" ht="12.75" customHeight="1">
      <c r="A212" s="18"/>
      <c r="B212" s="18"/>
      <c r="C212" s="15"/>
      <c r="D212" s="12"/>
      <c r="E212" s="12"/>
      <c r="F212" s="14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6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</row>
    <row r="213" ht="12.75" customHeight="1">
      <c r="A213" s="18"/>
      <c r="B213" s="18"/>
      <c r="C213" s="15"/>
      <c r="D213" s="12"/>
      <c r="E213" s="12"/>
      <c r="F213" s="14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6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</row>
    <row r="214" ht="12.75" customHeight="1">
      <c r="A214" s="18"/>
      <c r="B214" s="18"/>
      <c r="C214" s="15"/>
      <c r="D214" s="12"/>
      <c r="E214" s="12"/>
      <c r="F214" s="14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6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</row>
    <row r="215" ht="12.75" customHeight="1">
      <c r="A215" s="18"/>
      <c r="B215" s="18"/>
      <c r="C215" s="15"/>
      <c r="D215" s="12"/>
      <c r="E215" s="12"/>
      <c r="F215" s="14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6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</row>
    <row r="216" ht="12.75" customHeight="1">
      <c r="A216" s="18"/>
      <c r="B216" s="18"/>
      <c r="C216" s="15"/>
      <c r="D216" s="12"/>
      <c r="E216" s="12"/>
      <c r="F216" s="14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6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</row>
    <row r="217" ht="12.75" customHeight="1">
      <c r="A217" s="18"/>
      <c r="B217" s="18"/>
      <c r="C217" s="15"/>
      <c r="D217" s="12"/>
      <c r="E217" s="12"/>
      <c r="F217" s="14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6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</row>
    <row r="218" ht="12.75" customHeight="1">
      <c r="A218" s="18"/>
      <c r="B218" s="18"/>
      <c r="C218" s="15"/>
      <c r="D218" s="12"/>
      <c r="E218" s="12"/>
      <c r="F218" s="14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6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</row>
    <row r="219" ht="12.75" customHeight="1">
      <c r="A219" s="18"/>
      <c r="B219" s="18"/>
      <c r="C219" s="15"/>
      <c r="D219" s="12"/>
      <c r="E219" s="12"/>
      <c r="F219" s="14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6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</row>
    <row r="220" ht="12.75" customHeight="1">
      <c r="A220" s="18"/>
      <c r="B220" s="18"/>
      <c r="C220" s="15"/>
      <c r="D220" s="12"/>
      <c r="E220" s="12"/>
      <c r="F220" s="14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6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</row>
    <row r="221" ht="12.75" customHeight="1">
      <c r="A221" s="18"/>
      <c r="B221" s="18"/>
      <c r="C221" s="15"/>
      <c r="D221" s="12"/>
      <c r="E221" s="12"/>
      <c r="F221" s="14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6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</row>
    <row r="222" ht="12.75" customHeight="1">
      <c r="A222" s="18"/>
      <c r="B222" s="18"/>
      <c r="C222" s="15"/>
      <c r="D222" s="12"/>
      <c r="E222" s="12"/>
      <c r="F222" s="14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6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</row>
    <row r="223" ht="12.75" customHeight="1">
      <c r="A223" s="18"/>
      <c r="B223" s="18"/>
      <c r="C223" s="15"/>
      <c r="D223" s="12"/>
      <c r="E223" s="12"/>
      <c r="F223" s="14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6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</row>
    <row r="224" ht="12.75" customHeight="1">
      <c r="A224" s="18"/>
      <c r="B224" s="18"/>
      <c r="C224" s="15"/>
      <c r="D224" s="12"/>
      <c r="E224" s="12"/>
      <c r="F224" s="14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6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</row>
    <row r="225" ht="12.75" customHeight="1">
      <c r="A225" s="18"/>
      <c r="B225" s="18"/>
      <c r="C225" s="15"/>
      <c r="D225" s="12"/>
      <c r="E225" s="12"/>
      <c r="F225" s="14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6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</row>
    <row r="226" ht="12.75" customHeight="1">
      <c r="A226" s="18"/>
      <c r="B226" s="18"/>
      <c r="C226" s="15"/>
      <c r="D226" s="12"/>
      <c r="E226" s="12"/>
      <c r="F226" s="14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6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</row>
    <row r="227" ht="12.75" customHeight="1">
      <c r="A227" s="18"/>
      <c r="B227" s="18"/>
      <c r="C227" s="15"/>
      <c r="D227" s="12"/>
      <c r="E227" s="12"/>
      <c r="F227" s="14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6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</row>
    <row r="228" ht="12.75" customHeight="1">
      <c r="A228" s="18"/>
      <c r="B228" s="18"/>
      <c r="C228" s="15"/>
      <c r="D228" s="12"/>
      <c r="E228" s="12"/>
      <c r="F228" s="14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6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</row>
    <row r="229" ht="12.75" customHeight="1">
      <c r="A229" s="18"/>
      <c r="B229" s="18"/>
      <c r="C229" s="15"/>
      <c r="D229" s="12"/>
      <c r="E229" s="12"/>
      <c r="F229" s="14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6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</row>
    <row r="230" ht="12.75" customHeight="1">
      <c r="A230" s="18"/>
      <c r="B230" s="18"/>
      <c r="C230" s="15"/>
      <c r="D230" s="12"/>
      <c r="E230" s="12"/>
      <c r="F230" s="14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6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</row>
    <row r="231" ht="12.75" customHeight="1">
      <c r="A231" s="18"/>
      <c r="B231" s="18"/>
      <c r="C231" s="15"/>
      <c r="D231" s="12"/>
      <c r="E231" s="12"/>
      <c r="F231" s="14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6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</row>
    <row r="232" ht="12.75" customHeight="1">
      <c r="A232" s="18"/>
      <c r="B232" s="18"/>
      <c r="C232" s="15"/>
      <c r="D232" s="12"/>
      <c r="E232" s="12"/>
      <c r="F232" s="14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6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</row>
    <row r="233" ht="12.75" customHeight="1">
      <c r="A233" s="18"/>
      <c r="B233" s="18"/>
      <c r="C233" s="15"/>
      <c r="D233" s="12"/>
      <c r="E233" s="12"/>
      <c r="F233" s="14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6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</row>
    <row r="234" ht="12.75" customHeight="1">
      <c r="A234" s="18"/>
      <c r="B234" s="18"/>
      <c r="C234" s="15"/>
      <c r="D234" s="12"/>
      <c r="E234" s="12"/>
      <c r="F234" s="14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6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</row>
    <row r="235" ht="12.75" customHeight="1">
      <c r="A235" s="18"/>
      <c r="B235" s="18"/>
      <c r="C235" s="15"/>
      <c r="D235" s="12"/>
      <c r="E235" s="12"/>
      <c r="F235" s="14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6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</row>
    <row r="236" ht="12.75" customHeight="1">
      <c r="A236" s="18"/>
      <c r="B236" s="18"/>
      <c r="C236" s="15"/>
      <c r="D236" s="12"/>
      <c r="E236" s="12"/>
      <c r="F236" s="14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6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</row>
    <row r="237" ht="12.75" customHeight="1">
      <c r="A237" s="18"/>
      <c r="B237" s="18"/>
      <c r="C237" s="15"/>
      <c r="D237" s="12"/>
      <c r="E237" s="12"/>
      <c r="F237" s="14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6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</row>
    <row r="238" ht="12.75" customHeight="1">
      <c r="A238" s="18"/>
      <c r="B238" s="18"/>
      <c r="C238" s="15"/>
      <c r="D238" s="12"/>
      <c r="E238" s="12"/>
      <c r="F238" s="14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6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</row>
    <row r="239" ht="12.75" customHeight="1">
      <c r="A239" s="18"/>
      <c r="B239" s="18"/>
      <c r="C239" s="15"/>
      <c r="D239" s="12"/>
      <c r="E239" s="12"/>
      <c r="F239" s="14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6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</row>
    <row r="240" ht="12.75" customHeight="1">
      <c r="A240" s="18"/>
      <c r="B240" s="18"/>
      <c r="C240" s="15"/>
      <c r="D240" s="12"/>
      <c r="E240" s="12"/>
      <c r="F240" s="14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6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</row>
    <row r="241" ht="12.75" customHeight="1">
      <c r="A241" s="18"/>
      <c r="B241" s="18"/>
      <c r="C241" s="15"/>
      <c r="D241" s="12"/>
      <c r="E241" s="12"/>
      <c r="F241" s="14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6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</row>
    <row r="242" ht="12.75" customHeight="1">
      <c r="A242" s="18"/>
      <c r="B242" s="18"/>
      <c r="C242" s="15"/>
      <c r="D242" s="12"/>
      <c r="E242" s="12"/>
      <c r="F242" s="14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6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</row>
    <row r="243" ht="12.75" customHeight="1">
      <c r="A243" s="18"/>
      <c r="B243" s="18"/>
      <c r="C243" s="15"/>
      <c r="D243" s="12"/>
      <c r="E243" s="12"/>
      <c r="F243" s="14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6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</row>
    <row r="244" ht="12.75" customHeight="1">
      <c r="A244" s="18"/>
      <c r="B244" s="18"/>
      <c r="C244" s="15"/>
      <c r="D244" s="12"/>
      <c r="E244" s="12"/>
      <c r="F244" s="14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6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</row>
    <row r="245" ht="12.75" customHeight="1">
      <c r="A245" s="18"/>
      <c r="B245" s="18"/>
      <c r="C245" s="15"/>
      <c r="D245" s="12"/>
      <c r="E245" s="12"/>
      <c r="F245" s="14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6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</row>
    <row r="246" ht="12.75" customHeight="1">
      <c r="A246" s="18"/>
      <c r="B246" s="18"/>
      <c r="C246" s="15"/>
      <c r="D246" s="12"/>
      <c r="E246" s="12"/>
      <c r="F246" s="14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6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</row>
    <row r="247" ht="12.75" customHeight="1">
      <c r="A247" s="18"/>
      <c r="B247" s="18"/>
      <c r="C247" s="15"/>
      <c r="D247" s="12"/>
      <c r="E247" s="12"/>
      <c r="F247" s="14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6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</row>
    <row r="248" ht="12.75" customHeight="1">
      <c r="A248" s="18"/>
      <c r="B248" s="18"/>
      <c r="C248" s="15"/>
      <c r="D248" s="12"/>
      <c r="E248" s="12"/>
      <c r="F248" s="14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6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</row>
    <row r="249" ht="12.75" customHeight="1">
      <c r="A249" s="18"/>
      <c r="B249" s="18"/>
      <c r="C249" s="15"/>
      <c r="D249" s="12"/>
      <c r="E249" s="12"/>
      <c r="F249" s="14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6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</row>
    <row r="250" ht="12.75" customHeight="1">
      <c r="A250" s="18"/>
      <c r="B250" s="18"/>
      <c r="C250" s="15"/>
      <c r="D250" s="12"/>
      <c r="E250" s="12"/>
      <c r="F250" s="14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6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</row>
    <row r="251" ht="12.75" customHeight="1">
      <c r="A251" s="18"/>
      <c r="B251" s="18"/>
      <c r="C251" s="15"/>
      <c r="D251" s="12"/>
      <c r="E251" s="12"/>
      <c r="F251" s="14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6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</row>
    <row r="252" ht="12.75" customHeight="1">
      <c r="A252" s="18"/>
      <c r="B252" s="18"/>
      <c r="C252" s="15"/>
      <c r="D252" s="12"/>
      <c r="E252" s="12"/>
      <c r="F252" s="14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6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</row>
    <row r="253" ht="12.75" customHeight="1">
      <c r="A253" s="18"/>
      <c r="B253" s="18"/>
      <c r="C253" s="15"/>
      <c r="D253" s="12"/>
      <c r="E253" s="12"/>
      <c r="F253" s="14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6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</row>
    <row r="254" ht="12.75" customHeight="1">
      <c r="A254" s="18"/>
      <c r="B254" s="18"/>
      <c r="C254" s="15"/>
      <c r="D254" s="12"/>
      <c r="E254" s="12"/>
      <c r="F254" s="14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6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</row>
    <row r="255" ht="12.75" customHeight="1">
      <c r="A255" s="18"/>
      <c r="B255" s="18"/>
      <c r="C255" s="15"/>
      <c r="D255" s="12"/>
      <c r="E255" s="12"/>
      <c r="F255" s="14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6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</row>
    <row r="256" ht="12.75" customHeight="1">
      <c r="A256" s="18"/>
      <c r="B256" s="18"/>
      <c r="C256" s="15"/>
      <c r="D256" s="12"/>
      <c r="E256" s="12"/>
      <c r="F256" s="14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6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</row>
    <row r="257" ht="12.75" customHeight="1">
      <c r="A257" s="18"/>
      <c r="B257" s="18"/>
      <c r="C257" s="15"/>
      <c r="D257" s="12"/>
      <c r="E257" s="12"/>
      <c r="F257" s="14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6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</row>
    <row r="258" ht="12.75" customHeight="1">
      <c r="A258" s="18"/>
      <c r="B258" s="18"/>
      <c r="C258" s="15"/>
      <c r="D258" s="12"/>
      <c r="E258" s="12"/>
      <c r="F258" s="14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6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</row>
    <row r="259" ht="12.75" customHeight="1">
      <c r="A259" s="18"/>
      <c r="B259" s="18"/>
      <c r="C259" s="15"/>
      <c r="D259" s="12"/>
      <c r="E259" s="12"/>
      <c r="F259" s="14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6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</row>
    <row r="260" ht="12.75" customHeight="1">
      <c r="A260" s="18"/>
      <c r="B260" s="18"/>
      <c r="C260" s="15"/>
      <c r="D260" s="12"/>
      <c r="E260" s="12"/>
      <c r="F260" s="14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6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</row>
    <row r="261" ht="12.75" customHeight="1">
      <c r="A261" s="18"/>
      <c r="B261" s="18"/>
      <c r="C261" s="15"/>
      <c r="D261" s="12"/>
      <c r="E261" s="12"/>
      <c r="F261" s="14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6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</row>
    <row r="262" ht="12.75" customHeight="1">
      <c r="A262" s="18"/>
      <c r="B262" s="18"/>
      <c r="C262" s="15"/>
      <c r="D262" s="12"/>
      <c r="E262" s="12"/>
      <c r="F262" s="14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6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</row>
    <row r="263" ht="12.75" customHeight="1">
      <c r="A263" s="18"/>
      <c r="B263" s="18"/>
      <c r="C263" s="15"/>
      <c r="D263" s="12"/>
      <c r="E263" s="12"/>
      <c r="F263" s="14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6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</row>
    <row r="264" ht="12.75" customHeight="1">
      <c r="A264" s="18"/>
      <c r="B264" s="18"/>
      <c r="C264" s="15"/>
      <c r="D264" s="12"/>
      <c r="E264" s="12"/>
      <c r="F264" s="14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6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</row>
    <row r="265" ht="12.75" customHeight="1">
      <c r="A265" s="18"/>
      <c r="B265" s="18"/>
      <c r="C265" s="15"/>
      <c r="D265" s="12"/>
      <c r="E265" s="12"/>
      <c r="F265" s="14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6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</row>
    <row r="266" ht="12.75" customHeight="1">
      <c r="A266" s="18"/>
      <c r="B266" s="18"/>
      <c r="C266" s="15"/>
      <c r="D266" s="12"/>
      <c r="E266" s="12"/>
      <c r="F266" s="14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6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</row>
    <row r="267" ht="12.75" customHeight="1">
      <c r="A267" s="18"/>
      <c r="B267" s="18"/>
      <c r="C267" s="15"/>
      <c r="D267" s="12"/>
      <c r="E267" s="12"/>
      <c r="F267" s="14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6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</row>
    <row r="268" ht="12.75" customHeight="1">
      <c r="A268" s="18"/>
      <c r="B268" s="18"/>
      <c r="C268" s="15"/>
      <c r="D268" s="12"/>
      <c r="E268" s="12"/>
      <c r="F268" s="14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6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</row>
    <row r="269" ht="12.75" customHeight="1">
      <c r="A269" s="18"/>
      <c r="B269" s="18"/>
      <c r="C269" s="15"/>
      <c r="D269" s="12"/>
      <c r="E269" s="12"/>
      <c r="F269" s="14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6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</row>
    <row r="270" ht="12.75" customHeight="1">
      <c r="A270" s="18"/>
      <c r="B270" s="18"/>
      <c r="C270" s="15"/>
      <c r="D270" s="12"/>
      <c r="E270" s="12"/>
      <c r="F270" s="14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6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</row>
    <row r="271" ht="12.75" customHeight="1">
      <c r="A271" s="18"/>
      <c r="B271" s="18"/>
      <c r="C271" s="15"/>
      <c r="D271" s="12"/>
      <c r="E271" s="12"/>
      <c r="F271" s="14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6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</row>
    <row r="272" ht="12.75" customHeight="1">
      <c r="A272" s="18"/>
      <c r="B272" s="18"/>
      <c r="C272" s="15"/>
      <c r="D272" s="12"/>
      <c r="E272" s="12"/>
      <c r="F272" s="14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6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</row>
    <row r="273" ht="12.75" customHeight="1">
      <c r="A273" s="18"/>
      <c r="B273" s="18"/>
      <c r="C273" s="15"/>
      <c r="D273" s="12"/>
      <c r="E273" s="12"/>
      <c r="F273" s="14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6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</row>
    <row r="274" ht="12.75" customHeight="1">
      <c r="A274" s="18"/>
      <c r="B274" s="18"/>
      <c r="C274" s="15"/>
      <c r="D274" s="12"/>
      <c r="E274" s="12"/>
      <c r="F274" s="14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6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</row>
    <row r="275" ht="12.75" customHeight="1">
      <c r="A275" s="18"/>
      <c r="B275" s="18"/>
      <c r="C275" s="15"/>
      <c r="D275" s="12"/>
      <c r="E275" s="12"/>
      <c r="F275" s="14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6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</row>
    <row r="276" ht="12.75" customHeight="1">
      <c r="A276" s="18"/>
      <c r="B276" s="18"/>
      <c r="C276" s="15"/>
      <c r="D276" s="12"/>
      <c r="E276" s="12"/>
      <c r="F276" s="14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6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</row>
    <row r="277" ht="12.75" customHeight="1">
      <c r="A277" s="18"/>
      <c r="B277" s="18"/>
      <c r="C277" s="15"/>
      <c r="D277" s="12"/>
      <c r="E277" s="12"/>
      <c r="F277" s="14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6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</row>
    <row r="278" ht="12.75" customHeight="1">
      <c r="A278" s="18"/>
      <c r="B278" s="18"/>
      <c r="C278" s="15"/>
      <c r="D278" s="12"/>
      <c r="E278" s="12"/>
      <c r="F278" s="14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6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</row>
    <row r="279" ht="12.75" customHeight="1">
      <c r="A279" s="18"/>
      <c r="B279" s="18"/>
      <c r="C279" s="15"/>
      <c r="D279" s="12"/>
      <c r="E279" s="12"/>
      <c r="F279" s="14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6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</row>
    <row r="280" ht="12.75" customHeight="1">
      <c r="A280" s="18"/>
      <c r="B280" s="18"/>
      <c r="C280" s="15"/>
      <c r="D280" s="12"/>
      <c r="E280" s="12"/>
      <c r="F280" s="14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6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</row>
    <row r="281" ht="12.75" customHeight="1">
      <c r="A281" s="18"/>
      <c r="B281" s="18"/>
      <c r="C281" s="15"/>
      <c r="D281" s="12"/>
      <c r="E281" s="12"/>
      <c r="F281" s="14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6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</row>
    <row r="282" ht="12.75" customHeight="1">
      <c r="A282" s="18"/>
      <c r="B282" s="18"/>
      <c r="C282" s="15"/>
      <c r="D282" s="12"/>
      <c r="E282" s="12"/>
      <c r="F282" s="14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6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</row>
    <row r="283" ht="12.75" customHeight="1">
      <c r="A283" s="18"/>
      <c r="B283" s="18"/>
      <c r="C283" s="15"/>
      <c r="D283" s="12"/>
      <c r="E283" s="12"/>
      <c r="F283" s="14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6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</row>
    <row r="284" ht="12.75" customHeight="1">
      <c r="A284" s="18"/>
      <c r="B284" s="18"/>
      <c r="C284" s="15"/>
      <c r="D284" s="12"/>
      <c r="E284" s="12"/>
      <c r="F284" s="14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6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</row>
    <row r="285" ht="12.75" customHeight="1">
      <c r="A285" s="18"/>
      <c r="B285" s="18"/>
      <c r="C285" s="15"/>
      <c r="D285" s="12"/>
      <c r="E285" s="12"/>
      <c r="F285" s="14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6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</row>
    <row r="286" ht="12.75" customHeight="1">
      <c r="A286" s="18"/>
      <c r="B286" s="18"/>
      <c r="C286" s="15"/>
      <c r="D286" s="12"/>
      <c r="E286" s="12"/>
      <c r="F286" s="14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6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</row>
    <row r="287" ht="12.75" customHeight="1">
      <c r="A287" s="18"/>
      <c r="B287" s="18"/>
      <c r="C287" s="15"/>
      <c r="D287" s="12"/>
      <c r="E287" s="12"/>
      <c r="F287" s="14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6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</row>
    <row r="288" ht="12.75" customHeight="1">
      <c r="A288" s="18"/>
      <c r="B288" s="18"/>
      <c r="C288" s="15"/>
      <c r="D288" s="12"/>
      <c r="E288" s="12"/>
      <c r="F288" s="14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6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</row>
    <row r="289" ht="12.75" customHeight="1">
      <c r="A289" s="18"/>
      <c r="B289" s="18"/>
      <c r="C289" s="15"/>
      <c r="D289" s="12"/>
      <c r="E289" s="12"/>
      <c r="F289" s="14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6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</row>
    <row r="290" ht="12.75" customHeight="1">
      <c r="A290" s="18"/>
      <c r="B290" s="18"/>
      <c r="C290" s="15"/>
      <c r="D290" s="12"/>
      <c r="E290" s="12"/>
      <c r="F290" s="14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6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</row>
    <row r="291" ht="12.75" customHeight="1">
      <c r="A291" s="18"/>
      <c r="B291" s="18"/>
      <c r="C291" s="15"/>
      <c r="D291" s="12"/>
      <c r="E291" s="12"/>
      <c r="F291" s="14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6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</row>
    <row r="292" ht="12.75" customHeight="1">
      <c r="A292" s="18"/>
      <c r="B292" s="18"/>
      <c r="C292" s="15"/>
      <c r="D292" s="12"/>
      <c r="E292" s="12"/>
      <c r="F292" s="14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6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</row>
    <row r="293" ht="12.75" customHeight="1">
      <c r="A293" s="18"/>
      <c r="B293" s="18"/>
      <c r="C293" s="15"/>
      <c r="D293" s="12"/>
      <c r="E293" s="12"/>
      <c r="F293" s="14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6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</row>
    <row r="294" ht="12.75" customHeight="1">
      <c r="A294" s="18"/>
      <c r="B294" s="18"/>
      <c r="C294" s="15"/>
      <c r="D294" s="12"/>
      <c r="E294" s="12"/>
      <c r="F294" s="14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6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</row>
    <row r="295" ht="12.75" customHeight="1">
      <c r="A295" s="18"/>
      <c r="B295" s="18"/>
      <c r="C295" s="15"/>
      <c r="D295" s="12"/>
      <c r="E295" s="12"/>
      <c r="F295" s="14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6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</row>
    <row r="296" ht="12.75" customHeight="1">
      <c r="A296" s="18"/>
      <c r="B296" s="18"/>
      <c r="C296" s="15"/>
      <c r="D296" s="12"/>
      <c r="E296" s="12"/>
      <c r="F296" s="14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6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</row>
    <row r="297" ht="12.75" customHeight="1">
      <c r="A297" s="18"/>
      <c r="B297" s="18"/>
      <c r="C297" s="15"/>
      <c r="D297" s="12"/>
      <c r="E297" s="12"/>
      <c r="F297" s="14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6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</row>
    <row r="298" ht="12.75" customHeight="1">
      <c r="A298" s="18"/>
      <c r="B298" s="18"/>
      <c r="C298" s="15"/>
      <c r="D298" s="12"/>
      <c r="E298" s="12"/>
      <c r="F298" s="14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6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</row>
    <row r="299" ht="12.75" customHeight="1">
      <c r="A299" s="18"/>
      <c r="B299" s="18"/>
      <c r="C299" s="15"/>
      <c r="D299" s="12"/>
      <c r="E299" s="12"/>
      <c r="F299" s="14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6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</row>
    <row r="300" ht="12.75" customHeight="1">
      <c r="A300" s="18"/>
      <c r="B300" s="18"/>
      <c r="C300" s="15"/>
      <c r="D300" s="12"/>
      <c r="E300" s="12"/>
      <c r="F300" s="14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6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</row>
    <row r="301" ht="12.75" customHeight="1">
      <c r="A301" s="18"/>
      <c r="B301" s="18"/>
      <c r="C301" s="15"/>
      <c r="D301" s="12"/>
      <c r="E301" s="12"/>
      <c r="F301" s="14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6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</row>
    <row r="302" ht="12.75" customHeight="1">
      <c r="A302" s="18"/>
      <c r="B302" s="18"/>
      <c r="C302" s="15"/>
      <c r="D302" s="12"/>
      <c r="E302" s="12"/>
      <c r="F302" s="14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6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</row>
    <row r="303" ht="12.75" customHeight="1">
      <c r="A303" s="18"/>
      <c r="B303" s="18"/>
      <c r="C303" s="15"/>
      <c r="D303" s="12"/>
      <c r="E303" s="12"/>
      <c r="F303" s="14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6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</row>
    <row r="304" ht="12.75" customHeight="1">
      <c r="A304" s="18"/>
      <c r="B304" s="18"/>
      <c r="C304" s="15"/>
      <c r="D304" s="12"/>
      <c r="E304" s="12"/>
      <c r="F304" s="14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6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</row>
    <row r="305" ht="12.75" customHeight="1">
      <c r="A305" s="18"/>
      <c r="B305" s="18"/>
      <c r="C305" s="15"/>
      <c r="D305" s="12"/>
      <c r="E305" s="12"/>
      <c r="F305" s="14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6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</row>
    <row r="306" ht="12.75" customHeight="1">
      <c r="A306" s="18"/>
      <c r="B306" s="18"/>
      <c r="C306" s="15"/>
      <c r="D306" s="12"/>
      <c r="E306" s="12"/>
      <c r="F306" s="14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6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</row>
    <row r="307" ht="12.75" customHeight="1">
      <c r="A307" s="18"/>
      <c r="B307" s="18"/>
      <c r="C307" s="15"/>
      <c r="D307" s="12"/>
      <c r="E307" s="12"/>
      <c r="F307" s="14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6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</row>
    <row r="308" ht="12.75" customHeight="1">
      <c r="A308" s="18"/>
      <c r="B308" s="18"/>
      <c r="C308" s="15"/>
      <c r="D308" s="12"/>
      <c r="E308" s="12"/>
      <c r="F308" s="14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6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</row>
    <row r="309" ht="12.75" customHeight="1">
      <c r="A309" s="18"/>
      <c r="B309" s="18"/>
      <c r="C309" s="15"/>
      <c r="D309" s="12"/>
      <c r="E309" s="12"/>
      <c r="F309" s="14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6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</row>
    <row r="310" ht="12.75" customHeight="1">
      <c r="A310" s="18"/>
      <c r="B310" s="18"/>
      <c r="C310" s="15"/>
      <c r="D310" s="12"/>
      <c r="E310" s="12"/>
      <c r="F310" s="14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6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</row>
    <row r="311" ht="12.75" customHeight="1">
      <c r="A311" s="18"/>
      <c r="B311" s="18"/>
      <c r="C311" s="15"/>
      <c r="D311" s="12"/>
      <c r="E311" s="12"/>
      <c r="F311" s="14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6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13"/>
    <col customWidth="1" min="2" max="2" width="56.0"/>
    <col customWidth="1" min="3" max="3" width="34.25"/>
    <col customWidth="1" min="4" max="4" width="33.5"/>
    <col customWidth="1" min="5" max="5" width="37.0"/>
    <col customWidth="1" min="6" max="6" width="32.88"/>
    <col customWidth="1" min="7" max="7" width="31.38"/>
    <col customWidth="1" min="8" max="24" width="12.38"/>
    <col customWidth="1" min="25" max="26" width="13.0"/>
  </cols>
  <sheetData>
    <row r="1" ht="12.75" customHeight="1">
      <c r="A1" s="69" t="s">
        <v>384</v>
      </c>
      <c r="B1" s="69" t="s">
        <v>1</v>
      </c>
      <c r="C1" s="70" t="s">
        <v>2</v>
      </c>
      <c r="D1" s="71" t="s">
        <v>3</v>
      </c>
      <c r="E1" s="70" t="s">
        <v>4</v>
      </c>
      <c r="F1" s="72" t="s">
        <v>5</v>
      </c>
      <c r="G1" s="72" t="s">
        <v>6</v>
      </c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ht="12.75" customHeight="1">
      <c r="A2" s="18"/>
      <c r="B2" s="18"/>
      <c r="C2" s="73"/>
      <c r="D2" s="74"/>
      <c r="E2" s="73"/>
      <c r="F2" s="14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ht="12.75" customHeight="1">
      <c r="A3" s="19" t="s">
        <v>385</v>
      </c>
      <c r="B3" s="19" t="s">
        <v>386</v>
      </c>
      <c r="C3" s="74" t="s">
        <v>386</v>
      </c>
      <c r="D3" s="75" t="s">
        <v>387</v>
      </c>
      <c r="E3" s="73" t="str">
        <f>IFERROR(__xludf.DUMMYFUNCTION("GOOGLETRANSLATE(D3, ""hi"", ""gu"")"),"પાણી વપરાશકારોનું સંગઠન")</f>
        <v>પાણી વપરાશકારોનું સંગઠન</v>
      </c>
      <c r="F3" s="14" t="s">
        <v>388</v>
      </c>
      <c r="G3" s="76" t="s">
        <v>389</v>
      </c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ht="12.75" customHeight="1">
      <c r="A4" s="19" t="s">
        <v>385</v>
      </c>
      <c r="B4" s="19" t="s">
        <v>390</v>
      </c>
      <c r="C4" s="74" t="s">
        <v>390</v>
      </c>
      <c r="D4" s="75" t="s">
        <v>391</v>
      </c>
      <c r="E4" s="73" t="str">
        <f>IFERROR(__xludf.DUMMYFUNCTION("GOOGLETRANSLATE(D4, ""hi"", ""gu"")"),"પડોશી ખેડૂતો")</f>
        <v>પડોશી ખેડૂતો</v>
      </c>
      <c r="F4" s="14" t="s">
        <v>392</v>
      </c>
      <c r="G4" s="76" t="s">
        <v>393</v>
      </c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ht="12.75" customHeight="1">
      <c r="A5" s="19" t="s">
        <v>385</v>
      </c>
      <c r="B5" s="34" t="s">
        <v>394</v>
      </c>
      <c r="C5" s="74" t="s">
        <v>395</v>
      </c>
      <c r="D5" s="75" t="s">
        <v>396</v>
      </c>
      <c r="E5" s="73" t="str">
        <f>IFERROR(__xludf.DUMMYFUNCTION("GOOGLETRANSLATE(D5, ""hi"", ""gu"")"),"પાણી પંચાયતો")</f>
        <v>પાણી પંચાયતો</v>
      </c>
      <c r="F5" s="14" t="s">
        <v>397</v>
      </c>
      <c r="G5" s="76" t="s">
        <v>398</v>
      </c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ht="12.75" customHeight="1">
      <c r="A6" s="19" t="s">
        <v>385</v>
      </c>
      <c r="B6" s="19" t="s">
        <v>399</v>
      </c>
      <c r="C6" s="74" t="s">
        <v>399</v>
      </c>
      <c r="D6" s="75" t="s">
        <v>400</v>
      </c>
      <c r="E6" s="73" t="s">
        <v>401</v>
      </c>
      <c r="F6" s="14" t="s">
        <v>402</v>
      </c>
      <c r="G6" s="76" t="s">
        <v>403</v>
      </c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ht="12.75" customHeight="1">
      <c r="A7" s="19" t="s">
        <v>385</v>
      </c>
      <c r="B7" s="19" t="s">
        <v>404</v>
      </c>
      <c r="C7" s="74" t="s">
        <v>404</v>
      </c>
      <c r="D7" s="75" t="s">
        <v>405</v>
      </c>
      <c r="E7" s="73" t="str">
        <f>IFERROR(__xludf.DUMMYFUNCTION("GOOGLETRANSLATE(D7, ""hi"", ""gu"")"),"કોઈ નહીં")</f>
        <v>કોઈ નહીં</v>
      </c>
      <c r="F7" s="14" t="s">
        <v>406</v>
      </c>
      <c r="G7" s="76" t="s">
        <v>407</v>
      </c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ht="12.75" customHeight="1">
      <c r="A8" s="19" t="s">
        <v>385</v>
      </c>
      <c r="B8" s="19" t="s">
        <v>408</v>
      </c>
      <c r="C8" s="74" t="s">
        <v>408</v>
      </c>
      <c r="D8" s="75" t="s">
        <v>409</v>
      </c>
      <c r="E8" s="73" t="str">
        <f>IFERROR(__xludf.DUMMYFUNCTION("GOOGLETRANSLATE(D8, ""hi"", ""gu"")"),"ખબર નથી")</f>
        <v>ખબર નથી</v>
      </c>
      <c r="F8" s="14" t="s">
        <v>410</v>
      </c>
      <c r="G8" s="76" t="s">
        <v>411</v>
      </c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ht="12.75" customHeight="1">
      <c r="A9" s="19" t="s">
        <v>385</v>
      </c>
      <c r="B9" s="19" t="s">
        <v>412</v>
      </c>
      <c r="C9" s="74" t="s">
        <v>412</v>
      </c>
      <c r="D9" s="75" t="s">
        <v>413</v>
      </c>
      <c r="E9" s="73" t="str">
        <f>IFERROR(__xludf.DUMMYFUNCTION("GOOGLETRANSLATE(D9, ""hi"", ""gu"")"),"અન્ય")</f>
        <v>અન્ય</v>
      </c>
      <c r="F9" s="14" t="s">
        <v>414</v>
      </c>
      <c r="G9" s="76" t="s">
        <v>415</v>
      </c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ht="12.75" customHeight="1">
      <c r="A10" s="18"/>
      <c r="B10" s="18"/>
      <c r="C10" s="73"/>
      <c r="D10" s="74"/>
      <c r="E10" s="73"/>
      <c r="F10" s="14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ht="12.75" customHeight="1">
      <c r="A11" s="19" t="s">
        <v>416</v>
      </c>
      <c r="B11" s="19" t="s">
        <v>417</v>
      </c>
      <c r="C11" s="74" t="s">
        <v>417</v>
      </c>
      <c r="D11" s="75" t="s">
        <v>418</v>
      </c>
      <c r="E11" s="73" t="str">
        <f>IFERROR(__xludf.DUMMYFUNCTION("GOOGLETRANSLATE(D11, ""hi"", ""gu"")"),"જાહેર")</f>
        <v>જાહેર</v>
      </c>
      <c r="F11" s="14" t="s">
        <v>419</v>
      </c>
      <c r="G11" s="76" t="s">
        <v>420</v>
      </c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ht="12.75" customHeight="1">
      <c r="A12" s="19" t="s">
        <v>416</v>
      </c>
      <c r="B12" s="19" t="s">
        <v>421</v>
      </c>
      <c r="C12" s="74" t="s">
        <v>421</v>
      </c>
      <c r="D12" s="75" t="s">
        <v>422</v>
      </c>
      <c r="E12" s="73" t="str">
        <f>IFERROR(__xludf.DUMMYFUNCTION("GOOGLETRANSLATE(D12, ""hi"", ""gu"")"),"વ્યક્તિગત")</f>
        <v>વ્યક્તિગત</v>
      </c>
      <c r="F12" s="14" t="s">
        <v>423</v>
      </c>
      <c r="G12" s="76" t="s">
        <v>424</v>
      </c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ht="12.75" customHeight="1">
      <c r="A13" s="19" t="s">
        <v>416</v>
      </c>
      <c r="B13" s="19" t="s">
        <v>425</v>
      </c>
      <c r="C13" s="74" t="s">
        <v>425</v>
      </c>
      <c r="D13" s="75" t="s">
        <v>426</v>
      </c>
      <c r="E13" s="73" t="str">
        <f>IFERROR(__xludf.DUMMYFUNCTION("GOOGLETRANSLATE(D13, ""hi"", ""gu"")"),"પરિવારો વચ્ચે વહેંચાયેલું")</f>
        <v>પરિવારો વચ્ચે વહેંચાયેલું</v>
      </c>
      <c r="F13" s="14" t="s">
        <v>427</v>
      </c>
      <c r="G13" s="76" t="s">
        <v>428</v>
      </c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ht="12.75" customHeight="1">
      <c r="A14" s="19" t="s">
        <v>416</v>
      </c>
      <c r="B14" s="19" t="s">
        <v>408</v>
      </c>
      <c r="C14" s="74" t="s">
        <v>408</v>
      </c>
      <c r="D14" s="74" t="s">
        <v>409</v>
      </c>
      <c r="E14" s="73" t="str">
        <f>IFERROR(__xludf.DUMMYFUNCTION("GOOGLETRANSLATE(D14, ""hi"", ""gu"")"),"ખબર નથી")</f>
        <v>ખબર નથી</v>
      </c>
      <c r="F14" s="14" t="s">
        <v>410</v>
      </c>
      <c r="G14" s="76" t="s">
        <v>411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ht="12.75" customHeight="1">
      <c r="A15" s="19" t="s">
        <v>416</v>
      </c>
      <c r="B15" s="19" t="s">
        <v>429</v>
      </c>
      <c r="C15" s="74" t="s">
        <v>429</v>
      </c>
      <c r="D15" s="74" t="s">
        <v>430</v>
      </c>
      <c r="E15" s="73" t="str">
        <f>IFERROR(__xludf.DUMMYFUNCTION("GOOGLETRANSLATE(D15, ""hi"", ""gu"")"),"બીજું કોઈ")</f>
        <v>બીજું કોઈ</v>
      </c>
      <c r="F15" s="14" t="s">
        <v>431</v>
      </c>
      <c r="G15" s="76" t="s">
        <v>415</v>
      </c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ht="12.75" customHeight="1">
      <c r="A16" s="18"/>
      <c r="B16" s="18"/>
      <c r="C16" s="73"/>
      <c r="D16" s="74"/>
      <c r="E16" s="73"/>
      <c r="F16" s="14"/>
      <c r="G16" s="76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ht="12.75" customHeight="1">
      <c r="A17" s="19" t="s">
        <v>432</v>
      </c>
      <c r="B17" s="19" t="s">
        <v>433</v>
      </c>
      <c r="C17" s="74" t="s">
        <v>433</v>
      </c>
      <c r="D17" s="75" t="s">
        <v>434</v>
      </c>
      <c r="E17" s="73" t="str">
        <f>IFERROR(__xludf.DUMMYFUNCTION("GOOGLETRANSLATE(D17, ""hi"", ""gu"")"),"સામાન્ય શ્રેણી")</f>
        <v>સામાન્ય શ્રેણી</v>
      </c>
      <c r="F17" s="14" t="s">
        <v>435</v>
      </c>
      <c r="G17" s="76" t="s">
        <v>436</v>
      </c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ht="12.75" customHeight="1">
      <c r="A18" s="19" t="s">
        <v>432</v>
      </c>
      <c r="B18" s="19" t="s">
        <v>437</v>
      </c>
      <c r="C18" s="74" t="s">
        <v>437</v>
      </c>
      <c r="D18" s="75" t="s">
        <v>438</v>
      </c>
      <c r="E18" s="73" t="str">
        <f>IFERROR(__xludf.DUMMYFUNCTION("GOOGLETRANSLATE(D18, ""hi"", ""gu"")"),"અનુસૂચિત જાતિ શ્રેણી")</f>
        <v>અનુસૂચિત જાતિ શ્રેણી</v>
      </c>
      <c r="F18" s="14" t="s">
        <v>437</v>
      </c>
      <c r="G18" s="76" t="s">
        <v>439</v>
      </c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ht="12.75" customHeight="1">
      <c r="A19" s="19" t="s">
        <v>432</v>
      </c>
      <c r="B19" s="19" t="s">
        <v>440</v>
      </c>
      <c r="C19" s="74" t="s">
        <v>440</v>
      </c>
      <c r="D19" s="75" t="s">
        <v>441</v>
      </c>
      <c r="E19" s="73" t="str">
        <f>IFERROR(__xludf.DUMMYFUNCTION("GOOGLETRANSLATE(D19, ""hi"", ""gu"")"),"અનુસૂચિત જનજાતિ શ્રેણી")</f>
        <v>અનુસૂચિત જનજાતિ શ્રેણી</v>
      </c>
      <c r="F19" s="14" t="s">
        <v>440</v>
      </c>
      <c r="G19" s="76" t="s">
        <v>442</v>
      </c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ht="12.75" customHeight="1">
      <c r="A20" s="19" t="s">
        <v>432</v>
      </c>
      <c r="B20" s="19" t="s">
        <v>443</v>
      </c>
      <c r="C20" s="74" t="s">
        <v>444</v>
      </c>
      <c r="D20" s="75" t="s">
        <v>445</v>
      </c>
      <c r="E20" s="73" t="str">
        <f>IFERROR(__xludf.DUMMYFUNCTION("GOOGLETRANSLATE(D20, ""hi"", ""gu"")"),"અન્ય પછાત વર્ગો")</f>
        <v>અન્ય પછાત વર્ગો</v>
      </c>
      <c r="F20" s="14" t="s">
        <v>446</v>
      </c>
      <c r="G20" s="76" t="s">
        <v>447</v>
      </c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ht="12.75" customHeight="1">
      <c r="A21" s="18"/>
      <c r="B21" s="18"/>
      <c r="C21" s="73"/>
      <c r="D21" s="74"/>
      <c r="E21" s="73"/>
      <c r="F21" s="14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ht="12.75" customHeight="1">
      <c r="A22" s="19" t="s">
        <v>448</v>
      </c>
      <c r="B22" s="19" t="s">
        <v>449</v>
      </c>
      <c r="C22" s="74" t="s">
        <v>449</v>
      </c>
      <c r="D22" s="75" t="s">
        <v>450</v>
      </c>
      <c r="E22" s="73" t="str">
        <f>IFERROR(__xludf.DUMMYFUNCTION("GOOGLETRANSLATE(D22, ""hi"", ""gu"")"),"હા")</f>
        <v>હા</v>
      </c>
      <c r="F22" s="14" t="s">
        <v>451</v>
      </c>
      <c r="G22" s="76" t="s">
        <v>452</v>
      </c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ht="12.75" customHeight="1">
      <c r="A23" s="19" t="s">
        <v>448</v>
      </c>
      <c r="B23" s="19" t="s">
        <v>453</v>
      </c>
      <c r="C23" s="74" t="s">
        <v>453</v>
      </c>
      <c r="D23" s="75" t="s">
        <v>454</v>
      </c>
      <c r="E23" s="73" t="str">
        <f>IFERROR(__xludf.DUMMYFUNCTION("GOOGLETRANSLATE(D23, ""hi"", ""gu"")"),"ના")</f>
        <v>ના</v>
      </c>
      <c r="F23" s="14" t="s">
        <v>455</v>
      </c>
      <c r="G23" s="76" t="s">
        <v>456</v>
      </c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ht="12.75" customHeight="1">
      <c r="A24" s="18"/>
      <c r="B24" s="18"/>
      <c r="C24" s="73"/>
      <c r="D24" s="74"/>
      <c r="E24" s="73"/>
      <c r="F24" s="14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ht="12.75" customHeight="1">
      <c r="A25" s="18"/>
      <c r="B25" s="18"/>
      <c r="C25" s="73"/>
      <c r="D25" s="74"/>
      <c r="E25" s="73"/>
      <c r="F25" s="14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12.75" customHeight="1">
      <c r="A26" s="19" t="s">
        <v>457</v>
      </c>
      <c r="B26" s="19" t="s">
        <v>458</v>
      </c>
      <c r="C26" s="74" t="s">
        <v>459</v>
      </c>
      <c r="D26" s="75" t="s">
        <v>460</v>
      </c>
      <c r="E26" s="73" t="str">
        <f>IFERROR(__xludf.DUMMYFUNCTION("GOOGLETRANSLATE(D26, ""hi"", ""gu"")"),"ઉપગ્રહ છબી")</f>
        <v>ઉપગ્રહ છબી</v>
      </c>
      <c r="F26" s="14" t="s">
        <v>461</v>
      </c>
      <c r="G26" s="33" t="s">
        <v>462</v>
      </c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12.75" customHeight="1">
      <c r="A27" s="19" t="s">
        <v>457</v>
      </c>
      <c r="B27" s="19" t="s">
        <v>463</v>
      </c>
      <c r="C27" s="74" t="s">
        <v>464</v>
      </c>
      <c r="D27" s="75" t="s">
        <v>465</v>
      </c>
      <c r="E27" s="73" t="str">
        <f>IFERROR(__xludf.DUMMYFUNCTION("GOOGLETRANSLATE(D27, ""hi"", ""gu"")"),"વપરાશકર્તા દ્વારા ચિહ્નિત")</f>
        <v>વપરાશકર્તા દ્વારા ચિહ્નિત</v>
      </c>
      <c r="F27" s="14" t="s">
        <v>466</v>
      </c>
      <c r="G27" s="33" t="s">
        <v>467</v>
      </c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12.75" customHeight="1">
      <c r="A28" s="18"/>
      <c r="B28" s="18"/>
      <c r="C28" s="73"/>
      <c r="D28" s="74"/>
      <c r="E28" s="73"/>
      <c r="F28" s="14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ht="12.75" customHeight="1">
      <c r="A29" s="19" t="s">
        <v>468</v>
      </c>
      <c r="B29" s="22" t="s">
        <v>469</v>
      </c>
      <c r="C29" s="75" t="s">
        <v>469</v>
      </c>
      <c r="D29" s="75" t="s">
        <v>470</v>
      </c>
      <c r="E29" s="73" t="str">
        <f>IFERROR(__xludf.DUMMYFUNCTION("GOOGLETRANSLATE(D29, ""hi"", ""gu"")"),"મનરેગા")</f>
        <v>મનરેગા</v>
      </c>
      <c r="F29" s="14" t="s">
        <v>469</v>
      </c>
      <c r="G29" s="76" t="s">
        <v>471</v>
      </c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ht="12.75" customHeight="1">
      <c r="A30" s="19" t="s">
        <v>468</v>
      </c>
      <c r="B30" s="22" t="s">
        <v>472</v>
      </c>
      <c r="C30" s="75" t="s">
        <v>472</v>
      </c>
      <c r="D30" s="75" t="s">
        <v>473</v>
      </c>
      <c r="E30" s="73" t="str">
        <f>IFERROR(__xludf.DUMMYFUNCTION("GOOGLETRANSLATE(D30, ""hi"", ""gu"")"),"પીએમ-કુસુમ")</f>
        <v>પીએમ-કુસુમ</v>
      </c>
      <c r="F30" s="14" t="s">
        <v>474</v>
      </c>
      <c r="G30" s="76" t="s">
        <v>475</v>
      </c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ht="12.75" customHeight="1">
      <c r="A31" s="19" t="s">
        <v>468</v>
      </c>
      <c r="B31" s="22" t="s">
        <v>476</v>
      </c>
      <c r="C31" s="75" t="s">
        <v>476</v>
      </c>
      <c r="D31" s="75" t="s">
        <v>477</v>
      </c>
      <c r="E31" s="73" t="str">
        <f>IFERROR(__xludf.DUMMYFUNCTION("GOOGLETRANSLATE(D31, ""hi"", ""gu"")"),"પીએમજીએસવાય")</f>
        <v>પીએમજીએસવાય</v>
      </c>
      <c r="F31" s="14" t="s">
        <v>478</v>
      </c>
      <c r="G31" s="76" t="s">
        <v>479</v>
      </c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ht="12.75" customHeight="1">
      <c r="A32" s="19" t="s">
        <v>468</v>
      </c>
      <c r="B32" s="22" t="s">
        <v>480</v>
      </c>
      <c r="C32" s="75" t="s">
        <v>480</v>
      </c>
      <c r="D32" s="75" t="s">
        <v>481</v>
      </c>
      <c r="E32" s="73" t="str">
        <f>IFERROR(__xludf.DUMMYFUNCTION("GOOGLETRANSLATE(D32, ""hi"", ""gu"")"),"એનઆરએલએમ")</f>
        <v>એનઆરએલએમ</v>
      </c>
      <c r="F32" s="14" t="s">
        <v>480</v>
      </c>
      <c r="G32" s="76" t="s">
        <v>482</v>
      </c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ht="12.75" customHeight="1">
      <c r="A33" s="19" t="s">
        <v>468</v>
      </c>
      <c r="B33" s="22" t="s">
        <v>483</v>
      </c>
      <c r="C33" s="75" t="s">
        <v>483</v>
      </c>
      <c r="D33" s="75" t="s">
        <v>484</v>
      </c>
      <c r="E33" s="73" t="str">
        <f>IFERROR(__xludf.DUMMYFUNCTION("GOOGLETRANSLATE(D33, ""hi"", ""gu"")"),"પોતાના ખર્ચ")</f>
        <v>પોતાના ખર્ચ</v>
      </c>
      <c r="F33" s="14" t="s">
        <v>485</v>
      </c>
      <c r="G33" s="76" t="s">
        <v>486</v>
      </c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ht="12.75" customHeight="1">
      <c r="A34" s="19" t="s">
        <v>468</v>
      </c>
      <c r="B34" s="22" t="s">
        <v>487</v>
      </c>
      <c r="C34" s="75" t="s">
        <v>487</v>
      </c>
      <c r="D34" s="75" t="s">
        <v>409</v>
      </c>
      <c r="E34" s="73" t="s">
        <v>488</v>
      </c>
      <c r="F34" s="14" t="s">
        <v>410</v>
      </c>
      <c r="G34" s="76" t="s">
        <v>411</v>
      </c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ht="12.75" customHeight="1">
      <c r="A35" s="19"/>
      <c r="B35" s="22"/>
      <c r="C35" s="75"/>
      <c r="D35" s="74"/>
      <c r="E35" s="73"/>
      <c r="F35" s="77"/>
      <c r="G35" s="76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12.75" customHeight="1">
      <c r="A36" s="19" t="s">
        <v>489</v>
      </c>
      <c r="B36" s="78" t="s">
        <v>490</v>
      </c>
      <c r="C36" s="75" t="s">
        <v>491</v>
      </c>
      <c r="D36" s="75" t="s">
        <v>492</v>
      </c>
      <c r="E36" s="73" t="str">
        <f>IFERROR(__xludf.DUMMYFUNCTION("GOOGLETRANSLATE(D36, ""hi"", ""gu"")"),"ખેત તળાવ")</f>
        <v>ખેત તળાવ</v>
      </c>
      <c r="F36" s="14" t="s">
        <v>493</v>
      </c>
      <c r="G36" s="76" t="s">
        <v>494</v>
      </c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2.75" customHeight="1">
      <c r="A37" s="19" t="s">
        <v>489</v>
      </c>
      <c r="B37" s="78" t="s">
        <v>495</v>
      </c>
      <c r="C37" s="75" t="s">
        <v>495</v>
      </c>
      <c r="D37" s="75" t="s">
        <v>496</v>
      </c>
      <c r="E37" s="73" t="str">
        <f>IFERROR(__xludf.DUMMYFUNCTION("GOOGLETRANSLATE(D37, ""hi"", ""gu"")"),"સામુદાયિક તળાવ")</f>
        <v>સામુદાયિક તળાવ</v>
      </c>
      <c r="F37" s="14" t="s">
        <v>497</v>
      </c>
      <c r="G37" s="76" t="s">
        <v>498</v>
      </c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2.75" customHeight="1">
      <c r="A38" s="19" t="s">
        <v>489</v>
      </c>
      <c r="B38" s="78" t="s">
        <v>499</v>
      </c>
      <c r="C38" s="75" t="s">
        <v>499</v>
      </c>
      <c r="D38" s="75" t="s">
        <v>500</v>
      </c>
      <c r="E38" s="73" t="str">
        <f>IFERROR(__xludf.DUMMYFUNCTION("GOOGLETRANSLATE(D38, ""hi"", ""gu"")"),"વિશાળ પાણીનો સ્ત્રોત")</f>
        <v>વિશાળ પાણીનો સ્ત્રોત</v>
      </c>
      <c r="F38" s="14" t="s">
        <v>501</v>
      </c>
      <c r="G38" s="76" t="s">
        <v>502</v>
      </c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12.75" customHeight="1">
      <c r="A39" s="19" t="s">
        <v>489</v>
      </c>
      <c r="B39" s="78" t="s">
        <v>503</v>
      </c>
      <c r="C39" s="75" t="s">
        <v>503</v>
      </c>
      <c r="D39" s="75" t="s">
        <v>504</v>
      </c>
      <c r="E39" s="73" t="str">
        <f>IFERROR(__xludf.DUMMYFUNCTION("GOOGLETRANSLATE(D39, ""hi"", ""gu"")"),"ચેનલ")</f>
        <v>ચેનલ</v>
      </c>
      <c r="F39" s="14" t="s">
        <v>505</v>
      </c>
      <c r="G39" s="76" t="s">
        <v>506</v>
      </c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2.75" customHeight="1">
      <c r="A40" s="19" t="s">
        <v>489</v>
      </c>
      <c r="B40" s="78" t="s">
        <v>507</v>
      </c>
      <c r="C40" s="75" t="s">
        <v>507</v>
      </c>
      <c r="D40" s="75" t="s">
        <v>508</v>
      </c>
      <c r="E40" s="73" t="str">
        <f>IFERROR(__xludf.DUMMYFUNCTION("GOOGLETRANSLATE(D40, ""hi"", ""gu"")"),"ચેક ડેમ")</f>
        <v>ચેક ડેમ</v>
      </c>
      <c r="F40" s="14" t="s">
        <v>509</v>
      </c>
      <c r="G40" s="76" t="s">
        <v>510</v>
      </c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2.75" customHeight="1">
      <c r="A41" s="19" t="s">
        <v>489</v>
      </c>
      <c r="B41" s="78" t="s">
        <v>511</v>
      </c>
      <c r="C41" s="75" t="s">
        <v>511</v>
      </c>
      <c r="D41" s="75" t="s">
        <v>512</v>
      </c>
      <c r="E41" s="73" t="str">
        <f>IFERROR(__xludf.DUMMYFUNCTION("GOOGLETRANSLATE(D41, ""hi"", ""gu"")"),"પરકોલેશન ટાંકી")</f>
        <v>પરકોલેશન ટાંકી</v>
      </c>
      <c r="F41" s="14" t="s">
        <v>513</v>
      </c>
      <c r="G41" s="76" t="s">
        <v>514</v>
      </c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ht="12.75" customHeight="1">
      <c r="A42" s="19" t="s">
        <v>489</v>
      </c>
      <c r="B42" s="78" t="s">
        <v>515</v>
      </c>
      <c r="C42" s="75" t="s">
        <v>515</v>
      </c>
      <c r="D42" s="75" t="s">
        <v>516</v>
      </c>
      <c r="E42" s="73" t="str">
        <f>IFERROR(__xludf.DUMMYFUNCTION("GOOGLETRANSLATE(D42, ""hi"", ""gu"")"),"માટીનું ગલી પ્લગ")</f>
        <v>માટીનું ગલી પ્લગ</v>
      </c>
      <c r="F42" s="14" t="s">
        <v>517</v>
      </c>
      <c r="G42" s="76" t="s">
        <v>518</v>
      </c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ht="12.75" customHeight="1">
      <c r="A43" s="19" t="s">
        <v>489</v>
      </c>
      <c r="B43" s="78" t="s">
        <v>519</v>
      </c>
      <c r="C43" s="75" t="s">
        <v>519</v>
      </c>
      <c r="D43" s="75" t="s">
        <v>520</v>
      </c>
      <c r="E43" s="73" t="str">
        <f>IFERROR(__xludf.DUMMYFUNCTION("GOOGLETRANSLATE(D43, ""hi"", ""gu"")"),"ડ્રેઇન/સોક ડ્રેઇન")</f>
        <v>ડ્રેઇન/સોક ડ્રેઇન</v>
      </c>
      <c r="F43" s="14" t="s">
        <v>521</v>
      </c>
      <c r="G43" s="76" t="s">
        <v>522</v>
      </c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2.75" customHeight="1">
      <c r="A44" s="19" t="s">
        <v>489</v>
      </c>
      <c r="B44" s="78" t="s">
        <v>523</v>
      </c>
      <c r="C44" s="75" t="s">
        <v>523</v>
      </c>
      <c r="D44" s="75" t="s">
        <v>524</v>
      </c>
      <c r="E44" s="73" t="str">
        <f>IFERROR(__xludf.DUMMYFUNCTION("GOOGLETRANSLATE(D44, ""hi"", ""gu"")"),"રિચાર્જ ખાડાઓ")</f>
        <v>રિચાર્જ ખાડાઓ</v>
      </c>
      <c r="F44" s="14" t="s">
        <v>525</v>
      </c>
      <c r="G44" s="76" t="s">
        <v>526</v>
      </c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2.75" customHeight="1">
      <c r="A45" s="19" t="s">
        <v>489</v>
      </c>
      <c r="B45" s="78" t="s">
        <v>527</v>
      </c>
      <c r="C45" s="75" t="s">
        <v>527</v>
      </c>
      <c r="D45" s="75" t="s">
        <v>528</v>
      </c>
      <c r="E45" s="73" t="str">
        <f>IFERROR(__xludf.DUMMYFUNCTION("GOOGLETRANSLATE(D45, ""hi"", ""gu"")"),"ખાડો")</f>
        <v>ખાડો</v>
      </c>
      <c r="F45" s="14" t="s">
        <v>529</v>
      </c>
      <c r="G45" s="76" t="s">
        <v>530</v>
      </c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2.75" customHeight="1">
      <c r="A46" s="19" t="s">
        <v>489</v>
      </c>
      <c r="B46" s="78" t="s">
        <v>531</v>
      </c>
      <c r="C46" s="75" t="s">
        <v>531</v>
      </c>
      <c r="D46" s="75" t="s">
        <v>532</v>
      </c>
      <c r="E46" s="73" t="str">
        <f>IFERROR(__xludf.DUMMYFUNCTION("GOOGLETRANSLATE(D46, ""hi"", ""gu"")"),"ખાઈ/બંધ")</f>
        <v>ખાઈ/બંધ</v>
      </c>
      <c r="F46" s="14" t="s">
        <v>533</v>
      </c>
      <c r="G46" s="76" t="s">
        <v>534</v>
      </c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2.75" customHeight="1">
      <c r="A47" s="19" t="s">
        <v>489</v>
      </c>
      <c r="B47" s="78" t="s">
        <v>535</v>
      </c>
      <c r="C47" s="75" t="s">
        <v>535</v>
      </c>
      <c r="D47" s="75" t="s">
        <v>536</v>
      </c>
      <c r="E47" s="73" t="str">
        <f>IFERROR(__xludf.DUMMYFUNCTION("GOOGLETRANSLATE(D47, ""hi"", ""gu"")"),"સતત કોન્ટૂર ટ્રેન્ચ (CCT)")</f>
        <v>સતત કોન્ટૂર ટ્રેન્ચ (CCT)</v>
      </c>
      <c r="F47" s="14" t="s">
        <v>537</v>
      </c>
      <c r="G47" s="76" t="s">
        <v>538</v>
      </c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2.75" customHeight="1">
      <c r="A48" s="19" t="s">
        <v>489</v>
      </c>
      <c r="B48" s="78" t="s">
        <v>539</v>
      </c>
      <c r="C48" s="75" t="s">
        <v>540</v>
      </c>
      <c r="D48" s="75" t="s">
        <v>541</v>
      </c>
      <c r="E48" s="73" t="str">
        <f>IFERROR(__xludf.DUMMYFUNCTION("GOOGLETRANSLATE(D48, ""hi"", ""gu"")"),"સ્ટેગર્ડ કોન્ટૂર ટ્રેન્ચ (SCT)")</f>
        <v>સ્ટેગર્ડ કોન્ટૂર ટ્રેન્ચ (SCT)</v>
      </c>
      <c r="F48" s="14" t="s">
        <v>542</v>
      </c>
      <c r="G48" s="76" t="s">
        <v>543</v>
      </c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2.75" customHeight="1">
      <c r="A49" s="19" t="s">
        <v>489</v>
      </c>
      <c r="B49" s="78" t="s">
        <v>544</v>
      </c>
      <c r="C49" s="75" t="s">
        <v>545</v>
      </c>
      <c r="D49" s="75" t="s">
        <v>546</v>
      </c>
      <c r="E49" s="73" t="str">
        <f>IFERROR(__xludf.DUMMYFUNCTION("GOOGLETRANSLATE(D49, ""hi"", ""gu"")"),"વોટર ઓબ્સ્ક્યુરેશન ટ્રેન્ચ (WAT)")</f>
        <v>વોટર ઓબ્સ્ક્યુરેશન ટ્રેન્ચ (WAT)</v>
      </c>
      <c r="F49" s="14" t="s">
        <v>547</v>
      </c>
      <c r="G49" s="76" t="s">
        <v>548</v>
      </c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2.75" customHeight="1">
      <c r="A50" s="19" t="s">
        <v>489</v>
      </c>
      <c r="B50" s="78" t="s">
        <v>549</v>
      </c>
      <c r="C50" s="75" t="s">
        <v>549</v>
      </c>
      <c r="D50" s="75" t="s">
        <v>550</v>
      </c>
      <c r="E50" s="73" t="str">
        <f>IFERROR(__xludf.DUMMYFUNCTION("GOOGLETRANSLATE(D50, ""hi"", ""gu"")"),"છૂટા પથ્થરના માળખાં")</f>
        <v>છૂટા પથ્થરના માળખાં</v>
      </c>
      <c r="F50" s="14" t="s">
        <v>551</v>
      </c>
      <c r="G50" s="76" t="s">
        <v>552</v>
      </c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2.75" customHeight="1">
      <c r="A51" s="19" t="s">
        <v>489</v>
      </c>
      <c r="B51" s="78" t="s">
        <v>553</v>
      </c>
      <c r="C51" s="75" t="s">
        <v>553</v>
      </c>
      <c r="D51" s="75" t="s">
        <v>554</v>
      </c>
      <c r="E51" s="73" t="str">
        <f>IFERROR(__xludf.DUMMYFUNCTION("GOOGLETRANSLATE(D51, ""hi"", ""gu"")"),"રોકફિલ ડેમ")</f>
        <v>રોકફિલ ડેમ</v>
      </c>
      <c r="F51" s="14" t="s">
        <v>555</v>
      </c>
      <c r="G51" s="76" t="s">
        <v>556</v>
      </c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2.75" customHeight="1">
      <c r="A52" s="19" t="s">
        <v>489</v>
      </c>
      <c r="B52" s="78" t="s">
        <v>557</v>
      </c>
      <c r="C52" s="75" t="s">
        <v>557</v>
      </c>
      <c r="D52" s="75" t="s">
        <v>558</v>
      </c>
      <c r="E52" s="73" t="str">
        <f>IFERROR(__xludf.DUMMYFUNCTION("GOOGLETRANSLATE(D52, ""hi"", ""gu"")"),"પથ્થર બંધન")</f>
        <v>પથ્થર બંધન</v>
      </c>
      <c r="F52" s="14" t="s">
        <v>559</v>
      </c>
      <c r="G52" s="76" t="s">
        <v>560</v>
      </c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2.75" customHeight="1">
      <c r="A53" s="19" t="s">
        <v>489</v>
      </c>
      <c r="B53" s="78" t="s">
        <v>561</v>
      </c>
      <c r="C53" s="75" t="s">
        <v>561</v>
      </c>
      <c r="D53" s="75" t="s">
        <v>562</v>
      </c>
      <c r="E53" s="73" t="str">
        <f>IFERROR(__xludf.DUMMYFUNCTION("GOOGLETRANSLATE(D53, ""hi"", ""gu"")"),"ડાયવર્ઝન ડ્રેઇન")</f>
        <v>ડાયવર્ઝન ડ્રેઇન</v>
      </c>
      <c r="F53" s="14" t="s">
        <v>563</v>
      </c>
      <c r="G53" s="76" t="s">
        <v>564</v>
      </c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2.75" customHeight="1">
      <c r="A54" s="19" t="s">
        <v>489</v>
      </c>
      <c r="B54" s="78" t="s">
        <v>565</v>
      </c>
      <c r="C54" s="75" t="s">
        <v>565</v>
      </c>
      <c r="D54" s="75" t="s">
        <v>566</v>
      </c>
      <c r="E54" s="73" t="str">
        <f>IFERROR(__xludf.DUMMYFUNCTION("GOOGLETRANSLATE(D54, ""hi"", ""gu"")"),"બંધન: કોન્ટૂર બંધ/ગ્રેડેડ બંધ")</f>
        <v>બંધન: કોન્ટૂર બંધ/ગ્રેડેડ બંધ</v>
      </c>
      <c r="F54" s="14" t="s">
        <v>567</v>
      </c>
      <c r="G54" s="76" t="s">
        <v>568</v>
      </c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2.75" customHeight="1">
      <c r="A55" s="19" t="s">
        <v>489</v>
      </c>
      <c r="B55" s="78" t="s">
        <v>569</v>
      </c>
      <c r="C55" s="75" t="s">
        <v>569</v>
      </c>
      <c r="D55" s="75" t="s">
        <v>570</v>
      </c>
      <c r="E55" s="73" t="str">
        <f>IFERROR(__xludf.DUMMYFUNCTION("GOOGLETRANSLATE(D55, ""hi"", ""gu"")"),"ખેતરની સીમા")</f>
        <v>ખેતરની સીમા</v>
      </c>
      <c r="F55" s="14" t="s">
        <v>571</v>
      </c>
      <c r="G55" s="76" t="s">
        <v>572</v>
      </c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2.75" customHeight="1">
      <c r="A56" s="19" t="s">
        <v>489</v>
      </c>
      <c r="B56" s="78" t="s">
        <v>573</v>
      </c>
      <c r="C56" s="75" t="s">
        <v>573</v>
      </c>
      <c r="D56" s="75" t="s">
        <v>574</v>
      </c>
      <c r="E56" s="73" t="str">
        <f>IFERROR(__xludf.DUMMYFUNCTION("GOOGLETRANSLATE(D56, ""hi"", ""gu"")"),"૫% મોડેલ સ્ટ્રક્ચર")</f>
        <v>૫% મોડેલ સ્ટ્રક્ચર</v>
      </c>
      <c r="F56" s="14" t="s">
        <v>575</v>
      </c>
      <c r="G56" s="76" t="s">
        <v>576</v>
      </c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2.75" customHeight="1">
      <c r="A57" s="19" t="s">
        <v>489</v>
      </c>
      <c r="B57" s="78" t="s">
        <v>577</v>
      </c>
      <c r="C57" s="75" t="s">
        <v>577</v>
      </c>
      <c r="D57" s="75" t="s">
        <v>578</v>
      </c>
      <c r="E57" s="73" t="str">
        <f>IFERROR(__xludf.DUMMYFUNCTION("GOOGLETRANSLATE(D57, ""hi"", ""gu"")"),"૩૦-૪૦ મોડેલ સ્ટ્રક્ચર્સ")</f>
        <v>૩૦-૪૦ મોડેલ સ્ટ્રક્ચર્સ</v>
      </c>
      <c r="F57" s="14" t="s">
        <v>579</v>
      </c>
      <c r="G57" s="76" t="s">
        <v>580</v>
      </c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2.75" customHeight="1">
      <c r="A58" s="18"/>
      <c r="B58" s="22"/>
      <c r="C58" s="73"/>
      <c r="D58" s="74"/>
      <c r="E58" s="73"/>
      <c r="F58" s="14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2.75" customHeight="1">
      <c r="A59" s="19" t="s">
        <v>581</v>
      </c>
      <c r="B59" s="22" t="s">
        <v>582</v>
      </c>
      <c r="C59" s="75" t="s">
        <v>583</v>
      </c>
      <c r="D59" s="79" t="s">
        <v>584</v>
      </c>
      <c r="E59" s="73" t="str">
        <f>IFERROR(__xludf.DUMMYFUNCTION("GOOGLETRANSLATE(D59, ""hi"", ""gu"")"),"ડી સિટલિંગ")</f>
        <v>ડી સિટલિંગ</v>
      </c>
      <c r="F59" s="14" t="s">
        <v>585</v>
      </c>
      <c r="G59" s="76" t="s">
        <v>586</v>
      </c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2.75" customHeight="1">
      <c r="A60" s="19" t="s">
        <v>581</v>
      </c>
      <c r="B60" s="22" t="s">
        <v>587</v>
      </c>
      <c r="C60" s="75" t="s">
        <v>588</v>
      </c>
      <c r="D60" s="75" t="s">
        <v>589</v>
      </c>
      <c r="E60" s="73" t="str">
        <f>IFERROR(__xludf.DUMMYFUNCTION("GOOGLETRANSLATE(D60, ""hi"", ""gu"")"),"પાળાઓમાં તિરાડો અથવા તૂટનું સમારકામ")</f>
        <v>પાળાઓમાં તિરાડો અથવા તૂટનું સમારકામ</v>
      </c>
      <c r="F60" s="14" t="s">
        <v>590</v>
      </c>
      <c r="G60" s="76" t="s">
        <v>591</v>
      </c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2.75" customHeight="1">
      <c r="A61" s="19" t="s">
        <v>581</v>
      </c>
      <c r="B61" s="22" t="s">
        <v>592</v>
      </c>
      <c r="C61" s="75" t="s">
        <v>593</v>
      </c>
      <c r="D61" s="75" t="s">
        <v>594</v>
      </c>
      <c r="E61" s="73" t="str">
        <f>IFERROR(__xludf.DUMMYFUNCTION("GOOGLETRANSLATE(D61, ""hi"", ""gu"")"),"તળાવના તળિયામાં લીકેજ અથવા સિપેજનું નિયંત્રણ")</f>
        <v>તળાવના તળિયામાં લીકેજ અથવા સિપેજનું નિયંત્રણ</v>
      </c>
      <c r="F61" s="14" t="s">
        <v>595</v>
      </c>
      <c r="G61" s="76" t="s">
        <v>596</v>
      </c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2.75" customHeight="1">
      <c r="A62" s="19" t="s">
        <v>581</v>
      </c>
      <c r="B62" s="22" t="s">
        <v>597</v>
      </c>
      <c r="C62" s="75" t="s">
        <v>598</v>
      </c>
      <c r="D62" s="75" t="s">
        <v>599</v>
      </c>
      <c r="E62" s="73" t="str">
        <f>IFERROR(__xludf.DUMMYFUNCTION("GOOGLETRANSLATE(D62, ""hi"", ""gu"")"),"પાળા પર ધોવાણ નિયંત્રણ")</f>
        <v>પાળા પર ધોવાણ નિયંત્રણ</v>
      </c>
      <c r="F62" s="14" t="s">
        <v>600</v>
      </c>
      <c r="G62" s="76" t="s">
        <v>601</v>
      </c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24.75" customHeight="1">
      <c r="A63" s="19" t="s">
        <v>581</v>
      </c>
      <c r="B63" s="22" t="s">
        <v>602</v>
      </c>
      <c r="C63" s="75" t="s">
        <v>603</v>
      </c>
      <c r="D63" s="75" t="s">
        <v>604</v>
      </c>
      <c r="E63" s="73" t="str">
        <f>IFERROR(__xludf.DUMMYFUNCTION("GOOGLETRANSLATE(D63, ""hi"", ""gu"")"),"પાણીના છોડના વધારાના વિકાસને અટકાવવો")</f>
        <v>પાણીના છોડના વધારાના વિકાસને અટકાવવો</v>
      </c>
      <c r="F63" s="14" t="s">
        <v>605</v>
      </c>
      <c r="G63" s="76" t="s">
        <v>606</v>
      </c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2.75" customHeight="1">
      <c r="A64" s="18"/>
      <c r="B64" s="18"/>
      <c r="C64" s="73"/>
      <c r="D64" s="74"/>
      <c r="E64" s="73"/>
      <c r="F64" s="14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2.75" customHeight="1">
      <c r="A65" s="19" t="s">
        <v>503</v>
      </c>
      <c r="B65" s="19" t="s">
        <v>607</v>
      </c>
      <c r="C65" s="74" t="s">
        <v>608</v>
      </c>
      <c r="D65" s="75" t="s">
        <v>609</v>
      </c>
      <c r="E65" s="73" t="str">
        <f>IFERROR(__xludf.DUMMYFUNCTION("GOOGLETRANSLATE(D65, ""hi"", ""gu"")"),"ધોવાણ અટકાવવા માટે નહેરના કિનારાઓને સ્થિર કરવા")</f>
        <v>ધોવાણ અટકાવવા માટે નહેરના કિનારાઓને સ્થિર કરવા</v>
      </c>
      <c r="F65" s="14" t="s">
        <v>610</v>
      </c>
      <c r="G65" s="76" t="s">
        <v>611</v>
      </c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2.75" customHeight="1">
      <c r="A66" s="19" t="s">
        <v>503</v>
      </c>
      <c r="B66" s="19" t="s">
        <v>612</v>
      </c>
      <c r="C66" s="74" t="s">
        <v>613</v>
      </c>
      <c r="D66" s="75" t="s">
        <v>614</v>
      </c>
      <c r="E66" s="73" t="str">
        <f>IFERROR(__xludf.DUMMYFUNCTION("GOOGLETRANSLATE(D66, ""hi"", ""gu"")"),"સ્તરનું સમારકામ")</f>
        <v>સ્તરનું સમારકામ</v>
      </c>
      <c r="F66" s="14" t="s">
        <v>615</v>
      </c>
      <c r="G66" s="80" t="s">
        <v>616</v>
      </c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2.75" customHeight="1">
      <c r="A67" s="19" t="s">
        <v>503</v>
      </c>
      <c r="B67" s="19" t="s">
        <v>617</v>
      </c>
      <c r="C67" s="74" t="s">
        <v>617</v>
      </c>
      <c r="D67" s="75" t="s">
        <v>618</v>
      </c>
      <c r="E67" s="73" t="str">
        <f>IFERROR(__xludf.DUMMYFUNCTION("GOOGLETRANSLATE(D67, ""hi"", ""gu"")"),"ડીસોલ્ટિંગ")</f>
        <v>ડીસોલ્ટિંગ</v>
      </c>
      <c r="F67" s="14" t="s">
        <v>619</v>
      </c>
      <c r="G67" s="76" t="s">
        <v>620</v>
      </c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2.75" customHeight="1">
      <c r="A68" s="19" t="s">
        <v>503</v>
      </c>
      <c r="B68" s="19" t="s">
        <v>621</v>
      </c>
      <c r="C68" s="74" t="s">
        <v>622</v>
      </c>
      <c r="D68" s="75" t="s">
        <v>623</v>
      </c>
      <c r="E68" s="73" t="str">
        <f>IFERROR(__xludf.DUMMYFUNCTION("GOOGLETRANSLATE(D68, ""hi"", ""gu"")"),"માળખાનું સમારકામ")</f>
        <v>માળખાનું સમારકામ</v>
      </c>
      <c r="F68" s="14" t="s">
        <v>624</v>
      </c>
      <c r="G68" s="76" t="s">
        <v>625</v>
      </c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2.75" customHeight="1">
      <c r="A69" s="18"/>
      <c r="B69" s="18"/>
      <c r="C69" s="73"/>
      <c r="D69" s="74"/>
      <c r="E69" s="73"/>
      <c r="F69" s="14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2.75" customHeight="1">
      <c r="A70" s="19" t="s">
        <v>626</v>
      </c>
      <c r="B70" s="19" t="s">
        <v>627</v>
      </c>
      <c r="C70" s="74" t="s">
        <v>628</v>
      </c>
      <c r="D70" s="75" t="s">
        <v>629</v>
      </c>
      <c r="E70" s="73" t="str">
        <f>IFERROR(__xludf.DUMMYFUNCTION("GOOGLETRANSLATE(D70, ""hi"", ""gu"")"),"ચેક ડેમ પર ધોવાણ")</f>
        <v>ચેક ડેમ પર ધોવાણ</v>
      </c>
      <c r="F70" s="14" t="s">
        <v>630</v>
      </c>
      <c r="G70" s="76" t="s">
        <v>631</v>
      </c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2.75" customHeight="1">
      <c r="A71" s="19" t="s">
        <v>626</v>
      </c>
      <c r="B71" s="22" t="s">
        <v>582</v>
      </c>
      <c r="C71" s="75" t="s">
        <v>583</v>
      </c>
      <c r="D71" s="79" t="s">
        <v>584</v>
      </c>
      <c r="E71" s="73" t="str">
        <f>IFERROR(__xludf.DUMMYFUNCTION("GOOGLETRANSLATE(D71, ""hi"", ""gu"")"),"ડી સિટલિંગ")</f>
        <v>ડી સિટલિંગ</v>
      </c>
      <c r="F71" s="14" t="s">
        <v>585</v>
      </c>
      <c r="G71" s="76" t="s">
        <v>586</v>
      </c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2.75" customHeight="1">
      <c r="A72" s="19" t="s">
        <v>626</v>
      </c>
      <c r="B72" s="19" t="s">
        <v>632</v>
      </c>
      <c r="C72" s="74" t="s">
        <v>633</v>
      </c>
      <c r="D72" s="75" t="s">
        <v>634</v>
      </c>
      <c r="E72" s="73" t="str">
        <f>IFERROR(__xludf.DUMMYFUNCTION("GOOGLETRANSLATE(D72, ""hi"", ""gu"")"),"ચેકડેમના સ્કારિફિકેશનને કારણે નુકસાન")</f>
        <v>ચેકડેમના સ્કારિફિકેશનને કારણે નુકસાન</v>
      </c>
      <c r="F72" s="14" t="s">
        <v>635</v>
      </c>
      <c r="G72" s="76" t="s">
        <v>625</v>
      </c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2.75" customHeight="1">
      <c r="A73" s="18"/>
      <c r="B73" s="18"/>
      <c r="C73" s="73"/>
      <c r="D73" s="74"/>
      <c r="E73" s="73"/>
      <c r="F73" s="14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2.75" customHeight="1">
      <c r="A74" s="19" t="s">
        <v>636</v>
      </c>
      <c r="B74" s="22" t="s">
        <v>582</v>
      </c>
      <c r="C74" s="75" t="s">
        <v>583</v>
      </c>
      <c r="D74" s="79" t="s">
        <v>584</v>
      </c>
      <c r="E74" s="73" t="str">
        <f>IFERROR(__xludf.DUMMYFUNCTION("GOOGLETRANSLATE(D74, ""hi"", ""gu"")"),"ડી સિટલિંગ")</f>
        <v>ડી સિટલિંગ</v>
      </c>
      <c r="F74" s="14" t="s">
        <v>585</v>
      </c>
      <c r="G74" s="76" t="s">
        <v>586</v>
      </c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2.75" customHeight="1">
      <c r="A75" s="19" t="s">
        <v>636</v>
      </c>
      <c r="B75" s="19" t="s">
        <v>637</v>
      </c>
      <c r="C75" s="75" t="s">
        <v>638</v>
      </c>
      <c r="D75" s="75" t="s">
        <v>639</v>
      </c>
      <c r="E75" s="73" t="str">
        <f>IFERROR(__xludf.DUMMYFUNCTION("GOOGLETRANSLATE(D75, ""hi"", ""gu"")"),"ક્ષતિગ્રસ્ત બંધને કારણે પાણીનું લીકેજ")</f>
        <v>ક્ષતિગ્રસ્ત બંધને કારણે પાણીનું લીકેજ</v>
      </c>
      <c r="F75" s="14" t="s">
        <v>640</v>
      </c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2.75" customHeight="1">
      <c r="A76" s="19" t="s">
        <v>636</v>
      </c>
      <c r="B76" s="19" t="s">
        <v>641</v>
      </c>
      <c r="C76" s="74" t="s">
        <v>642</v>
      </c>
      <c r="D76" s="75" t="s">
        <v>643</v>
      </c>
      <c r="E76" s="73" t="str">
        <f>IFERROR(__xludf.DUMMYFUNCTION("GOOGLETRANSLATE(D76, ""hi"", ""gu"")"),"બંધ ધોવાણ")</f>
        <v>બંધ ધોવાણ</v>
      </c>
      <c r="F76" s="14" t="s">
        <v>644</v>
      </c>
      <c r="G76" s="81" t="s">
        <v>645</v>
      </c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2.75" customHeight="1">
      <c r="A77" s="18"/>
      <c r="B77" s="18"/>
      <c r="C77" s="73"/>
      <c r="D77" s="74"/>
      <c r="E77" s="73"/>
      <c r="F77" s="14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2.75" customHeight="1">
      <c r="A78" s="19" t="s">
        <v>646</v>
      </c>
      <c r="B78" s="22" t="s">
        <v>582</v>
      </c>
      <c r="C78" s="75" t="s">
        <v>583</v>
      </c>
      <c r="D78" s="79" t="s">
        <v>584</v>
      </c>
      <c r="E78" s="73" t="str">
        <f>IFERROR(__xludf.DUMMYFUNCTION("GOOGLETRANSLATE(D78, ""hi"", ""gu"")"),"ડી સિટલિંગ")</f>
        <v>ડી સિટલિંગ</v>
      </c>
      <c r="F78" s="14" t="s">
        <v>585</v>
      </c>
      <c r="G78" s="76" t="s">
        <v>586</v>
      </c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2.75" customHeight="1">
      <c r="A79" s="19" t="s">
        <v>646</v>
      </c>
      <c r="B79" s="19" t="s">
        <v>647</v>
      </c>
      <c r="C79" s="74" t="s">
        <v>648</v>
      </c>
      <c r="D79" s="75" t="s">
        <v>649</v>
      </c>
      <c r="E79" s="73" t="str">
        <f>IFERROR(__xludf.DUMMYFUNCTION("GOOGLETRANSLATE(D79, ""hi"", ""gu"")"),"બેંક ધોવાણ અટકાવવું")</f>
        <v>બેંક ધોવાણ અટકાવવું</v>
      </c>
      <c r="F79" s="14" t="s">
        <v>650</v>
      </c>
      <c r="G79" s="76" t="s">
        <v>651</v>
      </c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2.75" customHeight="1">
      <c r="A80" s="19" t="s">
        <v>646</v>
      </c>
      <c r="B80" s="19" t="s">
        <v>652</v>
      </c>
      <c r="C80" s="74" t="s">
        <v>653</v>
      </c>
      <c r="D80" s="75" t="s">
        <v>654</v>
      </c>
      <c r="E80" s="73" t="str">
        <f>IFERROR(__xludf.DUMMYFUNCTION("GOOGLETRANSLATE(D80, ""hi"", ""gu"")"),"બંધનું સમારકામ")</f>
        <v>બંધનું સમારકામ</v>
      </c>
      <c r="F80" s="14" t="s">
        <v>655</v>
      </c>
      <c r="G80" s="76" t="s">
        <v>656</v>
      </c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2.75" customHeight="1">
      <c r="A81" s="19" t="s">
        <v>646</v>
      </c>
      <c r="B81" s="19" t="s">
        <v>657</v>
      </c>
      <c r="C81" s="75" t="s">
        <v>658</v>
      </c>
      <c r="D81" s="75" t="s">
        <v>659</v>
      </c>
      <c r="E81" s="73" t="str">
        <f>IFERROR(__xludf.DUMMYFUNCTION("GOOGLETRANSLATE(D81, ""hi"", ""gu"")"),"જળચર છોડના વિકાસને નિયંત્રિત કરવું")</f>
        <v>જળચર છોડના વિકાસને નિયંત્રિત કરવું</v>
      </c>
      <c r="F81" s="14" t="s">
        <v>660</v>
      </c>
      <c r="G81" s="76" t="s">
        <v>606</v>
      </c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ht="12.75" customHeight="1">
      <c r="A82" s="18"/>
      <c r="B82" s="18"/>
      <c r="C82" s="73"/>
      <c r="D82" s="74"/>
      <c r="E82" s="73"/>
      <c r="F82" s="14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2.75" customHeight="1">
      <c r="A83" s="19" t="s">
        <v>661</v>
      </c>
      <c r="B83" s="19" t="s">
        <v>662</v>
      </c>
      <c r="C83" s="74" t="s">
        <v>663</v>
      </c>
      <c r="D83" s="75" t="s">
        <v>664</v>
      </c>
      <c r="E83" s="73" t="str">
        <f>IFERROR(__xludf.DUMMYFUNCTION("GOOGLETRANSLATE(D83, ""hi"", ""gu"")"),"સિંચાઈ ચેનલોનું સમતળીકરણ")</f>
        <v>સિંચાઈ ચેનલોનું સમતળીકરણ</v>
      </c>
      <c r="F83" s="14" t="s">
        <v>665</v>
      </c>
      <c r="G83" s="82" t="s">
        <v>666</v>
      </c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2.75" customHeight="1">
      <c r="A84" s="19" t="s">
        <v>661</v>
      </c>
      <c r="B84" s="19" t="s">
        <v>612</v>
      </c>
      <c r="C84" s="74" t="s">
        <v>613</v>
      </c>
      <c r="D84" s="75" t="s">
        <v>614</v>
      </c>
      <c r="E84" s="73" t="str">
        <f>IFERROR(__xludf.DUMMYFUNCTION("GOOGLETRANSLATE(D84, ""hi"", ""gu"")"),"સ્તરનું સમારકામ")</f>
        <v>સ્તરનું સમારકામ</v>
      </c>
      <c r="F84" s="14" t="s">
        <v>615</v>
      </c>
      <c r="G84" s="82" t="s">
        <v>667</v>
      </c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2.75" customHeight="1">
      <c r="A85" s="19" t="s">
        <v>661</v>
      </c>
      <c r="B85" s="19" t="s">
        <v>668</v>
      </c>
      <c r="C85" s="74" t="s">
        <v>669</v>
      </c>
      <c r="D85" s="75" t="s">
        <v>670</v>
      </c>
      <c r="E85" s="73" t="str">
        <f>IFERROR(__xludf.DUMMYFUNCTION("GOOGLETRANSLATE(D85, ""hi"", ""gu"")"),"કચરો સાફ કરવો")</f>
        <v>કચરો સાફ કરવો</v>
      </c>
      <c r="F85" s="14" t="s">
        <v>671</v>
      </c>
      <c r="G85" s="82" t="s">
        <v>672</v>
      </c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2.75" customHeight="1">
      <c r="A86" s="19" t="s">
        <v>661</v>
      </c>
      <c r="B86" s="19" t="s">
        <v>673</v>
      </c>
      <c r="C86" s="74" t="s">
        <v>673</v>
      </c>
      <c r="D86" s="75" t="s">
        <v>674</v>
      </c>
      <c r="E86" s="73" t="str">
        <f>IFERROR(__xludf.DUMMYFUNCTION("GOOGLETRANSLATE(D86, ""hi"", ""gu"")"),"નીંદણ")</f>
        <v>નીંદણ</v>
      </c>
      <c r="F86" s="14" t="s">
        <v>675</v>
      </c>
      <c r="G86" s="82" t="s">
        <v>676</v>
      </c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ht="12.75" customHeight="1">
      <c r="A87" s="19" t="s">
        <v>661</v>
      </c>
      <c r="B87" s="19" t="s">
        <v>677</v>
      </c>
      <c r="C87" s="74" t="s">
        <v>678</v>
      </c>
      <c r="D87" s="75" t="s">
        <v>679</v>
      </c>
      <c r="E87" s="73" t="str">
        <f>IFERROR(__xludf.DUMMYFUNCTION("GOOGLETRANSLATE(D87, ""hi"", ""gu"")"),"ગેટ અને વાલ્વ જાળવણી")</f>
        <v>ગેટ અને વાલ્વ જાળવણી</v>
      </c>
      <c r="F87" s="14" t="s">
        <v>680</v>
      </c>
      <c r="G87" s="82" t="s">
        <v>681</v>
      </c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ht="12.75" customHeight="1">
      <c r="A88" s="18"/>
      <c r="B88" s="18"/>
      <c r="C88" s="73"/>
      <c r="D88" s="74"/>
      <c r="E88" s="73"/>
      <c r="F88" s="14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12.75" customHeight="1">
      <c r="A89" s="19" t="s">
        <v>682</v>
      </c>
      <c r="B89" s="19" t="s">
        <v>683</v>
      </c>
      <c r="C89" s="74" t="s">
        <v>684</v>
      </c>
      <c r="D89" s="75" t="s">
        <v>685</v>
      </c>
      <c r="E89" s="73" t="str">
        <f>IFERROR(__xludf.DUMMYFUNCTION("GOOGLETRANSLATE(D89, ""hi"", ""gu"")"),"ઉખડી ગયેલા પથ્થરો")</f>
        <v>ઉખડી ગયેલા પથ્થરો</v>
      </c>
      <c r="F89" s="14" t="s">
        <v>686</v>
      </c>
      <c r="G89" s="83" t="s">
        <v>687</v>
      </c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ht="12.75" customHeight="1">
      <c r="A90" s="19" t="s">
        <v>682</v>
      </c>
      <c r="B90" s="19" t="s">
        <v>688</v>
      </c>
      <c r="C90" s="74" t="s">
        <v>689</v>
      </c>
      <c r="D90" s="75" t="s">
        <v>690</v>
      </c>
      <c r="E90" s="73" t="str">
        <f>IFERROR(__xludf.DUMMYFUNCTION("GOOGLETRANSLATE(D90, ""hi"", ""gu"")"),"તિરાડો")</f>
        <v>તિરાડો</v>
      </c>
      <c r="F90" s="14" t="s">
        <v>691</v>
      </c>
      <c r="G90" s="83" t="s">
        <v>692</v>
      </c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ht="12.75" customHeight="1">
      <c r="A91" s="19" t="s">
        <v>682</v>
      </c>
      <c r="B91" s="19" t="s">
        <v>693</v>
      </c>
      <c r="C91" s="74" t="s">
        <v>694</v>
      </c>
      <c r="D91" s="75" t="s">
        <v>695</v>
      </c>
      <c r="E91" s="73" t="str">
        <f>IFERROR(__xludf.DUMMYFUNCTION("GOOGLETRANSLATE(D91, ""hi"", ""gu"")"),"પથ્થરની આસપાસ ધોવાણ")</f>
        <v>પથ્થરની આસપાસ ધોવાણ</v>
      </c>
      <c r="F91" s="14" t="s">
        <v>696</v>
      </c>
      <c r="G91" s="83" t="s">
        <v>697</v>
      </c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12.75" customHeight="1">
      <c r="A92" s="18"/>
      <c r="B92" s="18"/>
      <c r="C92" s="73"/>
      <c r="D92" s="74"/>
      <c r="E92" s="73"/>
      <c r="F92" s="14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12.75" customHeight="1">
      <c r="A93" s="18"/>
      <c r="B93" s="18"/>
      <c r="C93" s="73"/>
      <c r="D93" s="74"/>
      <c r="E93" s="73"/>
      <c r="F93" s="14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ht="12.75" customHeight="1">
      <c r="A94" s="19" t="s">
        <v>698</v>
      </c>
      <c r="B94" s="18" t="s">
        <v>699</v>
      </c>
      <c r="C94" s="74" t="s">
        <v>700</v>
      </c>
      <c r="D94" s="75" t="s">
        <v>701</v>
      </c>
      <c r="E94" s="73" t="str">
        <f>IFERROR(__xludf.DUMMYFUNCTION("GOOGLETRANSLATE(D94, ""hi"", ""gu"")"),"સિંચાઈ")</f>
        <v>સિંચાઈ</v>
      </c>
      <c r="F94" s="14" t="s">
        <v>702</v>
      </c>
      <c r="G94" s="83" t="s">
        <v>703</v>
      </c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12.75" customHeight="1">
      <c r="A95" s="19" t="s">
        <v>698</v>
      </c>
      <c r="B95" s="18" t="s">
        <v>704</v>
      </c>
      <c r="C95" s="74" t="s">
        <v>704</v>
      </c>
      <c r="D95" s="75" t="s">
        <v>705</v>
      </c>
      <c r="E95" s="73" t="str">
        <f>IFERROR(__xludf.DUMMYFUNCTION("GOOGLETRANSLATE(D95, ""hi"", ""gu"")"),"પીવું")</f>
        <v>પીવું</v>
      </c>
      <c r="F95" s="14" t="s">
        <v>706</v>
      </c>
      <c r="G95" s="83" t="s">
        <v>707</v>
      </c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ht="12.75" customHeight="1">
      <c r="A96" s="19" t="s">
        <v>698</v>
      </c>
      <c r="B96" s="18" t="s">
        <v>708</v>
      </c>
      <c r="C96" s="73" t="s">
        <v>708</v>
      </c>
      <c r="D96" s="75" t="s">
        <v>709</v>
      </c>
      <c r="E96" s="73" t="str">
        <f>IFERROR(__xludf.DUMMYFUNCTION("GOOGLETRANSLATE(D96, ""hi"", ""gu"")"),"બંને")</f>
        <v>બંને</v>
      </c>
      <c r="F96" s="14" t="s">
        <v>710</v>
      </c>
      <c r="G96" s="83" t="s">
        <v>711</v>
      </c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ht="12.75" customHeight="1">
      <c r="A97" s="18"/>
      <c r="B97" s="18"/>
      <c r="C97" s="73"/>
      <c r="D97" s="74"/>
      <c r="E97" s="73"/>
      <c r="F97" s="14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ht="12.75" customHeight="1">
      <c r="A98" s="19" t="s">
        <v>712</v>
      </c>
      <c r="B98" s="22" t="s">
        <v>713</v>
      </c>
      <c r="C98" s="74" t="s">
        <v>714</v>
      </c>
      <c r="D98" s="75" t="s">
        <v>715</v>
      </c>
      <c r="E98" s="73" t="str">
        <f>IFERROR(__xludf.DUMMYFUNCTION("GOOGLETRANSLATE(D98, ""hi"", ""gu"")"),"ખૂબ જ ખરાબ")</f>
        <v>ખૂબ જ ખરાબ</v>
      </c>
      <c r="F98" s="14" t="s">
        <v>716</v>
      </c>
      <c r="G98" s="83" t="s">
        <v>717</v>
      </c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ht="12.75" customHeight="1">
      <c r="A99" s="19" t="s">
        <v>712</v>
      </c>
      <c r="B99" s="18" t="s">
        <v>718</v>
      </c>
      <c r="C99" s="74" t="s">
        <v>718</v>
      </c>
      <c r="D99" s="75" t="s">
        <v>719</v>
      </c>
      <c r="E99" s="73" t="str">
        <f>IFERROR(__xludf.DUMMYFUNCTION("GOOGLETRANSLATE(D99, ""hi"", ""gu"")"),"થોડું ખરાબ")</f>
        <v>થોડું ખરાબ</v>
      </c>
      <c r="F99" s="14" t="s">
        <v>720</v>
      </c>
      <c r="G99" s="83" t="s">
        <v>721</v>
      </c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ht="12.75" customHeight="1">
      <c r="A100" s="19" t="s">
        <v>712</v>
      </c>
      <c r="B100" s="18" t="s">
        <v>722</v>
      </c>
      <c r="C100" s="74" t="s">
        <v>722</v>
      </c>
      <c r="D100" s="74" t="s">
        <v>723</v>
      </c>
      <c r="E100" s="73" t="s">
        <v>724</v>
      </c>
      <c r="F100" s="14" t="s">
        <v>725</v>
      </c>
      <c r="G100" s="83" t="s">
        <v>726</v>
      </c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2.75" customHeight="1">
      <c r="A101" s="19" t="s">
        <v>712</v>
      </c>
      <c r="B101" s="18" t="s">
        <v>727</v>
      </c>
      <c r="C101" s="74" t="s">
        <v>727</v>
      </c>
      <c r="D101" s="75" t="s">
        <v>728</v>
      </c>
      <c r="E101" s="73" t="str">
        <f>IFERROR(__xludf.DUMMYFUNCTION("GOOGLETRANSLATE(D101, ""hi"", ""gu"")"),"નાના સુધારા કરવામાં આવ્યા છે")</f>
        <v>નાના સુધારા કરવામાં આવ્યા છે</v>
      </c>
      <c r="F101" s="14" t="s">
        <v>729</v>
      </c>
      <c r="G101" s="83" t="s">
        <v>730</v>
      </c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ht="12.75" customHeight="1">
      <c r="A102" s="19" t="s">
        <v>712</v>
      </c>
      <c r="B102" s="18" t="s">
        <v>731</v>
      </c>
      <c r="C102" s="74" t="s">
        <v>731</v>
      </c>
      <c r="D102" s="75" t="s">
        <v>732</v>
      </c>
      <c r="E102" s="73" t="str">
        <f>IFERROR(__xludf.DUMMYFUNCTION("GOOGLETRANSLATE(D102, ""hi"", ""gu"")"),"નોંધપાત્ર રીતે સુધારો થયો")</f>
        <v>નોંધપાત્ર રીતે સુધારો થયો</v>
      </c>
      <c r="F102" s="14" t="s">
        <v>733</v>
      </c>
      <c r="G102" s="83" t="s">
        <v>734</v>
      </c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ht="12.75" customHeight="1">
      <c r="A103" s="18"/>
      <c r="B103" s="18"/>
      <c r="C103" s="73"/>
      <c r="D103" s="74"/>
      <c r="E103" s="73"/>
      <c r="F103" s="14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ht="12.75" customHeight="1">
      <c r="A104" s="19" t="s">
        <v>735</v>
      </c>
      <c r="B104" s="22" t="s">
        <v>700</v>
      </c>
      <c r="C104" s="75" t="s">
        <v>700</v>
      </c>
      <c r="D104" s="75" t="s">
        <v>701</v>
      </c>
      <c r="E104" s="73" t="str">
        <f>IFERROR(__xludf.DUMMYFUNCTION("GOOGLETRANSLATE(D104, ""hi"", ""gu"")"),"સિંચાઈ")</f>
        <v>સિંચાઈ</v>
      </c>
      <c r="F104" s="14" t="s">
        <v>702</v>
      </c>
      <c r="G104" s="76" t="s">
        <v>703</v>
      </c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ht="12.75" customHeight="1">
      <c r="A105" s="19" t="s">
        <v>735</v>
      </c>
      <c r="B105" s="22" t="s">
        <v>736</v>
      </c>
      <c r="C105" s="75" t="s">
        <v>737</v>
      </c>
      <c r="D105" s="75" t="s">
        <v>738</v>
      </c>
      <c r="E105" s="73" t="str">
        <f>IFERROR(__xludf.DUMMYFUNCTION("GOOGLETRANSLATE(D105, ""hi"", ""gu"")"),"ઘરગથ્થુ ઉપયોગ")</f>
        <v>ઘરગથ્થુ ઉપયોગ</v>
      </c>
      <c r="F105" s="14" t="s">
        <v>739</v>
      </c>
      <c r="G105" s="76" t="s">
        <v>740</v>
      </c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ht="12.75" customHeight="1">
      <c r="A106" s="19" t="s">
        <v>735</v>
      </c>
      <c r="B106" s="22" t="s">
        <v>741</v>
      </c>
      <c r="C106" s="75" t="s">
        <v>741</v>
      </c>
      <c r="D106" s="75" t="s">
        <v>742</v>
      </c>
      <c r="E106" s="73" t="str">
        <f>IFERROR(__xludf.DUMMYFUNCTION("GOOGLETRANSLATE(D106, ""hi"", ""gu"")"),"પ્રાણી")</f>
        <v>પ્રાણી</v>
      </c>
      <c r="F106" s="14" t="s">
        <v>743</v>
      </c>
      <c r="G106" s="76" t="s">
        <v>744</v>
      </c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ht="12.75" customHeight="1">
      <c r="A107" s="19" t="s">
        <v>735</v>
      </c>
      <c r="B107" s="22" t="s">
        <v>745</v>
      </c>
      <c r="C107" s="75" t="s">
        <v>745</v>
      </c>
      <c r="D107" s="75" t="s">
        <v>746</v>
      </c>
      <c r="E107" s="73" t="str">
        <f>IFERROR(__xludf.DUMMYFUNCTION("GOOGLETRANSLATE(D107, ""hi"", ""gu"")"),"સંગ્રહ")</f>
        <v>સંગ્રહ</v>
      </c>
      <c r="F107" s="14" t="s">
        <v>747</v>
      </c>
      <c r="G107" s="76" t="s">
        <v>748</v>
      </c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ht="12.75" customHeight="1">
      <c r="A108" s="19" t="s">
        <v>735</v>
      </c>
      <c r="B108" s="22" t="s">
        <v>749</v>
      </c>
      <c r="C108" s="75" t="s">
        <v>749</v>
      </c>
      <c r="D108" s="75" t="s">
        <v>750</v>
      </c>
      <c r="E108" s="73" t="str">
        <f>IFERROR(__xludf.DUMMYFUNCTION("GOOGLETRANSLATE(D108, ""hi"", ""gu"")"),"જળચર પશુપાલન")</f>
        <v>જળચર પશુપાલન</v>
      </c>
      <c r="F108" s="14" t="s">
        <v>751</v>
      </c>
      <c r="G108" s="84" t="s">
        <v>752</v>
      </c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ht="12.75" customHeight="1">
      <c r="A109" s="19" t="s">
        <v>735</v>
      </c>
      <c r="B109" s="22" t="s">
        <v>753</v>
      </c>
      <c r="C109" s="75" t="s">
        <v>754</v>
      </c>
      <c r="D109" s="75" t="s">
        <v>755</v>
      </c>
      <c r="E109" s="73" t="str">
        <f>IFERROR(__xludf.DUMMYFUNCTION("GOOGLETRANSLATE(D109, ""hi"", ""gu"")"),"પીવાનું પાણી")</f>
        <v>પીવાનું પાણી</v>
      </c>
      <c r="F109" s="14" t="s">
        <v>756</v>
      </c>
      <c r="G109" s="76" t="s">
        <v>757</v>
      </c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ht="12.75" customHeight="1">
      <c r="A110" s="19" t="s">
        <v>735</v>
      </c>
      <c r="B110" s="22" t="s">
        <v>758</v>
      </c>
      <c r="C110" s="75" t="s">
        <v>759</v>
      </c>
      <c r="D110" s="75" t="s">
        <v>760</v>
      </c>
      <c r="E110" s="73" t="str">
        <f>IFERROR(__xludf.DUMMYFUNCTION("GOOGLETRANSLATE(D110, ""hi"", ""gu"")"),"ઔદ્યોગિક ઉપયોગ")</f>
        <v>ઔદ્યોગિક ઉપયોગ</v>
      </c>
      <c r="F110" s="14" t="s">
        <v>761</v>
      </c>
      <c r="G110" s="76" t="s">
        <v>762</v>
      </c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ht="12.75" customHeight="1">
      <c r="A111" s="19" t="s">
        <v>735</v>
      </c>
      <c r="B111" s="22" t="s">
        <v>763</v>
      </c>
      <c r="C111" s="75" t="s">
        <v>764</v>
      </c>
      <c r="D111" s="75" t="s">
        <v>765</v>
      </c>
      <c r="E111" s="73" t="str">
        <f>IFERROR(__xludf.DUMMYFUNCTION("GOOGLETRANSLATE(D111, ""hi"", ""gu"")"),"ભૂગર્ભજળ રિચાર્જ")</f>
        <v>ભૂગર્ભજળ રિચાર્જ</v>
      </c>
      <c r="F111" s="14" t="s">
        <v>766</v>
      </c>
      <c r="G111" s="76" t="s">
        <v>767</v>
      </c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ht="12.75" customHeight="1">
      <c r="A112" s="19" t="s">
        <v>735</v>
      </c>
      <c r="B112" s="22" t="s">
        <v>768</v>
      </c>
      <c r="C112" s="75" t="s">
        <v>769</v>
      </c>
      <c r="D112" s="75" t="s">
        <v>770</v>
      </c>
      <c r="E112" s="73" t="str">
        <f>IFERROR(__xludf.DUMMYFUNCTION("GOOGLETRANSLATE(D112, ""hi"", ""gu"")"),"કોઈ કામનું નથી")</f>
        <v>કોઈ કામનું નથી</v>
      </c>
      <c r="F112" s="14" t="s">
        <v>771</v>
      </c>
      <c r="G112" s="76" t="s">
        <v>772</v>
      </c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ht="12.75" customHeight="1">
      <c r="A113" s="18"/>
      <c r="B113" s="18"/>
      <c r="C113" s="73"/>
      <c r="D113" s="74"/>
      <c r="E113" s="73"/>
      <c r="F113" s="14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ht="12.75" customHeight="1">
      <c r="A114" s="19" t="s">
        <v>773</v>
      </c>
      <c r="B114" s="22" t="s">
        <v>582</v>
      </c>
      <c r="C114" s="75" t="s">
        <v>583</v>
      </c>
      <c r="D114" s="79" t="s">
        <v>584</v>
      </c>
      <c r="E114" s="73" t="str">
        <f>IFERROR(__xludf.DUMMYFUNCTION("GOOGLETRANSLATE(D114, ""hi"", ""gu"")"),"ડી સિટલિંગ")</f>
        <v>ડી સિટલિંગ</v>
      </c>
      <c r="F114" s="14" t="s">
        <v>585</v>
      </c>
      <c r="G114" s="76" t="s">
        <v>586</v>
      </c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ht="12.75" customHeight="1">
      <c r="A115" s="19" t="s">
        <v>773</v>
      </c>
      <c r="B115" s="22" t="s">
        <v>774</v>
      </c>
      <c r="C115" s="75" t="s">
        <v>648</v>
      </c>
      <c r="D115" s="75" t="s">
        <v>775</v>
      </c>
      <c r="E115" s="73" t="str">
        <f>IFERROR(__xludf.DUMMYFUNCTION("GOOGLETRANSLATE(D115, ""hi"", ""gu"")"),"દરિયા કિનારાના ધોવાણ નિયંત્રણ")</f>
        <v>દરિયા કિનારાના ધોવાણ નિયંત્રણ</v>
      </c>
      <c r="F115" s="14" t="s">
        <v>650</v>
      </c>
      <c r="G115" s="76" t="s">
        <v>651</v>
      </c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ht="12.75" customHeight="1">
      <c r="A116" s="19" t="s">
        <v>773</v>
      </c>
      <c r="B116" s="22" t="s">
        <v>587</v>
      </c>
      <c r="C116" s="75" t="s">
        <v>588</v>
      </c>
      <c r="D116" s="75" t="s">
        <v>776</v>
      </c>
      <c r="E116" s="73" t="str">
        <f>IFERROR(__xludf.DUMMYFUNCTION("GOOGLETRANSLATE(D116, ""hi"", ""gu"")"),"પાળાઓમાં તિરાડો અથવા તૂટનું સમારકામ")</f>
        <v>પાળાઓમાં તિરાડો અથવા તૂટનું સમારકામ</v>
      </c>
      <c r="F116" s="14" t="s">
        <v>590</v>
      </c>
      <c r="G116" s="76" t="s">
        <v>777</v>
      </c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ht="12.75" customHeight="1">
      <c r="A117" s="19" t="s">
        <v>773</v>
      </c>
      <c r="B117" s="22" t="s">
        <v>778</v>
      </c>
      <c r="C117" s="75" t="s">
        <v>779</v>
      </c>
      <c r="D117" s="75" t="s">
        <v>604</v>
      </c>
      <c r="E117" s="73" t="str">
        <f>IFERROR(__xludf.DUMMYFUNCTION("GOOGLETRANSLATE(D117, ""hi"", ""gu"")"),"પાણીના છોડના વધારાના વિકાસને અટકાવવો")</f>
        <v>પાણીના છોડના વધારાના વિકાસને અટકાવવો</v>
      </c>
      <c r="F117" s="14" t="s">
        <v>780</v>
      </c>
      <c r="G117" s="76" t="s">
        <v>781</v>
      </c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ht="12.75" customHeight="1">
      <c r="A118" s="19" t="s">
        <v>773</v>
      </c>
      <c r="B118" s="22" t="s">
        <v>782</v>
      </c>
      <c r="C118" s="75" t="s">
        <v>783</v>
      </c>
      <c r="D118" s="75" t="s">
        <v>784</v>
      </c>
      <c r="E118" s="73" t="str">
        <f>IFERROR(__xludf.DUMMYFUNCTION("GOOGLETRANSLATE(D118, ""hi"", ""gu"")"),"ઇનલેટ/આઉટલેટ સ્ટ્રક્ચરનું સમારકામ અથવા સફાઈ કરો")</f>
        <v>ઇનલેટ/આઉટલેટ સ્ટ્રક્ચરનું સમારકામ અથવા સફાઈ કરો</v>
      </c>
      <c r="F118" s="14" t="s">
        <v>785</v>
      </c>
      <c r="G118" s="76" t="s">
        <v>786</v>
      </c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ht="12.75" customHeight="1">
      <c r="A119" s="18"/>
      <c r="B119" s="18"/>
      <c r="C119" s="73"/>
      <c r="D119" s="74"/>
      <c r="E119" s="73"/>
      <c r="F119" s="14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ht="12.75" customHeight="1">
      <c r="A120" s="19" t="s">
        <v>787</v>
      </c>
      <c r="B120" s="22" t="s">
        <v>582</v>
      </c>
      <c r="C120" s="75" t="s">
        <v>583</v>
      </c>
      <c r="D120" s="79" t="s">
        <v>584</v>
      </c>
      <c r="E120" s="73" t="str">
        <f>IFERROR(__xludf.DUMMYFUNCTION("GOOGLETRANSLATE(D120, ""hi"", ""gu"")"),"ડી સિટલિંગ")</f>
        <v>ડી સિટલિંગ</v>
      </c>
      <c r="F120" s="14" t="s">
        <v>585</v>
      </c>
      <c r="G120" s="76" t="s">
        <v>586</v>
      </c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ht="12.75" customHeight="1">
      <c r="A121" s="19" t="s">
        <v>787</v>
      </c>
      <c r="B121" s="22" t="s">
        <v>788</v>
      </c>
      <c r="C121" s="75" t="s">
        <v>789</v>
      </c>
      <c r="D121" s="75" t="s">
        <v>790</v>
      </c>
      <c r="E121" s="73" t="str">
        <f>IFERROR(__xludf.DUMMYFUNCTION("GOOGLETRANSLATE(D121, ""hi"", ""gu"")"),"બંધનો ભંગ")</f>
        <v>બંધનો ભંગ</v>
      </c>
      <c r="F121" s="14" t="s">
        <v>791</v>
      </c>
      <c r="G121" s="76" t="s">
        <v>792</v>
      </c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ht="12.75" customHeight="1">
      <c r="A122" s="19" t="s">
        <v>787</v>
      </c>
      <c r="B122" s="22" t="s">
        <v>793</v>
      </c>
      <c r="C122" s="75" t="s">
        <v>794</v>
      </c>
      <c r="D122" s="75" t="s">
        <v>795</v>
      </c>
      <c r="E122" s="73" t="str">
        <f>IFERROR(__xludf.DUMMYFUNCTION("GOOGLETRANSLATE(D122, ""hi"", ""gu"")"),"ટાંકી ડેમ અથવા ઇનલેટ/આઉટલેટ પર ધોવાણ")</f>
        <v>ટાંકી ડેમ અથવા ઇનલેટ/આઉટલેટ પર ધોવાણ</v>
      </c>
      <c r="F122" s="14" t="s">
        <v>796</v>
      </c>
      <c r="G122" s="76" t="s">
        <v>797</v>
      </c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ht="12.75" customHeight="1">
      <c r="A123" s="19" t="s">
        <v>787</v>
      </c>
      <c r="B123" s="22" t="s">
        <v>798</v>
      </c>
      <c r="C123" s="75" t="s">
        <v>799</v>
      </c>
      <c r="D123" s="75" t="s">
        <v>800</v>
      </c>
      <c r="E123" s="73" t="str">
        <f>IFERROR(__xludf.DUMMYFUNCTION("GOOGLETRANSLATE(D123, ""hi"", ""gu"")"),"છોડનો વિકાસ પાણીના પ્રવાહને અવરોધે છે")</f>
        <v>છોડનો વિકાસ પાણીના પ્રવાહને અવરોધે છે</v>
      </c>
      <c r="F123" s="14" t="s">
        <v>801</v>
      </c>
      <c r="G123" s="76" t="s">
        <v>802</v>
      </c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ht="12.75" customHeight="1">
      <c r="A124" s="19" t="s">
        <v>787</v>
      </c>
      <c r="B124" s="22" t="s">
        <v>803</v>
      </c>
      <c r="C124" s="75" t="s">
        <v>804</v>
      </c>
      <c r="D124" s="75" t="s">
        <v>805</v>
      </c>
      <c r="E124" s="73" t="str">
        <f>IFERROR(__xludf.DUMMYFUNCTION("GOOGLETRANSLATE(D124, ""hi"", ""gu"")"),"સ્પીલવે અથવા આઉટલેટ સ્ટ્રક્ચરને નુકસાન")</f>
        <v>સ્પીલવે અથવા આઉટલેટ સ્ટ્રક્ચરને નુકસાન</v>
      </c>
      <c r="F124" s="14" t="s">
        <v>806</v>
      </c>
      <c r="G124" s="76" t="s">
        <v>807</v>
      </c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ht="12.75" customHeight="1">
      <c r="A125" s="18"/>
      <c r="B125" s="18"/>
      <c r="C125" s="73"/>
      <c r="D125" s="74"/>
      <c r="E125" s="73"/>
      <c r="F125" s="14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ht="12.75" customHeight="1">
      <c r="A126" s="19" t="s">
        <v>808</v>
      </c>
      <c r="B126" s="22" t="s">
        <v>809</v>
      </c>
      <c r="C126" s="75" t="s">
        <v>810</v>
      </c>
      <c r="D126" s="75" t="s">
        <v>811</v>
      </c>
      <c r="E126" s="73" t="str">
        <f>IFERROR(__xludf.DUMMYFUNCTION("GOOGLETRANSLATE(D126, ""hi"", ""gu"")"),"માટીના માળખામાં તિરાડો")</f>
        <v>માટીના માળખામાં તિરાડો</v>
      </c>
      <c r="F126" s="14" t="s">
        <v>812</v>
      </c>
      <c r="G126" s="76" t="s">
        <v>813</v>
      </c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ht="12.75" customHeight="1">
      <c r="A127" s="19" t="s">
        <v>808</v>
      </c>
      <c r="B127" s="22" t="s">
        <v>814</v>
      </c>
      <c r="C127" s="75" t="s">
        <v>815</v>
      </c>
      <c r="D127" s="75" t="s">
        <v>816</v>
      </c>
      <c r="E127" s="73" t="str">
        <f>IFERROR(__xludf.DUMMYFUNCTION("GOOGLETRANSLATE(D127, ""hi"", ""gu"")"),"પાયા અથવા ધાર પર ધોવાણ")</f>
        <v>પાયા અથવા ધાર પર ધોવાણ</v>
      </c>
      <c r="F127" s="14" t="s">
        <v>817</v>
      </c>
      <c r="G127" s="76" t="s">
        <v>818</v>
      </c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ht="12.75" customHeight="1">
      <c r="A128" s="19" t="s">
        <v>808</v>
      </c>
      <c r="B128" s="22" t="s">
        <v>819</v>
      </c>
      <c r="C128" s="75" t="s">
        <v>820</v>
      </c>
      <c r="D128" s="75" t="s">
        <v>821</v>
      </c>
      <c r="E128" s="73" t="str">
        <f>IFERROR(__xludf.DUMMYFUNCTION("GOOGLETRANSLATE(D128, ""hi"", ""gu"")"),"જમીનની રચનામાં કોમ્પેક્ટનેસનો અભાવ")</f>
        <v>જમીનની રચનામાં કોમ્પેક્ટનેસનો અભાવ</v>
      </c>
      <c r="F128" s="14" t="s">
        <v>822</v>
      </c>
      <c r="G128" s="76" t="s">
        <v>823</v>
      </c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ht="12.75" customHeight="1">
      <c r="A129" s="19" t="s">
        <v>808</v>
      </c>
      <c r="B129" s="22" t="s">
        <v>824</v>
      </c>
      <c r="C129" s="75" t="s">
        <v>825</v>
      </c>
      <c r="D129" s="75" t="s">
        <v>826</v>
      </c>
      <c r="E129" s="73" t="str">
        <f>IFERROR(__xludf.DUMMYFUNCTION("GOOGLETRANSLATE(D129, ""hi"", ""gu"")"),"પ્લગ પર છોડનો વિકાસ")</f>
        <v>પ્લગ પર છોડનો વિકાસ</v>
      </c>
      <c r="F129" s="14" t="s">
        <v>827</v>
      </c>
      <c r="G129" s="76" t="s">
        <v>828</v>
      </c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ht="12.75" customHeight="1">
      <c r="A130" s="18"/>
      <c r="B130" s="18"/>
      <c r="C130" s="73"/>
      <c r="D130" s="74"/>
      <c r="E130" s="73"/>
      <c r="F130" s="14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ht="12.75" customHeight="1">
      <c r="A131" s="19" t="s">
        <v>829</v>
      </c>
      <c r="B131" s="22" t="s">
        <v>582</v>
      </c>
      <c r="C131" s="75" t="s">
        <v>583</v>
      </c>
      <c r="D131" s="79" t="s">
        <v>584</v>
      </c>
      <c r="E131" s="73" t="str">
        <f>IFERROR(__xludf.DUMMYFUNCTION("GOOGLETRANSLATE(D131, ""hi"", ""gu"")"),"ડી સિટલિંગ")</f>
        <v>ડી સિટલિંગ</v>
      </c>
      <c r="F131" s="14" t="s">
        <v>585</v>
      </c>
      <c r="G131" s="76" t="s">
        <v>586</v>
      </c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ht="12.75" customHeight="1">
      <c r="A132" s="19" t="s">
        <v>829</v>
      </c>
      <c r="B132" s="22" t="s">
        <v>830</v>
      </c>
      <c r="C132" s="75" t="s">
        <v>831</v>
      </c>
      <c r="D132" s="75" t="s">
        <v>832</v>
      </c>
      <c r="E132" s="73" t="str">
        <f>IFERROR(__xludf.DUMMYFUNCTION("GOOGLETRANSLATE(D132, ""hi"", ""gu"")"),"ચેનલના કિનારા પર ધોવાણ")</f>
        <v>ચેનલના કિનારા પર ધોવાણ</v>
      </c>
      <c r="F132" s="14" t="s">
        <v>833</v>
      </c>
      <c r="G132" s="76" t="s">
        <v>834</v>
      </c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ht="12.75" customHeight="1">
      <c r="A133" s="19" t="s">
        <v>829</v>
      </c>
      <c r="B133" s="22" t="s">
        <v>835</v>
      </c>
      <c r="C133" s="75" t="s">
        <v>836</v>
      </c>
      <c r="D133" s="75" t="s">
        <v>837</v>
      </c>
      <c r="E133" s="73" t="str">
        <f>IFERROR(__xludf.DUMMYFUNCTION("GOOGLETRANSLATE(D133, ""hi"", ""gu"")"),"નહેરના ભાગોનું પતન")</f>
        <v>નહેરના ભાગોનું પતન</v>
      </c>
      <c r="F133" s="14" t="s">
        <v>838</v>
      </c>
      <c r="G133" s="76" t="s">
        <v>839</v>
      </c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ht="12.75" customHeight="1">
      <c r="A134" s="19" t="s">
        <v>829</v>
      </c>
      <c r="B134" s="22" t="s">
        <v>840</v>
      </c>
      <c r="C134" s="75" t="s">
        <v>841</v>
      </c>
      <c r="D134" s="75" t="s">
        <v>842</v>
      </c>
      <c r="E134" s="73" t="str">
        <f>IFERROR(__xludf.DUMMYFUNCTION("GOOGLETRANSLATE(D134, ""hi"", ""gu"")"),"છોડની વધુ પડતી વૃદ્ધિ પ્રવાહ ઘટાડી રહી છે")</f>
        <v>છોડની વધુ પડતી વૃદ્ધિ પ્રવાહ ઘટાડી રહી છે</v>
      </c>
      <c r="F134" s="14" t="s">
        <v>843</v>
      </c>
      <c r="G134" s="76" t="s">
        <v>844</v>
      </c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ht="12.75" customHeight="1">
      <c r="A135" s="18"/>
      <c r="B135" s="18"/>
      <c r="C135" s="73"/>
      <c r="D135" s="74"/>
      <c r="E135" s="73"/>
      <c r="F135" s="14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ht="12.75" customHeight="1">
      <c r="A136" s="19" t="s">
        <v>845</v>
      </c>
      <c r="B136" s="22" t="s">
        <v>582</v>
      </c>
      <c r="C136" s="75" t="s">
        <v>583</v>
      </c>
      <c r="D136" s="79" t="s">
        <v>584</v>
      </c>
      <c r="E136" s="73" t="str">
        <f>IFERROR(__xludf.DUMMYFUNCTION("GOOGLETRANSLATE(D136, ""hi"", ""gu"")"),"ડી સિટલિંગ")</f>
        <v>ડી સિટલિંગ</v>
      </c>
      <c r="F136" s="14" t="s">
        <v>585</v>
      </c>
      <c r="G136" s="76" t="s">
        <v>586</v>
      </c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ht="12.75" customHeight="1">
      <c r="A137" s="19" t="s">
        <v>845</v>
      </c>
      <c r="B137" s="22" t="s">
        <v>846</v>
      </c>
      <c r="C137" s="75" t="s">
        <v>847</v>
      </c>
      <c r="D137" s="75" t="s">
        <v>848</v>
      </c>
      <c r="E137" s="73" t="str">
        <f>IFERROR(__xludf.DUMMYFUNCTION("GOOGLETRANSLATE(D137, ""hi"", ""gu"")"),"કોટિંગમાં તિરાડો કે તૂટ")</f>
        <v>કોટિંગમાં તિરાડો કે તૂટ</v>
      </c>
      <c r="F137" s="14" t="str">
        <f>IFERROR(__xludf.DUMMYFUNCTION("GOOGLETRANSLATE(E137, ""en"", ""kn"")"),"ಕೋಟಿಂಗಮಾಂ ತಿರಾಡೋ ಕೆ ಟೂಟ್")</f>
        <v>ಕೋಟಿಂಗಮಾಂ ತಿರಾಡೋ ಕೆ ಟೂಟ್</v>
      </c>
      <c r="G137" s="76" t="s">
        <v>849</v>
      </c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ht="12.75" customHeight="1">
      <c r="A138" s="19" t="s">
        <v>845</v>
      </c>
      <c r="B138" s="22" t="s">
        <v>850</v>
      </c>
      <c r="C138" s="75" t="s">
        <v>851</v>
      </c>
      <c r="D138" s="75" t="s">
        <v>852</v>
      </c>
      <c r="E138" s="73" t="str">
        <f>IFERROR(__xludf.DUMMYFUNCTION("GOOGLETRANSLATE(D138, ""hi"", ""gu"")"),"ફિલ્ટર અથવા કાંકરીના સ્તરોમાં અવરોધો")</f>
        <v>ફિલ્ટર અથવા કાંકરીના સ્તરોમાં અવરોધો</v>
      </c>
      <c r="F138" s="14" t="str">
        <f>IFERROR(__xludf.DUMMYFUNCTION("GOOGLETRANSLATE(E138, ""en"", ""kn"")"),"ಫಿಲ್ಟರ್")</f>
        <v>ಫಿಲ್ಟರ್</v>
      </c>
      <c r="G138" s="76" t="s">
        <v>853</v>
      </c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ht="12.75" customHeight="1">
      <c r="A139" s="19" t="s">
        <v>845</v>
      </c>
      <c r="B139" s="22" t="s">
        <v>854</v>
      </c>
      <c r="C139" s="75" t="s">
        <v>855</v>
      </c>
      <c r="D139" s="75" t="s">
        <v>856</v>
      </c>
      <c r="E139" s="73" t="str">
        <f>IFERROR(__xludf.DUMMYFUNCTION("GOOGLETRANSLATE(D139, ""hi"", ""gu"")"),"ખાડામાં પાણી પ્રવેશતા અટકાવતા છોડ અથવા કાટમાળ")</f>
        <v>ખાડામાં પાણી પ્રવેશતા અટકાવતા છોડ અથવા કાટમાળ</v>
      </c>
      <c r="F139" s="14" t="str">
        <f>IFERROR(__xludf.DUMMYFUNCTION("GOOGLETRANSLATE(E139, ""en"", ""kn"")"),"ಖಾದಮಾಂ ಪಾಣಿ ಪ್ರವೇಶತಾ ಅಟಕಾವತಾ ಛೋಡ ಅಥ ಕಾಟಮಾಳ್")</f>
        <v>ಖಾದಮಾಂ ಪಾಣಿ ಪ್ರವೇಶತಾ ಅಟಕಾವತಾ ಛೋಡ ಅಥ ಕಾಟಮಾಳ್</v>
      </c>
      <c r="G139" s="76" t="s">
        <v>857</v>
      </c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ht="12.75" customHeight="1">
      <c r="A140" s="18"/>
      <c r="B140" s="18"/>
      <c r="C140" s="73"/>
      <c r="D140" s="74"/>
      <c r="E140" s="73"/>
      <c r="F140" s="14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ht="12.75" customHeight="1">
      <c r="A141" s="19" t="s">
        <v>858</v>
      </c>
      <c r="B141" s="22" t="s">
        <v>582</v>
      </c>
      <c r="C141" s="75" t="s">
        <v>583</v>
      </c>
      <c r="D141" s="79" t="s">
        <v>584</v>
      </c>
      <c r="E141" s="73" t="str">
        <f>IFERROR(__xludf.DUMMYFUNCTION("GOOGLETRANSLATE(D141, ""hi"", ""gu"")"),"ડી સિટલિંગ")</f>
        <v>ડી સિટલિંગ</v>
      </c>
      <c r="F141" s="14" t="s">
        <v>585</v>
      </c>
      <c r="G141" s="76" t="s">
        <v>586</v>
      </c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ht="12.75" customHeight="1">
      <c r="A142" s="19" t="s">
        <v>858</v>
      </c>
      <c r="B142" s="22" t="s">
        <v>859</v>
      </c>
      <c r="C142" s="75" t="s">
        <v>860</v>
      </c>
      <c r="D142" s="75" t="s">
        <v>861</v>
      </c>
      <c r="E142" s="73" t="str">
        <f>IFERROR(__xludf.DUMMYFUNCTION("GOOGLETRANSLATE(D142, ""hi"", ""gu"")"),"ખાડાની દિવાલો અથવા ફિલ્ટર્સને નુકસાન")</f>
        <v>ખાડાની દિવાલો અથવા ફિલ્ટર્સને નુકસાન</v>
      </c>
      <c r="F142" s="14" t="s">
        <v>862</v>
      </c>
      <c r="G142" s="76" t="s">
        <v>863</v>
      </c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ht="12.75" customHeight="1">
      <c r="A143" s="19" t="s">
        <v>858</v>
      </c>
      <c r="B143" s="22" t="s">
        <v>864</v>
      </c>
      <c r="C143" s="75" t="s">
        <v>865</v>
      </c>
      <c r="D143" s="75" t="s">
        <v>866</v>
      </c>
      <c r="E143" s="73" t="str">
        <f>IFERROR(__xludf.DUMMYFUNCTION("GOOGLETRANSLATE(D143, ""hi"", ""gu"")"),"છોડ ખાડામાં પાણીના પ્રવાહને અવરોધી રહ્યા છે")</f>
        <v>છોડ ખાડામાં પાણીના પ્રવાહને અવરોધી રહ્યા છે</v>
      </c>
      <c r="F143" s="14" t="s">
        <v>867</v>
      </c>
      <c r="G143" s="76" t="s">
        <v>868</v>
      </c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ht="12.75" customHeight="1">
      <c r="A144" s="19" t="s">
        <v>858</v>
      </c>
      <c r="B144" s="22" t="s">
        <v>869</v>
      </c>
      <c r="C144" s="75" t="s">
        <v>870</v>
      </c>
      <c r="D144" s="75" t="s">
        <v>871</v>
      </c>
      <c r="E144" s="73" t="str">
        <f>IFERROR(__xludf.DUMMYFUNCTION("GOOGLETRANSLATE(D144, ""hi"", ""gu"")"),"અયોગ્ય ડ્રેનેજને કારણે પાણી ભરાવા")</f>
        <v>અયોગ્ય ડ્રેનેજને કારણે પાણી ભરાવા</v>
      </c>
      <c r="F144" s="14" t="s">
        <v>872</v>
      </c>
      <c r="G144" s="76" t="s">
        <v>873</v>
      </c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ht="12.75" customHeight="1">
      <c r="A145" s="18"/>
      <c r="B145" s="18"/>
      <c r="C145" s="73"/>
      <c r="D145" s="74"/>
      <c r="E145" s="73"/>
      <c r="F145" s="14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ht="12.75" customHeight="1">
      <c r="A146" s="19" t="s">
        <v>874</v>
      </c>
      <c r="B146" s="22" t="s">
        <v>582</v>
      </c>
      <c r="C146" s="75" t="s">
        <v>583</v>
      </c>
      <c r="D146" s="79" t="s">
        <v>584</v>
      </c>
      <c r="E146" s="73" t="str">
        <f>IFERROR(__xludf.DUMMYFUNCTION("GOOGLETRANSLATE(D146, ""hi"", ""gu"")"),"ડી સિટલિંગ")</f>
        <v>ડી સિટલિંગ</v>
      </c>
      <c r="F146" s="14" t="s">
        <v>585</v>
      </c>
      <c r="G146" s="76" t="s">
        <v>586</v>
      </c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ht="12.75" customHeight="1">
      <c r="A147" s="19" t="s">
        <v>874</v>
      </c>
      <c r="B147" s="22" t="s">
        <v>875</v>
      </c>
      <c r="C147" s="75" t="s">
        <v>876</v>
      </c>
      <c r="D147" s="75" t="s">
        <v>877</v>
      </c>
      <c r="E147" s="73" t="str">
        <f>IFERROR(__xludf.DUMMYFUNCTION("GOOGLETRANSLATE(D147, ""hi"", ""gu"")"),"ખાઈની કિનારીઓનું ધોવાણ")</f>
        <v>ખાઈની કિનારીઓનું ધોવાણ</v>
      </c>
      <c r="F147" s="14" t="s">
        <v>878</v>
      </c>
      <c r="G147" s="76" t="s">
        <v>879</v>
      </c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ht="12.75" customHeight="1">
      <c r="A148" s="19" t="s">
        <v>874</v>
      </c>
      <c r="B148" s="22" t="s">
        <v>880</v>
      </c>
      <c r="C148" s="75" t="s">
        <v>881</v>
      </c>
      <c r="D148" s="75" t="s">
        <v>882</v>
      </c>
      <c r="E148" s="73" t="str">
        <f>IFERROR(__xludf.DUMMYFUNCTION("GOOGLETRANSLATE(D148, ""hi"", ""gu"")"),"છોડનો વિકાસ પાણીને પ્રવેશતા અટકાવે છે")</f>
        <v>છોડનો વિકાસ પાણીને પ્રવેશતા અટકાવે છે</v>
      </c>
      <c r="F148" s="14" t="s">
        <v>883</v>
      </c>
      <c r="G148" s="76" t="s">
        <v>884</v>
      </c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ht="12.75" customHeight="1">
      <c r="A149" s="18"/>
      <c r="B149" s="18"/>
      <c r="C149" s="73"/>
      <c r="D149" s="74"/>
      <c r="E149" s="73"/>
      <c r="F149" s="14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ht="12.75" customHeight="1">
      <c r="A150" s="19" t="s">
        <v>885</v>
      </c>
      <c r="B150" s="22" t="s">
        <v>582</v>
      </c>
      <c r="C150" s="75" t="s">
        <v>583</v>
      </c>
      <c r="D150" s="79" t="s">
        <v>584</v>
      </c>
      <c r="E150" s="73" t="str">
        <f>IFERROR(__xludf.DUMMYFUNCTION("GOOGLETRANSLATE(D150, ""hi"", ""gu"")"),"ડી સિટલિંગ")</f>
        <v>ડી સિટલિંગ</v>
      </c>
      <c r="F150" s="14" t="s">
        <v>585</v>
      </c>
      <c r="G150" s="76" t="s">
        <v>586</v>
      </c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ht="12.75" customHeight="1">
      <c r="A151" s="19" t="s">
        <v>885</v>
      </c>
      <c r="B151" s="22" t="s">
        <v>886</v>
      </c>
      <c r="C151" s="75" t="s">
        <v>887</v>
      </c>
      <c r="D151" s="75" t="s">
        <v>888</v>
      </c>
      <c r="E151" s="73" t="str">
        <f>IFERROR(__xludf.DUMMYFUNCTION("GOOGLETRANSLATE(D151, ""hi"", ""gu"")"),"ખાઈની ટોચ અથવા અન્ય ધારનો ઘસારો")</f>
        <v>ખાઈની ટોચ અથવા અન્ય ધારનો ઘસારો</v>
      </c>
      <c r="F151" s="14" t="s">
        <v>889</v>
      </c>
      <c r="G151" s="76" t="s">
        <v>879</v>
      </c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ht="12.75" customHeight="1">
      <c r="A152" s="19" t="s">
        <v>885</v>
      </c>
      <c r="B152" s="22" t="s">
        <v>890</v>
      </c>
      <c r="C152" s="75" t="s">
        <v>891</v>
      </c>
      <c r="D152" s="75" t="s">
        <v>892</v>
      </c>
      <c r="E152" s="73" t="str">
        <f>IFERROR(__xludf.DUMMYFUNCTION("GOOGLETRANSLATE(D152, ""hi"", ""gu"")"),"નબળી ગોઠવણી અસરકારકતા ઘટાડી રહી છે")</f>
        <v>નબળી ગોઠવણી અસરકારકતા ઘટાડી રહી છે</v>
      </c>
      <c r="F152" s="14" t="s">
        <v>893</v>
      </c>
      <c r="G152" s="76" t="s">
        <v>894</v>
      </c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ht="12.75" customHeight="1">
      <c r="A153" s="18"/>
      <c r="B153" s="18"/>
      <c r="C153" s="73"/>
      <c r="D153" s="74"/>
      <c r="E153" s="73"/>
      <c r="F153" s="14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ht="12.75" customHeight="1">
      <c r="A154" s="19" t="s">
        <v>895</v>
      </c>
      <c r="B154" s="22" t="s">
        <v>582</v>
      </c>
      <c r="C154" s="75" t="s">
        <v>583</v>
      </c>
      <c r="D154" s="79" t="s">
        <v>584</v>
      </c>
      <c r="E154" s="73" t="str">
        <f>IFERROR(__xludf.DUMMYFUNCTION("GOOGLETRANSLATE(D154, ""hi"", ""gu"")"),"ડી સિટલિંગ")</f>
        <v>ડી સિટલિંગ</v>
      </c>
      <c r="F154" s="14" t="s">
        <v>585</v>
      </c>
      <c r="G154" s="76" t="s">
        <v>586</v>
      </c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ht="12.75" customHeight="1">
      <c r="A155" s="19" t="s">
        <v>895</v>
      </c>
      <c r="B155" s="22" t="s">
        <v>896</v>
      </c>
      <c r="C155" s="75" t="s">
        <v>897</v>
      </c>
      <c r="D155" s="75" t="s">
        <v>898</v>
      </c>
      <c r="E155" s="73" t="str">
        <f>IFERROR(__xludf.DUMMYFUNCTION("GOOGLETRANSLATE(D155, ""hi"", ""gu"")"),"ખાડાની બધી બાજુ ધોવાણ")</f>
        <v>ખાડાની બધી બાજુ ધોવાણ</v>
      </c>
      <c r="F155" s="14" t="s">
        <v>899</v>
      </c>
      <c r="G155" s="76" t="s">
        <v>879</v>
      </c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ht="12.75" customHeight="1">
      <c r="A156" s="19" t="s">
        <v>895</v>
      </c>
      <c r="B156" s="22" t="s">
        <v>900</v>
      </c>
      <c r="C156" s="75" t="s">
        <v>901</v>
      </c>
      <c r="D156" s="75" t="s">
        <v>902</v>
      </c>
      <c r="E156" s="73" t="str">
        <f>IFERROR(__xludf.DUMMYFUNCTION("GOOGLETRANSLATE(D156, ""hi"", ""gu"")"),"છોડ ખાડામાં પાણીના પ્રવાહને અવરોધી રહ્યા છે")</f>
        <v>છોડ ખાડામાં પાણીના પ્રવાહને અવરોધી રહ્યા છે</v>
      </c>
      <c r="F156" s="14" t="s">
        <v>903</v>
      </c>
      <c r="G156" s="76" t="s">
        <v>904</v>
      </c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ht="12.75" customHeight="1">
      <c r="A157" s="18"/>
      <c r="B157" s="18"/>
      <c r="C157" s="73"/>
      <c r="D157" s="74"/>
      <c r="E157" s="73"/>
      <c r="F157" s="14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ht="12.75" customHeight="1">
      <c r="A158" s="19" t="s">
        <v>905</v>
      </c>
      <c r="B158" s="22" t="s">
        <v>582</v>
      </c>
      <c r="C158" s="75" t="s">
        <v>583</v>
      </c>
      <c r="D158" s="79" t="s">
        <v>584</v>
      </c>
      <c r="E158" s="73" t="str">
        <f>IFERROR(__xludf.DUMMYFUNCTION("GOOGLETRANSLATE(D158, ""hi"", ""gu"")"),"ડી સિટલિંગ")</f>
        <v>ડી સિટલિંગ</v>
      </c>
      <c r="F158" s="14" t="s">
        <v>906</v>
      </c>
      <c r="G158" s="76" t="s">
        <v>907</v>
      </c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ht="12.75" customHeight="1">
      <c r="A159" s="19" t="s">
        <v>905</v>
      </c>
      <c r="B159" s="22" t="s">
        <v>908</v>
      </c>
      <c r="C159" s="75" t="s">
        <v>909</v>
      </c>
      <c r="D159" s="75" t="s">
        <v>910</v>
      </c>
      <c r="E159" s="73" t="str">
        <f>IFERROR(__xludf.DUMMYFUNCTION("GOOGLETRANSLATE(D159, ""hi"", ""gu"")"),"છૂટા અથવા છૂટા ખડકો")</f>
        <v>છૂટા અથવા છૂટા ખડકો</v>
      </c>
      <c r="F159" s="14" t="s">
        <v>911</v>
      </c>
      <c r="G159" s="76" t="s">
        <v>912</v>
      </c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ht="12.75" customHeight="1">
      <c r="A160" s="19" t="s">
        <v>905</v>
      </c>
      <c r="B160" s="22" t="s">
        <v>913</v>
      </c>
      <c r="C160" s="75" t="s">
        <v>914</v>
      </c>
      <c r="D160" s="75" t="s">
        <v>915</v>
      </c>
      <c r="E160" s="73" t="str">
        <f>IFERROR(__xludf.DUMMYFUNCTION("GOOGLETRANSLATE(D160, ""hi"", ""gu"")"),"બંધના માળખાની આસપાસ અથવા નીચે ધોવાણ")</f>
        <v>બંધના માળખાની આસપાસ અથવા નીચે ધોવાણ</v>
      </c>
      <c r="F160" s="14" t="s">
        <v>916</v>
      </c>
      <c r="G160" s="76" t="s">
        <v>917</v>
      </c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ht="12.75" customHeight="1">
      <c r="A161" s="18"/>
      <c r="B161" s="18"/>
      <c r="C161" s="73"/>
      <c r="D161" s="74"/>
      <c r="E161" s="73"/>
      <c r="F161" s="14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ht="12.75" customHeight="1">
      <c r="A162" s="19" t="s">
        <v>918</v>
      </c>
      <c r="B162" s="22" t="s">
        <v>919</v>
      </c>
      <c r="C162" s="75" t="s">
        <v>920</v>
      </c>
      <c r="D162" s="75" t="s">
        <v>921</v>
      </c>
      <c r="E162" s="73" t="str">
        <f>IFERROR(__xludf.DUMMYFUNCTION("GOOGLETRANSLATE(D162, ""hi"", ""gu"")"),"છૂટા પડી ગયેલા પથ્થરો માળખાની મજબૂતાઈ ઘટાડી રહ્યા છે.")</f>
        <v>છૂટા પડી ગયેલા પથ્થરો માળખાની મજબૂતાઈ ઘટાડી રહ્યા છે.</v>
      </c>
      <c r="F162" s="14" t="s">
        <v>922</v>
      </c>
      <c r="G162" s="84" t="s">
        <v>923</v>
      </c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ht="12.75" customHeight="1">
      <c r="A163" s="19" t="s">
        <v>918</v>
      </c>
      <c r="B163" s="22" t="s">
        <v>582</v>
      </c>
      <c r="C163" s="75" t="s">
        <v>583</v>
      </c>
      <c r="D163" s="79" t="s">
        <v>584</v>
      </c>
      <c r="E163" s="73" t="str">
        <f>IFERROR(__xludf.DUMMYFUNCTION("GOOGLETRANSLATE(D163, ""hi"", ""gu"")"),"ડી સિટલિંગ")</f>
        <v>ડી સિટલિંગ</v>
      </c>
      <c r="F163" s="14" t="s">
        <v>924</v>
      </c>
      <c r="G163" s="84" t="s">
        <v>925</v>
      </c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ht="12.75" customHeight="1">
      <c r="A164" s="19" t="s">
        <v>918</v>
      </c>
      <c r="B164" s="22" t="s">
        <v>926</v>
      </c>
      <c r="C164" s="75" t="s">
        <v>927</v>
      </c>
      <c r="D164" s="75" t="s">
        <v>928</v>
      </c>
      <c r="E164" s="73" t="str">
        <f>IFERROR(__xludf.DUMMYFUNCTION("GOOGLETRANSLATE(D164, ""hi"", ""gu"")"),"બંધની બધી બાજુ ધોવાણ")</f>
        <v>બંધની બધી બાજુ ધોવાણ</v>
      </c>
      <c r="F164" s="14" t="s">
        <v>929</v>
      </c>
      <c r="G164" s="76" t="s">
        <v>930</v>
      </c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ht="12.75" customHeight="1">
      <c r="A165" s="18"/>
      <c r="B165" s="18"/>
      <c r="C165" s="73"/>
      <c r="D165" s="74"/>
      <c r="E165" s="73"/>
      <c r="F165" s="14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ht="11.25" customHeight="1">
      <c r="A166" s="19" t="s">
        <v>931</v>
      </c>
      <c r="B166" s="22" t="s">
        <v>582</v>
      </c>
      <c r="C166" s="75" t="s">
        <v>583</v>
      </c>
      <c r="D166" s="75" t="s">
        <v>932</v>
      </c>
      <c r="E166" s="73" t="str">
        <f>IFERROR(__xludf.DUMMYFUNCTION("GOOGLETRANSLATE(D166, ""hi"", ""gu"")"),"ગિવ_સિટલિંગ")</f>
        <v>ગિવ_સિટલિંગ</v>
      </c>
      <c r="F166" s="14" t="s">
        <v>585</v>
      </c>
      <c r="G166" s="76" t="s">
        <v>586</v>
      </c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ht="12.75" customHeight="1">
      <c r="A167" s="19" t="s">
        <v>931</v>
      </c>
      <c r="B167" s="22" t="s">
        <v>933</v>
      </c>
      <c r="C167" s="75" t="s">
        <v>934</v>
      </c>
      <c r="D167" s="75" t="s">
        <v>935</v>
      </c>
      <c r="E167" s="73" t="str">
        <f>IFERROR(__xludf.DUMMYFUNCTION("GOOGLETRANSLATE(D167, ""hi"", ""gu"")"),"નદી કિનારે ધોવાણ")</f>
        <v>નદી કિનારે ધોવાણ</v>
      </c>
      <c r="F167" s="14" t="s">
        <v>936</v>
      </c>
      <c r="G167" s="76" t="s">
        <v>937</v>
      </c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ht="12.75" customHeight="1">
      <c r="A168" s="19" t="s">
        <v>931</v>
      </c>
      <c r="B168" s="22" t="s">
        <v>938</v>
      </c>
      <c r="C168" s="75" t="s">
        <v>939</v>
      </c>
      <c r="D168" s="75" t="s">
        <v>940</v>
      </c>
      <c r="E168" s="73" t="str">
        <f>IFERROR(__xludf.DUMMYFUNCTION("GOOGLETRANSLATE(D168, ""hi"", ""gu"")"),"ગટરના ભંગાણવાળા અથવા તૂટેલા ભાગો")</f>
        <v>ગટરના ભંગાણવાળા અથવા તૂટેલા ભાગો</v>
      </c>
      <c r="F168" s="14" t="s">
        <v>941</v>
      </c>
      <c r="G168" s="76" t="s">
        <v>942</v>
      </c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ht="12.75" customHeight="1">
      <c r="A169" s="18"/>
      <c r="B169" s="18"/>
      <c r="C169" s="73"/>
      <c r="D169" s="74"/>
      <c r="E169" s="73"/>
      <c r="F169" s="14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ht="12.75" customHeight="1">
      <c r="A170" s="19" t="s">
        <v>943</v>
      </c>
      <c r="B170" s="22" t="s">
        <v>582</v>
      </c>
      <c r="C170" s="75" t="s">
        <v>583</v>
      </c>
      <c r="D170" s="79" t="s">
        <v>584</v>
      </c>
      <c r="E170" s="73" t="str">
        <f>IFERROR(__xludf.DUMMYFUNCTION("GOOGLETRANSLATE(D170, ""hi"", ""gu"")"),"ડી સિટલિંગ")</f>
        <v>ડી સિટલિંગ</v>
      </c>
      <c r="F170" s="14" t="s">
        <v>585</v>
      </c>
      <c r="G170" s="76" t="s">
        <v>586</v>
      </c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ht="12.75" customHeight="1">
      <c r="A171" s="19" t="s">
        <v>943</v>
      </c>
      <c r="B171" s="22" t="s">
        <v>944</v>
      </c>
      <c r="C171" s="75" t="s">
        <v>945</v>
      </c>
      <c r="D171" s="75" t="s">
        <v>946</v>
      </c>
      <c r="E171" s="73" t="str">
        <f>IFERROR(__xludf.DUMMYFUNCTION("GOOGLETRANSLATE(D171, ""hi"", ""gu"")"),"બંધના માળખામાં તિરાડો, તૂટ અથવા અન્ય ખામીઓ")</f>
        <v>બંધના માળખામાં તિરાડો, તૂટ અથવા અન્ય ખામીઓ</v>
      </c>
      <c r="F171" s="14" t="s">
        <v>947</v>
      </c>
      <c r="G171" s="76" t="s">
        <v>948</v>
      </c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ht="12.75" customHeight="1">
      <c r="A172" s="19" t="s">
        <v>943</v>
      </c>
      <c r="B172" s="22" t="s">
        <v>949</v>
      </c>
      <c r="C172" s="75" t="s">
        <v>950</v>
      </c>
      <c r="D172" s="75" t="s">
        <v>951</v>
      </c>
      <c r="E172" s="73" t="str">
        <f>IFERROR(__xludf.DUMMYFUNCTION("GOOGLETRANSLATE(D172, ""hi"", ""gu"")"),"બંધના કાંઠા, ઢોળાવ અથવા પાયા પર ધોવાણ")</f>
        <v>બંધના કાંઠા, ઢોળાવ અથવા પાયા પર ધોવાણ</v>
      </c>
      <c r="F172" s="14" t="s">
        <v>952</v>
      </c>
      <c r="G172" s="76" t="s">
        <v>953</v>
      </c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ht="12.75" customHeight="1">
      <c r="A173" s="19" t="s">
        <v>943</v>
      </c>
      <c r="B173" s="22" t="s">
        <v>954</v>
      </c>
      <c r="C173" s="75" t="s">
        <v>955</v>
      </c>
      <c r="D173" s="75" t="s">
        <v>956</v>
      </c>
      <c r="E173" s="73" t="str">
        <f>IFERROR(__xludf.DUMMYFUNCTION("GOOGLETRANSLATE(D173, ""hi"", ""gu"")"),"અયોગ્ય ગોઠવણી અથવા ગ્રેડિંગ પાણી વિતરણમાં અવરોધ પેદા કરી શકે છે.")</f>
        <v>અયોગ્ય ગોઠવણી અથવા ગ્રેડિંગ પાણી વિતરણમાં અવરોધ પેદા કરી શકે છે.</v>
      </c>
      <c r="F173" s="14" t="s">
        <v>957</v>
      </c>
      <c r="G173" s="76" t="s">
        <v>958</v>
      </c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ht="12.75" customHeight="1">
      <c r="A174" s="19" t="s">
        <v>943</v>
      </c>
      <c r="B174" s="22" t="s">
        <v>959</v>
      </c>
      <c r="C174" s="75" t="s">
        <v>960</v>
      </c>
      <c r="D174" s="75" t="s">
        <v>961</v>
      </c>
      <c r="E174" s="73" t="str">
        <f>IFERROR(__xludf.DUMMYFUNCTION("GOOGLETRANSLATE(D174, ""hi"", ""gu"")"),"છોડનો વિકાસ બંધની મજબૂતાઈને નબળી બનાવી રહ્યો છે")</f>
        <v>છોડનો વિકાસ બંધની મજબૂતાઈને નબળી બનાવી રહ્યો છે</v>
      </c>
      <c r="F174" s="14" t="s">
        <v>962</v>
      </c>
      <c r="G174" s="76" t="s">
        <v>963</v>
      </c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ht="12.75" customHeight="1">
      <c r="A175" s="19" t="s">
        <v>943</v>
      </c>
      <c r="B175" s="22" t="s">
        <v>964</v>
      </c>
      <c r="C175" s="75" t="s">
        <v>965</v>
      </c>
      <c r="D175" s="75" t="s">
        <v>966</v>
      </c>
      <c r="E175" s="73" t="str">
        <f>IFERROR(__xludf.DUMMYFUNCTION("GOOGLETRANSLATE(D175, ""hi"", ""gu"")"),"લીકેજ અથવા ભારે વરસાદને કારણે માળખાનું નબળું પડવું")</f>
        <v>લીકેજ અથવા ભારે વરસાદને કારણે માળખાનું નબળું પડવું</v>
      </c>
      <c r="F175" s="14" t="s">
        <v>967</v>
      </c>
      <c r="G175" s="76" t="s">
        <v>968</v>
      </c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ht="12.75" customHeight="1">
      <c r="A176" s="18"/>
      <c r="B176" s="18"/>
      <c r="C176" s="73"/>
      <c r="D176" s="74"/>
      <c r="E176" s="73"/>
      <c r="F176" s="14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ht="12.75" customHeight="1">
      <c r="A177" s="19" t="s">
        <v>969</v>
      </c>
      <c r="B177" s="22" t="s">
        <v>970</v>
      </c>
      <c r="C177" s="75" t="s">
        <v>971</v>
      </c>
      <c r="D177" s="75" t="s">
        <v>972</v>
      </c>
      <c r="E177" s="73" t="str">
        <f>IFERROR(__xludf.DUMMYFUNCTION("GOOGLETRANSLATE(D177, ""hi"", ""gu"")"),"બંધોમાં તિરાડો કે તૂટવાનું સમારકામ")</f>
        <v>બંધોમાં તિરાડો કે તૂટવાનું સમારકામ</v>
      </c>
      <c r="F177" s="14" t="s">
        <v>973</v>
      </c>
      <c r="G177" s="76" t="s">
        <v>974</v>
      </c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ht="12.75" customHeight="1">
      <c r="A178" s="19" t="s">
        <v>969</v>
      </c>
      <c r="B178" s="22" t="s">
        <v>975</v>
      </c>
      <c r="C178" s="75" t="s">
        <v>976</v>
      </c>
      <c r="D178" s="75" t="s">
        <v>977</v>
      </c>
      <c r="E178" s="73" t="str">
        <f>IFERROR(__xludf.DUMMYFUNCTION("GOOGLETRANSLATE(D178, ""hi"", ""gu"")"),"વધારાની માટી અથવા સામગ્રીનો ઉપયોગ કરીને બંધના માળખાને મજબૂત બનાવવું")</f>
        <v>વધારાની માટી અથવા સામગ્રીનો ઉપયોગ કરીને બંધના માળખાને મજબૂત બનાવવું</v>
      </c>
      <c r="F178" s="14" t="s">
        <v>978</v>
      </c>
      <c r="G178" s="76" t="s">
        <v>979</v>
      </c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ht="12.75" customHeight="1">
      <c r="A179" s="19" t="s">
        <v>969</v>
      </c>
      <c r="B179" s="22" t="s">
        <v>980</v>
      </c>
      <c r="C179" s="75" t="s">
        <v>981</v>
      </c>
      <c r="D179" s="75" t="s">
        <v>982</v>
      </c>
      <c r="E179" s="73" t="str">
        <f>IFERROR(__xludf.DUMMYFUNCTION("GOOGLETRANSLATE(D179, ""hi"", ""gu"")"),"પાણી જાળવી રાખવા માટે બંધનું સ્તરીકરણ અને આકાર બદલવો")</f>
        <v>પાણી જાળવી રાખવા માટે બંધનું સ્તરીકરણ અને આકાર બદલવો</v>
      </c>
      <c r="F179" s="14" t="s">
        <v>983</v>
      </c>
      <c r="G179" s="76" t="s">
        <v>984</v>
      </c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ht="12.75" customHeight="1">
      <c r="A180" s="19" t="s">
        <v>969</v>
      </c>
      <c r="B180" s="22" t="s">
        <v>985</v>
      </c>
      <c r="C180" s="75" t="s">
        <v>986</v>
      </c>
      <c r="D180" s="75" t="s">
        <v>987</v>
      </c>
      <c r="E180" s="73" t="str">
        <f>IFERROR(__xludf.DUMMYFUNCTION("GOOGLETRANSLATE(D180, ""hi"", ""gu"")"),"ધોવાણ અટકાવવા માટે વનસ્પતિને વધતી અટકાવવી")</f>
        <v>ધોવાણ અટકાવવા માટે વનસ્પતિને વધતી અટકાવવી</v>
      </c>
      <c r="F180" s="14" t="s">
        <v>988</v>
      </c>
      <c r="G180" s="76" t="s">
        <v>989</v>
      </c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ht="12.75" customHeight="1">
      <c r="A181" s="18"/>
      <c r="B181" s="18"/>
      <c r="C181" s="73"/>
      <c r="D181" s="74"/>
      <c r="E181" s="73"/>
      <c r="F181" s="14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ht="12.75" customHeight="1">
      <c r="A182" s="19" t="s">
        <v>990</v>
      </c>
      <c r="B182" s="22" t="s">
        <v>582</v>
      </c>
      <c r="C182" s="75" t="s">
        <v>583</v>
      </c>
      <c r="D182" s="79" t="s">
        <v>584</v>
      </c>
      <c r="E182" s="73" t="str">
        <f>IFERROR(__xludf.DUMMYFUNCTION("GOOGLETRANSLATE(D182, ""hi"", ""gu"")"),"ડી સિટલિંગ")</f>
        <v>ડી સિટલિંગ</v>
      </c>
      <c r="F182" s="14" t="s">
        <v>585</v>
      </c>
      <c r="G182" s="76" t="s">
        <v>586</v>
      </c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ht="12.75" customHeight="1">
      <c r="A183" s="19" t="s">
        <v>990</v>
      </c>
      <c r="B183" s="22" t="s">
        <v>991</v>
      </c>
      <c r="C183" s="75" t="s">
        <v>992</v>
      </c>
      <c r="D183" s="75" t="s">
        <v>993</v>
      </c>
      <c r="E183" s="73" t="str">
        <f>IFERROR(__xludf.DUMMYFUNCTION("GOOGLETRANSLATE(D183, ""hi"", ""gu"")"),"પાળામાં તિરાડો અથવા લીકેજ")</f>
        <v>પાળામાં તિરાડો અથવા લીકેજ</v>
      </c>
      <c r="F183" s="14" t="s">
        <v>994</v>
      </c>
      <c r="G183" s="76" t="s">
        <v>995</v>
      </c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ht="12.75" customHeight="1">
      <c r="A184" s="19" t="s">
        <v>990</v>
      </c>
      <c r="B184" s="22" t="s">
        <v>996</v>
      </c>
      <c r="C184" s="75" t="s">
        <v>997</v>
      </c>
      <c r="D184" s="75" t="s">
        <v>998</v>
      </c>
      <c r="E184" s="73" t="str">
        <f>IFERROR(__xludf.DUMMYFUNCTION("GOOGLETRANSLATE(D184, ""hi"", ""gu"")"),"ધાર અથવા પાયા પર ધોવાણ")</f>
        <v>ધાર અથવા પાયા પર ધોવાણ</v>
      </c>
      <c r="F184" s="14" t="s">
        <v>999</v>
      </c>
      <c r="G184" s="76" t="s">
        <v>818</v>
      </c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ht="12.75" customHeight="1">
      <c r="A185" s="18"/>
      <c r="B185" s="18"/>
      <c r="C185" s="73"/>
      <c r="D185" s="74"/>
      <c r="E185" s="73"/>
      <c r="F185" s="14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ht="12.75" customHeight="1">
      <c r="A186" s="19" t="s">
        <v>1000</v>
      </c>
      <c r="B186" s="22" t="s">
        <v>582</v>
      </c>
      <c r="C186" s="75" t="s">
        <v>583</v>
      </c>
      <c r="D186" s="79" t="s">
        <v>584</v>
      </c>
      <c r="E186" s="73" t="str">
        <f>IFERROR(__xludf.DUMMYFUNCTION("GOOGLETRANSLATE(D186, ""hi"", ""gu"")"),"ડી સિટલિંગ")</f>
        <v>ડી સિટલિંગ</v>
      </c>
      <c r="F186" s="14" t="s">
        <v>585</v>
      </c>
      <c r="G186" s="76" t="s">
        <v>586</v>
      </c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ht="12.75" customHeight="1">
      <c r="A187" s="19" t="s">
        <v>1000</v>
      </c>
      <c r="B187" s="22" t="s">
        <v>1001</v>
      </c>
      <c r="C187" s="75" t="s">
        <v>1002</v>
      </c>
      <c r="D187" s="75" t="s">
        <v>1003</v>
      </c>
      <c r="E187" s="73" t="str">
        <f>IFERROR(__xludf.DUMMYFUNCTION("GOOGLETRANSLATE(D187, ""hi"", ""gu"")"),"ડેમ અથવા માળખાની દિવાલોમાં તિરાડો")</f>
        <v>ડેમ અથવા માળખાની દિવાલોમાં તિરાડો</v>
      </c>
      <c r="F187" s="14" t="s">
        <v>1004</v>
      </c>
      <c r="G187" s="76" t="s">
        <v>995</v>
      </c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ht="12.75" customHeight="1">
      <c r="A188" s="19" t="s">
        <v>1000</v>
      </c>
      <c r="B188" s="22" t="s">
        <v>1005</v>
      </c>
      <c r="C188" s="75" t="s">
        <v>1006</v>
      </c>
      <c r="D188" s="75" t="s">
        <v>1007</v>
      </c>
      <c r="E188" s="73" t="str">
        <f>IFERROR(__xludf.DUMMYFUNCTION("GOOGLETRANSLATE(D188, ""hi"", ""gu"")"),"ખાડા કે બંધના કિનારે ધોવાણ")</f>
        <v>ખાડા કે બંધના કિનારે ધોવાણ</v>
      </c>
      <c r="F188" s="14" t="s">
        <v>1008</v>
      </c>
      <c r="G188" s="76" t="s">
        <v>1009</v>
      </c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ht="12.75" customHeight="1">
      <c r="A189" s="18"/>
      <c r="B189" s="18"/>
      <c r="C189" s="73"/>
      <c r="D189" s="74"/>
      <c r="E189" s="73"/>
      <c r="F189" s="14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ht="12.75" customHeight="1">
      <c r="A190" s="18" t="s">
        <v>1010</v>
      </c>
      <c r="B190" s="18" t="s">
        <v>1011</v>
      </c>
      <c r="C190" s="73" t="s">
        <v>1012</v>
      </c>
      <c r="D190" s="74" t="s">
        <v>1013</v>
      </c>
      <c r="E190" s="73" t="s">
        <v>1014</v>
      </c>
      <c r="F190" s="14" t="s">
        <v>1015</v>
      </c>
      <c r="G190" s="76" t="s">
        <v>1016</v>
      </c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ht="12.75" customHeight="1">
      <c r="A191" s="18" t="s">
        <v>1010</v>
      </c>
      <c r="B191" s="18" t="s">
        <v>1017</v>
      </c>
      <c r="C191" s="73" t="s">
        <v>1018</v>
      </c>
      <c r="D191" s="74" t="s">
        <v>1019</v>
      </c>
      <c r="E191" s="73" t="s">
        <v>1020</v>
      </c>
      <c r="F191" s="14" t="s">
        <v>1021</v>
      </c>
      <c r="G191" s="76" t="s">
        <v>1022</v>
      </c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ht="12.75" customHeight="1">
      <c r="A192" s="18"/>
      <c r="B192" s="18"/>
      <c r="C192" s="73"/>
      <c r="D192" s="74"/>
      <c r="E192" s="73"/>
      <c r="F192" s="14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ht="12.75" customHeight="1">
      <c r="A193" s="18" t="s">
        <v>1023</v>
      </c>
      <c r="B193" s="85" t="s">
        <v>1024</v>
      </c>
      <c r="C193" s="85" t="s">
        <v>1024</v>
      </c>
      <c r="D193" s="74" t="s">
        <v>1025</v>
      </c>
      <c r="E193" s="73" t="s">
        <v>1026</v>
      </c>
      <c r="F193" s="14" t="s">
        <v>1027</v>
      </c>
      <c r="G193" s="73" t="s">
        <v>1028</v>
      </c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ht="12.75" customHeight="1">
      <c r="A194" s="18" t="s">
        <v>1023</v>
      </c>
      <c r="B194" s="85" t="s">
        <v>1029</v>
      </c>
      <c r="C194" s="85" t="s">
        <v>1029</v>
      </c>
      <c r="D194" s="74" t="s">
        <v>1030</v>
      </c>
      <c r="E194" s="73" t="s">
        <v>1031</v>
      </c>
      <c r="F194" s="14" t="s">
        <v>1032</v>
      </c>
      <c r="G194" s="73" t="s">
        <v>1033</v>
      </c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ht="12.75" customHeight="1">
      <c r="A195" s="18" t="s">
        <v>1023</v>
      </c>
      <c r="B195" s="85" t="s">
        <v>1034</v>
      </c>
      <c r="C195" s="85" t="s">
        <v>1034</v>
      </c>
      <c r="D195" s="74" t="s">
        <v>1035</v>
      </c>
      <c r="E195" s="73" t="s">
        <v>1036</v>
      </c>
      <c r="F195" s="14" t="s">
        <v>1037</v>
      </c>
      <c r="G195" s="73" t="s">
        <v>1038</v>
      </c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ht="12.75" customHeight="1">
      <c r="A196" s="18" t="s">
        <v>1023</v>
      </c>
      <c r="B196" s="85" t="s">
        <v>1039</v>
      </c>
      <c r="C196" s="85" t="s">
        <v>1039</v>
      </c>
      <c r="D196" s="74" t="s">
        <v>1040</v>
      </c>
      <c r="E196" s="73" t="s">
        <v>1041</v>
      </c>
      <c r="F196" s="14" t="s">
        <v>1042</v>
      </c>
      <c r="G196" s="73" t="s">
        <v>1043</v>
      </c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ht="12.75" customHeight="1">
      <c r="A197" s="18" t="s">
        <v>1023</v>
      </c>
      <c r="B197" s="85" t="s">
        <v>1044</v>
      </c>
      <c r="C197" s="85" t="s">
        <v>1044</v>
      </c>
      <c r="D197" s="74" t="s">
        <v>1045</v>
      </c>
      <c r="E197" s="73" t="s">
        <v>1046</v>
      </c>
      <c r="F197" s="14" t="s">
        <v>1047</v>
      </c>
      <c r="G197" s="73" t="s">
        <v>1048</v>
      </c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ht="12.75" customHeight="1">
      <c r="A198" s="18" t="s">
        <v>1023</v>
      </c>
      <c r="B198" s="85" t="s">
        <v>1049</v>
      </c>
      <c r="C198" s="85" t="s">
        <v>1049</v>
      </c>
      <c r="D198" s="74" t="s">
        <v>1050</v>
      </c>
      <c r="E198" s="73" t="s">
        <v>1051</v>
      </c>
      <c r="F198" s="14" t="s">
        <v>1052</v>
      </c>
      <c r="G198" s="73" t="s">
        <v>1053</v>
      </c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ht="12.75" customHeight="1">
      <c r="A199" s="18" t="s">
        <v>1023</v>
      </c>
      <c r="B199" s="85" t="s">
        <v>1054</v>
      </c>
      <c r="C199" s="85" t="s">
        <v>1054</v>
      </c>
      <c r="D199" s="74" t="s">
        <v>1055</v>
      </c>
      <c r="E199" s="73" t="s">
        <v>1056</v>
      </c>
      <c r="F199" s="14" t="s">
        <v>1057</v>
      </c>
      <c r="G199" s="73" t="s">
        <v>1058</v>
      </c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ht="12.75" customHeight="1">
      <c r="A200" s="18"/>
      <c r="B200" s="18"/>
      <c r="C200" s="86"/>
      <c r="D200" s="74"/>
      <c r="E200" s="73"/>
      <c r="F200" s="14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ht="12.75" customHeight="1">
      <c r="A201" s="18" t="s">
        <v>1059</v>
      </c>
      <c r="B201" s="85" t="s">
        <v>1060</v>
      </c>
      <c r="C201" s="85" t="s">
        <v>1060</v>
      </c>
      <c r="D201" s="74" t="s">
        <v>1061</v>
      </c>
      <c r="E201" s="73" t="s">
        <v>1062</v>
      </c>
      <c r="F201" s="14" t="s">
        <v>1063</v>
      </c>
      <c r="G201" s="73" t="s">
        <v>1064</v>
      </c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ht="12.75" customHeight="1">
      <c r="A202" s="18" t="s">
        <v>1059</v>
      </c>
      <c r="B202" s="85" t="s">
        <v>1065</v>
      </c>
      <c r="C202" s="85" t="s">
        <v>1065</v>
      </c>
      <c r="D202" s="74" t="s">
        <v>1066</v>
      </c>
      <c r="E202" s="73" t="s">
        <v>1067</v>
      </c>
      <c r="F202" s="14" t="s">
        <v>1068</v>
      </c>
      <c r="G202" s="73" t="s">
        <v>1069</v>
      </c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ht="12.75" customHeight="1">
      <c r="A203" s="18" t="s">
        <v>1059</v>
      </c>
      <c r="B203" s="85" t="s">
        <v>1070</v>
      </c>
      <c r="C203" s="85" t="s">
        <v>1070</v>
      </c>
      <c r="D203" s="74" t="s">
        <v>1071</v>
      </c>
      <c r="E203" s="73" t="s">
        <v>1072</v>
      </c>
      <c r="F203" s="14" t="s">
        <v>1073</v>
      </c>
      <c r="G203" s="73" t="s">
        <v>1074</v>
      </c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ht="12.75" customHeight="1">
      <c r="A204" s="18"/>
      <c r="B204" s="86"/>
      <c r="C204" s="73"/>
      <c r="D204" s="74"/>
      <c r="E204" s="73"/>
      <c r="F204" s="14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ht="12.75" customHeight="1">
      <c r="A205" s="18"/>
      <c r="B205" s="18"/>
      <c r="C205" s="73"/>
      <c r="D205" s="74"/>
      <c r="E205" s="73"/>
      <c r="F205" s="14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ht="12.75" customHeight="1">
      <c r="A206" s="18"/>
      <c r="B206" s="18"/>
      <c r="C206" s="73"/>
      <c r="D206" s="74"/>
      <c r="E206" s="73"/>
      <c r="F206" s="14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ht="12.75" customHeight="1">
      <c r="A207" s="18"/>
      <c r="B207" s="18"/>
      <c r="C207" s="73"/>
      <c r="D207" s="74"/>
      <c r="E207" s="73"/>
      <c r="F207" s="14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ht="12.75" customHeight="1">
      <c r="A208" s="18"/>
      <c r="B208" s="18"/>
      <c r="C208" s="73"/>
      <c r="D208" s="74"/>
      <c r="E208" s="73"/>
      <c r="F208" s="14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ht="12.75" customHeight="1">
      <c r="A209" s="18"/>
      <c r="B209" s="18"/>
      <c r="C209" s="73"/>
      <c r="D209" s="74"/>
      <c r="E209" s="73"/>
      <c r="F209" s="14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ht="12.75" customHeight="1">
      <c r="A210" s="18"/>
      <c r="B210" s="18"/>
      <c r="C210" s="73"/>
      <c r="D210" s="74"/>
      <c r="E210" s="73"/>
      <c r="F210" s="14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ht="12.75" customHeight="1">
      <c r="A211" s="18"/>
      <c r="B211" s="18"/>
      <c r="C211" s="73"/>
      <c r="D211" s="74"/>
      <c r="E211" s="73"/>
      <c r="F211" s="14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ht="12.75" customHeight="1">
      <c r="A212" s="18"/>
      <c r="B212" s="18"/>
      <c r="C212" s="73"/>
      <c r="D212" s="74"/>
      <c r="E212" s="73"/>
      <c r="F212" s="14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ht="12.75" customHeight="1">
      <c r="A213" s="18"/>
      <c r="B213" s="18"/>
      <c r="C213" s="73"/>
      <c r="D213" s="74"/>
      <c r="E213" s="73"/>
      <c r="F213" s="14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ht="12.75" customHeight="1">
      <c r="A214" s="18"/>
      <c r="B214" s="18"/>
      <c r="C214" s="73"/>
      <c r="D214" s="74"/>
      <c r="E214" s="73"/>
      <c r="F214" s="14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ht="12.75" customHeight="1">
      <c r="A215" s="18"/>
      <c r="B215" s="18"/>
      <c r="C215" s="73"/>
      <c r="D215" s="74"/>
      <c r="E215" s="73"/>
      <c r="F215" s="14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ht="12.75" customHeight="1">
      <c r="A216" s="18"/>
      <c r="B216" s="18"/>
      <c r="C216" s="73"/>
      <c r="D216" s="74"/>
      <c r="E216" s="73"/>
      <c r="F216" s="14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ht="12.75" customHeight="1">
      <c r="A217" s="18"/>
      <c r="B217" s="18"/>
      <c r="C217" s="73"/>
      <c r="D217" s="74"/>
      <c r="E217" s="73"/>
      <c r="F217" s="14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ht="12.75" customHeight="1">
      <c r="A218" s="18"/>
      <c r="B218" s="18"/>
      <c r="C218" s="73"/>
      <c r="D218" s="74"/>
      <c r="E218" s="73"/>
      <c r="F218" s="14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ht="12.75" customHeight="1">
      <c r="A219" s="18"/>
      <c r="B219" s="18"/>
      <c r="C219" s="73"/>
      <c r="D219" s="74"/>
      <c r="E219" s="73"/>
      <c r="F219" s="14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ht="12.75" customHeight="1">
      <c r="A220" s="18"/>
      <c r="B220" s="18"/>
      <c r="C220" s="73"/>
      <c r="D220" s="74"/>
      <c r="E220" s="73"/>
      <c r="F220" s="14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ht="12.75" customHeight="1">
      <c r="A221" s="18"/>
      <c r="B221" s="18"/>
      <c r="C221" s="73"/>
      <c r="D221" s="74"/>
      <c r="E221" s="73"/>
      <c r="F221" s="14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2.75" customHeight="1">
      <c r="A222" s="18"/>
      <c r="B222" s="18"/>
      <c r="C222" s="73"/>
      <c r="D222" s="74"/>
      <c r="E222" s="73"/>
      <c r="F222" s="14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2.75" customHeight="1">
      <c r="A223" s="18"/>
      <c r="B223" s="18"/>
      <c r="C223" s="73"/>
      <c r="D223" s="74"/>
      <c r="E223" s="73"/>
      <c r="F223" s="14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2.75" customHeight="1">
      <c r="A224" s="18"/>
      <c r="B224" s="18"/>
      <c r="C224" s="73"/>
      <c r="D224" s="74"/>
      <c r="E224" s="73"/>
      <c r="F224" s="14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2.75" customHeight="1">
      <c r="A225" s="18"/>
      <c r="B225" s="18"/>
      <c r="C225" s="73"/>
      <c r="D225" s="74"/>
      <c r="E225" s="73"/>
      <c r="F225" s="14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2.75" customHeight="1">
      <c r="A226" s="18"/>
      <c r="B226" s="18"/>
      <c r="C226" s="73"/>
      <c r="D226" s="74"/>
      <c r="E226" s="73"/>
      <c r="F226" s="14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2.75" customHeight="1">
      <c r="A227" s="18"/>
      <c r="B227" s="18"/>
      <c r="C227" s="73"/>
      <c r="D227" s="74"/>
      <c r="E227" s="73"/>
      <c r="F227" s="14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2.75" customHeight="1">
      <c r="A228" s="18"/>
      <c r="B228" s="18"/>
      <c r="C228" s="73"/>
      <c r="D228" s="74"/>
      <c r="E228" s="73"/>
      <c r="F228" s="14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2.75" customHeight="1">
      <c r="A229" s="18"/>
      <c r="B229" s="18"/>
      <c r="C229" s="73"/>
      <c r="D229" s="74"/>
      <c r="E229" s="73"/>
      <c r="F229" s="14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2.75" customHeight="1">
      <c r="A230" s="18"/>
      <c r="B230" s="18"/>
      <c r="C230" s="73"/>
      <c r="D230" s="74"/>
      <c r="E230" s="73"/>
      <c r="F230" s="14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2.75" customHeight="1">
      <c r="A231" s="18"/>
      <c r="B231" s="18"/>
      <c r="C231" s="73"/>
      <c r="D231" s="74"/>
      <c r="E231" s="73"/>
      <c r="F231" s="14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2.75" customHeight="1">
      <c r="A232" s="18"/>
      <c r="B232" s="18"/>
      <c r="C232" s="73"/>
      <c r="D232" s="74"/>
      <c r="E232" s="73"/>
      <c r="F232" s="14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2.75" customHeight="1">
      <c r="A233" s="18"/>
      <c r="B233" s="18"/>
      <c r="C233" s="73"/>
      <c r="D233" s="74"/>
      <c r="E233" s="73"/>
      <c r="F233" s="14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2.75" customHeight="1">
      <c r="A234" s="18"/>
      <c r="B234" s="18"/>
      <c r="C234" s="73"/>
      <c r="D234" s="74"/>
      <c r="E234" s="73"/>
      <c r="F234" s="14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2.75" customHeight="1">
      <c r="A235" s="18"/>
      <c r="B235" s="18"/>
      <c r="C235" s="73"/>
      <c r="D235" s="74"/>
      <c r="E235" s="73"/>
      <c r="F235" s="14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2.75" customHeight="1">
      <c r="A236" s="18"/>
      <c r="B236" s="18"/>
      <c r="C236" s="73"/>
      <c r="D236" s="74"/>
      <c r="E236" s="73"/>
      <c r="F236" s="14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2.75" customHeight="1">
      <c r="A237" s="18"/>
      <c r="B237" s="18"/>
      <c r="C237" s="73"/>
      <c r="D237" s="74"/>
      <c r="E237" s="73"/>
      <c r="F237" s="14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2.75" customHeight="1">
      <c r="A238" s="18"/>
      <c r="B238" s="18"/>
      <c r="C238" s="73"/>
      <c r="D238" s="74"/>
      <c r="E238" s="73"/>
      <c r="F238" s="14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2.75" customHeight="1">
      <c r="A239" s="18"/>
      <c r="B239" s="18"/>
      <c r="C239" s="73"/>
      <c r="D239" s="74"/>
      <c r="E239" s="73"/>
      <c r="F239" s="14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2.75" customHeight="1">
      <c r="A240" s="18"/>
      <c r="B240" s="18"/>
      <c r="C240" s="73"/>
      <c r="D240" s="74"/>
      <c r="E240" s="73"/>
      <c r="F240" s="14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2.75" customHeight="1">
      <c r="A241" s="18"/>
      <c r="B241" s="18"/>
      <c r="C241" s="73"/>
      <c r="D241" s="74"/>
      <c r="E241" s="73"/>
      <c r="F241" s="14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2.75" customHeight="1">
      <c r="A242" s="18"/>
      <c r="B242" s="18"/>
      <c r="C242" s="73"/>
      <c r="D242" s="74"/>
      <c r="E242" s="73"/>
      <c r="F242" s="14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2.75" customHeight="1">
      <c r="A243" s="18"/>
      <c r="B243" s="18"/>
      <c r="C243" s="73"/>
      <c r="D243" s="74"/>
      <c r="E243" s="73"/>
      <c r="F243" s="14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2.75" customHeight="1">
      <c r="A244" s="18"/>
      <c r="B244" s="18"/>
      <c r="C244" s="73"/>
      <c r="D244" s="74"/>
      <c r="E244" s="73"/>
      <c r="F244" s="14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2.75" customHeight="1">
      <c r="A245" s="18"/>
      <c r="B245" s="18"/>
      <c r="C245" s="73"/>
      <c r="D245" s="74"/>
      <c r="E245" s="73"/>
      <c r="F245" s="14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2.75" customHeight="1">
      <c r="A246" s="18"/>
      <c r="B246" s="18"/>
      <c r="C246" s="73"/>
      <c r="D246" s="74"/>
      <c r="E246" s="73"/>
      <c r="F246" s="14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2.75" customHeight="1">
      <c r="A247" s="18"/>
      <c r="B247" s="18"/>
      <c r="C247" s="73"/>
      <c r="D247" s="74"/>
      <c r="E247" s="73"/>
      <c r="F247" s="14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2.75" customHeight="1">
      <c r="A248" s="18"/>
      <c r="B248" s="18"/>
      <c r="C248" s="73"/>
      <c r="D248" s="74"/>
      <c r="E248" s="73"/>
      <c r="F248" s="14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2.75" customHeight="1">
      <c r="A249" s="18"/>
      <c r="B249" s="18"/>
      <c r="C249" s="73"/>
      <c r="D249" s="74"/>
      <c r="E249" s="73"/>
      <c r="F249" s="14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2.75" customHeight="1">
      <c r="A250" s="18"/>
      <c r="B250" s="18"/>
      <c r="C250" s="73"/>
      <c r="D250" s="74"/>
      <c r="E250" s="73"/>
      <c r="F250" s="14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2.75" customHeight="1">
      <c r="A251" s="18"/>
      <c r="B251" s="18"/>
      <c r="C251" s="73"/>
      <c r="D251" s="74"/>
      <c r="E251" s="73"/>
      <c r="F251" s="14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2.75" customHeight="1">
      <c r="A252" s="18"/>
      <c r="B252" s="18"/>
      <c r="C252" s="73"/>
      <c r="D252" s="74"/>
      <c r="E252" s="73"/>
      <c r="F252" s="14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2.75" customHeight="1">
      <c r="A253" s="18"/>
      <c r="B253" s="18"/>
      <c r="C253" s="73"/>
      <c r="D253" s="74"/>
      <c r="E253" s="73"/>
      <c r="F253" s="14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2.75" customHeight="1">
      <c r="A254" s="18"/>
      <c r="B254" s="18"/>
      <c r="C254" s="73"/>
      <c r="D254" s="74"/>
      <c r="E254" s="73"/>
      <c r="F254" s="14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2.75" customHeight="1">
      <c r="A255" s="18"/>
      <c r="B255" s="18"/>
      <c r="C255" s="73"/>
      <c r="D255" s="74"/>
      <c r="E255" s="73"/>
      <c r="F255" s="14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2.75" customHeight="1">
      <c r="A256" s="18"/>
      <c r="B256" s="18"/>
      <c r="C256" s="73"/>
      <c r="D256" s="74"/>
      <c r="E256" s="73"/>
      <c r="F256" s="14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2.75" customHeight="1">
      <c r="A257" s="18"/>
      <c r="B257" s="18"/>
      <c r="C257" s="73"/>
      <c r="D257" s="74"/>
      <c r="E257" s="73"/>
      <c r="F257" s="14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2.75" customHeight="1">
      <c r="A258" s="18"/>
      <c r="B258" s="18"/>
      <c r="C258" s="73"/>
      <c r="D258" s="74"/>
      <c r="E258" s="73"/>
      <c r="F258" s="14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2.75" customHeight="1">
      <c r="A259" s="18"/>
      <c r="B259" s="18"/>
      <c r="C259" s="73"/>
      <c r="D259" s="74"/>
      <c r="E259" s="73"/>
      <c r="F259" s="14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2.75" customHeight="1">
      <c r="A260" s="18"/>
      <c r="B260" s="18"/>
      <c r="C260" s="73"/>
      <c r="D260" s="74"/>
      <c r="E260" s="73"/>
      <c r="F260" s="14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2.75" customHeight="1">
      <c r="A261" s="18"/>
      <c r="B261" s="18"/>
      <c r="C261" s="73"/>
      <c r="D261" s="74"/>
      <c r="E261" s="73"/>
      <c r="F261" s="14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2.75" customHeight="1">
      <c r="A262" s="18"/>
      <c r="B262" s="18"/>
      <c r="C262" s="73"/>
      <c r="D262" s="74"/>
      <c r="E262" s="73"/>
      <c r="F262" s="14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2.75" customHeight="1">
      <c r="A263" s="18"/>
      <c r="B263" s="18"/>
      <c r="C263" s="73"/>
      <c r="D263" s="74"/>
      <c r="E263" s="73"/>
      <c r="F263" s="14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2.75" customHeight="1">
      <c r="A264" s="18"/>
      <c r="B264" s="18"/>
      <c r="C264" s="73"/>
      <c r="D264" s="74"/>
      <c r="E264" s="73"/>
      <c r="F264" s="14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2.75" customHeight="1">
      <c r="A265" s="18"/>
      <c r="B265" s="18"/>
      <c r="C265" s="73"/>
      <c r="D265" s="74"/>
      <c r="E265" s="73"/>
      <c r="F265" s="14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2.75" customHeight="1">
      <c r="A266" s="18"/>
      <c r="B266" s="18"/>
      <c r="C266" s="73"/>
      <c r="D266" s="74"/>
      <c r="E266" s="73"/>
      <c r="F266" s="14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2.75" customHeight="1">
      <c r="A267" s="18"/>
      <c r="B267" s="18"/>
      <c r="C267" s="73"/>
      <c r="D267" s="74"/>
      <c r="E267" s="73"/>
      <c r="F267" s="14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2.75" customHeight="1">
      <c r="A268" s="18"/>
      <c r="B268" s="18"/>
      <c r="C268" s="73"/>
      <c r="D268" s="74"/>
      <c r="E268" s="73"/>
      <c r="F268" s="14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2.75" customHeight="1">
      <c r="A269" s="18"/>
      <c r="B269" s="18"/>
      <c r="C269" s="73"/>
      <c r="D269" s="74"/>
      <c r="E269" s="73"/>
      <c r="F269" s="14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2.75" customHeight="1">
      <c r="A270" s="18"/>
      <c r="B270" s="18"/>
      <c r="C270" s="73"/>
      <c r="D270" s="74"/>
      <c r="E270" s="73"/>
      <c r="F270" s="14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2.75" customHeight="1">
      <c r="A271" s="18"/>
      <c r="B271" s="18"/>
      <c r="C271" s="73"/>
      <c r="D271" s="74"/>
      <c r="E271" s="73"/>
      <c r="F271" s="14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2.75" customHeight="1">
      <c r="A272" s="18"/>
      <c r="B272" s="18"/>
      <c r="C272" s="73"/>
      <c r="D272" s="74"/>
      <c r="E272" s="73"/>
      <c r="F272" s="14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2.75" customHeight="1">
      <c r="A273" s="18"/>
      <c r="B273" s="18"/>
      <c r="C273" s="73"/>
      <c r="D273" s="74"/>
      <c r="E273" s="73"/>
      <c r="F273" s="14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2.75" customHeight="1">
      <c r="A274" s="18"/>
      <c r="B274" s="18"/>
      <c r="C274" s="73"/>
      <c r="D274" s="74"/>
      <c r="E274" s="73"/>
      <c r="F274" s="14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2.75" customHeight="1">
      <c r="A275" s="18"/>
      <c r="B275" s="18"/>
      <c r="C275" s="73"/>
      <c r="D275" s="74"/>
      <c r="E275" s="73"/>
      <c r="F275" s="14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2.75" customHeight="1">
      <c r="A276" s="18"/>
      <c r="B276" s="18"/>
      <c r="C276" s="73"/>
      <c r="D276" s="74"/>
      <c r="E276" s="73"/>
      <c r="F276" s="14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2.75" customHeight="1">
      <c r="A277" s="18"/>
      <c r="B277" s="18"/>
      <c r="C277" s="73"/>
      <c r="D277" s="74"/>
      <c r="E277" s="73"/>
      <c r="F277" s="14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2.75" customHeight="1">
      <c r="A278" s="18"/>
      <c r="B278" s="18"/>
      <c r="C278" s="73"/>
      <c r="D278" s="74"/>
      <c r="E278" s="73"/>
      <c r="F278" s="14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2.75" customHeight="1">
      <c r="A279" s="18"/>
      <c r="B279" s="18"/>
      <c r="C279" s="73"/>
      <c r="D279" s="74"/>
      <c r="E279" s="73"/>
      <c r="F279" s="14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2.75" customHeight="1">
      <c r="A280" s="18"/>
      <c r="B280" s="18"/>
      <c r="C280" s="73"/>
      <c r="D280" s="74"/>
      <c r="E280" s="73"/>
      <c r="F280" s="14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2.75" customHeight="1">
      <c r="A281" s="18"/>
      <c r="B281" s="18"/>
      <c r="C281" s="73"/>
      <c r="D281" s="74"/>
      <c r="E281" s="73"/>
      <c r="F281" s="14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2.75" customHeight="1">
      <c r="A282" s="18"/>
      <c r="B282" s="18"/>
      <c r="C282" s="73"/>
      <c r="D282" s="74"/>
      <c r="E282" s="73"/>
      <c r="F282" s="14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2.75" customHeight="1">
      <c r="A283" s="18"/>
      <c r="B283" s="18"/>
      <c r="C283" s="73"/>
      <c r="D283" s="74"/>
      <c r="E283" s="73"/>
      <c r="F283" s="14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2.75" customHeight="1">
      <c r="A284" s="18"/>
      <c r="B284" s="18"/>
      <c r="C284" s="73"/>
      <c r="D284" s="74"/>
      <c r="E284" s="73"/>
      <c r="F284" s="14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2.75" customHeight="1">
      <c r="A285" s="18"/>
      <c r="B285" s="18"/>
      <c r="C285" s="73"/>
      <c r="D285" s="74"/>
      <c r="E285" s="73"/>
      <c r="F285" s="14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2.75" customHeight="1">
      <c r="A286" s="18"/>
      <c r="B286" s="18"/>
      <c r="C286" s="73"/>
      <c r="D286" s="74"/>
      <c r="E286" s="73"/>
      <c r="F286" s="14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2.75" customHeight="1">
      <c r="A287" s="18"/>
      <c r="B287" s="18"/>
      <c r="C287" s="73"/>
      <c r="D287" s="74"/>
      <c r="E287" s="73"/>
      <c r="F287" s="14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2.75" customHeight="1">
      <c r="A288" s="18"/>
      <c r="B288" s="18"/>
      <c r="C288" s="73"/>
      <c r="D288" s="74"/>
      <c r="E288" s="73"/>
      <c r="F288" s="14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2.75" customHeight="1">
      <c r="A289" s="18"/>
      <c r="B289" s="18"/>
      <c r="C289" s="73"/>
      <c r="D289" s="74"/>
      <c r="E289" s="73"/>
      <c r="F289" s="14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2.75" customHeight="1">
      <c r="A290" s="18"/>
      <c r="B290" s="18"/>
      <c r="C290" s="73"/>
      <c r="D290" s="74"/>
      <c r="E290" s="73"/>
      <c r="F290" s="14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2.75" customHeight="1">
      <c r="A291" s="18"/>
      <c r="B291" s="18"/>
      <c r="C291" s="73"/>
      <c r="D291" s="74"/>
      <c r="E291" s="73"/>
      <c r="F291" s="14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2.75" customHeight="1">
      <c r="A292" s="18"/>
      <c r="B292" s="18"/>
      <c r="C292" s="73"/>
      <c r="D292" s="74"/>
      <c r="E292" s="73"/>
      <c r="F292" s="14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2.75" customHeight="1">
      <c r="A293" s="18"/>
      <c r="B293" s="18"/>
      <c r="C293" s="73"/>
      <c r="D293" s="74"/>
      <c r="E293" s="73"/>
      <c r="F293" s="14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2.75" customHeight="1">
      <c r="A294" s="18"/>
      <c r="B294" s="18"/>
      <c r="C294" s="73"/>
      <c r="D294" s="74"/>
      <c r="E294" s="73"/>
      <c r="F294" s="14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2.75" customHeight="1">
      <c r="A295" s="18"/>
      <c r="B295" s="18"/>
      <c r="C295" s="73"/>
      <c r="D295" s="74"/>
      <c r="E295" s="73"/>
      <c r="F295" s="14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2.75" customHeight="1">
      <c r="A296" s="18"/>
      <c r="B296" s="18"/>
      <c r="C296" s="73"/>
      <c r="D296" s="74"/>
      <c r="E296" s="73"/>
      <c r="F296" s="14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2.75" customHeight="1">
      <c r="A297" s="18"/>
      <c r="B297" s="18"/>
      <c r="C297" s="73"/>
      <c r="D297" s="74"/>
      <c r="E297" s="73"/>
      <c r="F297" s="14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2.75" customHeight="1">
      <c r="A298" s="18"/>
      <c r="B298" s="18"/>
      <c r="C298" s="73"/>
      <c r="D298" s="74"/>
      <c r="E298" s="73"/>
      <c r="F298" s="14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2.75" customHeight="1">
      <c r="A299" s="18"/>
      <c r="B299" s="18"/>
      <c r="C299" s="73"/>
      <c r="D299" s="74"/>
      <c r="E299" s="73"/>
      <c r="F299" s="14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2.75" customHeight="1">
      <c r="A300" s="18"/>
      <c r="B300" s="18"/>
      <c r="C300" s="73"/>
      <c r="D300" s="74"/>
      <c r="E300" s="73"/>
      <c r="F300" s="14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2.75" customHeight="1">
      <c r="A301" s="18"/>
      <c r="B301" s="18"/>
      <c r="C301" s="73"/>
      <c r="D301" s="74"/>
      <c r="E301" s="73"/>
      <c r="F301" s="14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2.75" customHeight="1">
      <c r="A302" s="18"/>
      <c r="B302" s="18"/>
      <c r="C302" s="73"/>
      <c r="D302" s="74"/>
      <c r="E302" s="73"/>
      <c r="F302" s="14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2.75" customHeight="1">
      <c r="A303" s="18"/>
      <c r="B303" s="18"/>
      <c r="C303" s="73"/>
      <c r="D303" s="74"/>
      <c r="E303" s="73"/>
      <c r="F303" s="14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2.75" customHeight="1">
      <c r="A304" s="18"/>
      <c r="B304" s="18"/>
      <c r="C304" s="73"/>
      <c r="D304" s="74"/>
      <c r="E304" s="73"/>
      <c r="F304" s="14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2.75" customHeight="1">
      <c r="A305" s="18"/>
      <c r="B305" s="18"/>
      <c r="C305" s="73"/>
      <c r="D305" s="74"/>
      <c r="E305" s="73"/>
      <c r="F305" s="14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2.75" customHeight="1">
      <c r="A306" s="18"/>
      <c r="B306" s="18"/>
      <c r="C306" s="73"/>
      <c r="D306" s="74"/>
      <c r="E306" s="73"/>
      <c r="F306" s="14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2.75" customHeight="1">
      <c r="A307" s="18"/>
      <c r="B307" s="18"/>
      <c r="C307" s="73"/>
      <c r="D307" s="74"/>
      <c r="E307" s="73"/>
      <c r="F307" s="14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2.75" customHeight="1">
      <c r="A308" s="18"/>
      <c r="B308" s="18"/>
      <c r="C308" s="73"/>
      <c r="D308" s="74"/>
      <c r="E308" s="73"/>
      <c r="F308" s="14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2.75" customHeight="1">
      <c r="A309" s="18"/>
      <c r="B309" s="18"/>
      <c r="C309" s="73"/>
      <c r="D309" s="74"/>
      <c r="E309" s="73"/>
      <c r="F309" s="14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2.75" customHeight="1">
      <c r="A310" s="18"/>
      <c r="B310" s="18"/>
      <c r="C310" s="73"/>
      <c r="D310" s="74"/>
      <c r="E310" s="73"/>
      <c r="F310" s="14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2.75" customHeight="1">
      <c r="A311" s="18"/>
      <c r="B311" s="18"/>
      <c r="C311" s="73"/>
      <c r="D311" s="74"/>
      <c r="E311" s="73"/>
      <c r="F311" s="14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2.75" customHeight="1">
      <c r="A312" s="18"/>
      <c r="B312" s="18"/>
      <c r="C312" s="73"/>
      <c r="D312" s="74"/>
      <c r="E312" s="73"/>
      <c r="F312" s="14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2.75" customHeight="1">
      <c r="A313" s="18"/>
      <c r="B313" s="18"/>
      <c r="C313" s="73"/>
      <c r="D313" s="74"/>
      <c r="E313" s="73"/>
      <c r="F313" s="14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2.75" customHeight="1">
      <c r="A314" s="18"/>
      <c r="B314" s="18"/>
      <c r="C314" s="73"/>
      <c r="D314" s="74"/>
      <c r="E314" s="73"/>
      <c r="F314" s="14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2.75" customHeight="1">
      <c r="A315" s="18"/>
      <c r="B315" s="18"/>
      <c r="C315" s="73"/>
      <c r="D315" s="74"/>
      <c r="E315" s="73"/>
      <c r="F315" s="14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2.75" customHeight="1">
      <c r="A316" s="18"/>
      <c r="B316" s="18"/>
      <c r="C316" s="73"/>
      <c r="D316" s="74"/>
      <c r="E316" s="73"/>
      <c r="F316" s="14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2.75" customHeight="1">
      <c r="A317" s="18"/>
      <c r="B317" s="18"/>
      <c r="C317" s="73"/>
      <c r="D317" s="74"/>
      <c r="E317" s="73"/>
      <c r="F317" s="14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2.75" customHeight="1">
      <c r="A318" s="18"/>
      <c r="B318" s="18"/>
      <c r="C318" s="73"/>
      <c r="D318" s="74"/>
      <c r="E318" s="73"/>
      <c r="F318" s="14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2.75" customHeight="1">
      <c r="A319" s="18"/>
      <c r="B319" s="18"/>
      <c r="C319" s="73"/>
      <c r="D319" s="74"/>
      <c r="E319" s="73"/>
      <c r="F319" s="14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2.75" customHeight="1">
      <c r="A320" s="18"/>
      <c r="B320" s="18"/>
      <c r="C320" s="73"/>
      <c r="D320" s="74"/>
      <c r="E320" s="73"/>
      <c r="F320" s="14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2.75" customHeight="1">
      <c r="A321" s="18"/>
      <c r="B321" s="18"/>
      <c r="C321" s="73"/>
      <c r="D321" s="74"/>
      <c r="E321" s="73"/>
      <c r="F321" s="14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2.75" customHeight="1">
      <c r="A322" s="18"/>
      <c r="B322" s="18"/>
      <c r="C322" s="73"/>
      <c r="D322" s="74"/>
      <c r="E322" s="73"/>
      <c r="F322" s="14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2.75" customHeight="1">
      <c r="A323" s="18"/>
      <c r="B323" s="18"/>
      <c r="C323" s="73"/>
      <c r="D323" s="74"/>
      <c r="E323" s="73"/>
      <c r="F323" s="14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2.75" customHeight="1">
      <c r="A324" s="18"/>
      <c r="B324" s="18"/>
      <c r="C324" s="73"/>
      <c r="D324" s="74"/>
      <c r="E324" s="73"/>
      <c r="F324" s="14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2.75" customHeight="1">
      <c r="A325" s="18"/>
      <c r="B325" s="18"/>
      <c r="C325" s="73"/>
      <c r="D325" s="74"/>
      <c r="E325" s="73"/>
      <c r="F325" s="14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2.75" customHeight="1">
      <c r="A326" s="18"/>
      <c r="B326" s="18"/>
      <c r="C326" s="73"/>
      <c r="D326" s="74"/>
      <c r="E326" s="73"/>
      <c r="F326" s="14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2.75" customHeight="1">
      <c r="A327" s="18"/>
      <c r="B327" s="18"/>
      <c r="C327" s="73"/>
      <c r="D327" s="74"/>
      <c r="E327" s="73"/>
      <c r="F327" s="14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2.75" customHeight="1">
      <c r="A328" s="18"/>
      <c r="B328" s="18"/>
      <c r="C328" s="73"/>
      <c r="D328" s="74"/>
      <c r="E328" s="73"/>
      <c r="F328" s="14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2.75" customHeight="1">
      <c r="A329" s="18"/>
      <c r="B329" s="18"/>
      <c r="C329" s="73"/>
      <c r="D329" s="74"/>
      <c r="E329" s="73"/>
      <c r="F329" s="14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2.75" customHeight="1">
      <c r="A330" s="18"/>
      <c r="B330" s="18"/>
      <c r="C330" s="73"/>
      <c r="D330" s="74"/>
      <c r="E330" s="73"/>
      <c r="F330" s="14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2.75" customHeight="1">
      <c r="A331" s="18"/>
      <c r="B331" s="18"/>
      <c r="C331" s="73"/>
      <c r="D331" s="74"/>
      <c r="E331" s="73"/>
      <c r="F331" s="14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2.75" customHeight="1">
      <c r="A332" s="18"/>
      <c r="B332" s="18"/>
      <c r="C332" s="73"/>
      <c r="D332" s="74"/>
      <c r="E332" s="73"/>
      <c r="F332" s="14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2.75" customHeight="1">
      <c r="A333" s="18"/>
      <c r="B333" s="18"/>
      <c r="C333" s="73"/>
      <c r="D333" s="74"/>
      <c r="E333" s="73"/>
      <c r="F333" s="14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2.75" customHeight="1">
      <c r="A334" s="18"/>
      <c r="B334" s="18"/>
      <c r="C334" s="73"/>
      <c r="D334" s="74"/>
      <c r="E334" s="73"/>
      <c r="F334" s="14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2.75" customHeight="1">
      <c r="A335" s="18"/>
      <c r="B335" s="18"/>
      <c r="C335" s="73"/>
      <c r="D335" s="74"/>
      <c r="E335" s="73"/>
      <c r="F335" s="14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2.75" customHeight="1">
      <c r="A336" s="18"/>
      <c r="B336" s="18"/>
      <c r="C336" s="73"/>
      <c r="D336" s="74"/>
      <c r="E336" s="73"/>
      <c r="F336" s="14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2.75" customHeight="1">
      <c r="A337" s="18"/>
      <c r="B337" s="18"/>
      <c r="C337" s="73"/>
      <c r="D337" s="74"/>
      <c r="E337" s="73"/>
      <c r="F337" s="14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2.75" customHeight="1">
      <c r="A338" s="18"/>
      <c r="B338" s="18"/>
      <c r="C338" s="73"/>
      <c r="D338" s="74"/>
      <c r="E338" s="73"/>
      <c r="F338" s="14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2.75" customHeight="1">
      <c r="A339" s="18"/>
      <c r="B339" s="18"/>
      <c r="C339" s="73"/>
      <c r="D339" s="74"/>
      <c r="E339" s="73"/>
      <c r="F339" s="14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2.75" customHeight="1">
      <c r="A340" s="18"/>
      <c r="B340" s="18"/>
      <c r="C340" s="73"/>
      <c r="D340" s="74"/>
      <c r="E340" s="73"/>
      <c r="F340" s="14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2.75" customHeight="1">
      <c r="A341" s="18"/>
      <c r="B341" s="18"/>
      <c r="C341" s="73"/>
      <c r="D341" s="74"/>
      <c r="E341" s="73"/>
      <c r="F341" s="14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2.75" customHeight="1">
      <c r="A342" s="18"/>
      <c r="B342" s="18"/>
      <c r="C342" s="73"/>
      <c r="D342" s="74"/>
      <c r="E342" s="73"/>
      <c r="F342" s="14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2.75" customHeight="1">
      <c r="A343" s="18"/>
      <c r="B343" s="18"/>
      <c r="C343" s="73"/>
      <c r="D343" s="74"/>
      <c r="E343" s="73"/>
      <c r="F343" s="14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2.75" customHeight="1">
      <c r="A344" s="18"/>
      <c r="B344" s="18"/>
      <c r="C344" s="73"/>
      <c r="D344" s="74"/>
      <c r="E344" s="73"/>
      <c r="F344" s="14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2.75" customHeight="1">
      <c r="A345" s="18"/>
      <c r="B345" s="18"/>
      <c r="C345" s="73"/>
      <c r="D345" s="74"/>
      <c r="E345" s="73"/>
      <c r="F345" s="14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2.75" customHeight="1">
      <c r="A346" s="18"/>
      <c r="B346" s="18"/>
      <c r="C346" s="73"/>
      <c r="D346" s="74"/>
      <c r="E346" s="73"/>
      <c r="F346" s="14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2.75" customHeight="1">
      <c r="A347" s="18"/>
      <c r="B347" s="18"/>
      <c r="C347" s="73"/>
      <c r="D347" s="74"/>
      <c r="E347" s="73"/>
      <c r="F347" s="14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2.75" customHeight="1">
      <c r="A348" s="18"/>
      <c r="B348" s="18"/>
      <c r="C348" s="73"/>
      <c r="D348" s="74"/>
      <c r="E348" s="73"/>
      <c r="F348" s="14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2.75" customHeight="1">
      <c r="A349" s="18"/>
      <c r="B349" s="18"/>
      <c r="C349" s="73"/>
      <c r="D349" s="74"/>
      <c r="E349" s="73"/>
      <c r="F349" s="14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2.75" customHeight="1">
      <c r="A350" s="18"/>
      <c r="B350" s="18"/>
      <c r="C350" s="73"/>
      <c r="D350" s="74"/>
      <c r="E350" s="73"/>
      <c r="F350" s="14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2.75" customHeight="1">
      <c r="A351" s="18"/>
      <c r="B351" s="18"/>
      <c r="C351" s="73"/>
      <c r="D351" s="74"/>
      <c r="E351" s="73"/>
      <c r="F351" s="14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2.75" customHeight="1">
      <c r="A352" s="18"/>
      <c r="B352" s="18"/>
      <c r="C352" s="73"/>
      <c r="D352" s="74"/>
      <c r="E352" s="73"/>
      <c r="F352" s="14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2.75" customHeight="1">
      <c r="A353" s="18"/>
      <c r="B353" s="18"/>
      <c r="C353" s="73"/>
      <c r="D353" s="74"/>
      <c r="E353" s="73"/>
      <c r="F353" s="14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2.75" customHeight="1">
      <c r="A354" s="18"/>
      <c r="B354" s="18"/>
      <c r="C354" s="73"/>
      <c r="D354" s="74"/>
      <c r="E354" s="73"/>
      <c r="F354" s="14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2.75" customHeight="1">
      <c r="A355" s="18"/>
      <c r="B355" s="18"/>
      <c r="C355" s="73"/>
      <c r="D355" s="74"/>
      <c r="E355" s="73"/>
      <c r="F355" s="14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2.75" customHeight="1">
      <c r="A356" s="18"/>
      <c r="B356" s="18"/>
      <c r="C356" s="73"/>
      <c r="D356" s="74"/>
      <c r="E356" s="73"/>
      <c r="F356" s="14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2.75" customHeight="1">
      <c r="A357" s="18"/>
      <c r="B357" s="18"/>
      <c r="C357" s="73"/>
      <c r="D357" s="74"/>
      <c r="E357" s="73"/>
      <c r="F357" s="14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2.75" customHeight="1">
      <c r="A358" s="18"/>
      <c r="B358" s="18"/>
      <c r="C358" s="73"/>
      <c r="D358" s="74"/>
      <c r="E358" s="73"/>
      <c r="F358" s="14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2.75" customHeight="1">
      <c r="A359" s="18"/>
      <c r="B359" s="18"/>
      <c r="C359" s="73"/>
      <c r="D359" s="74"/>
      <c r="E359" s="73"/>
      <c r="F359" s="14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2.75" customHeight="1">
      <c r="A360" s="18"/>
      <c r="B360" s="18"/>
      <c r="C360" s="73"/>
      <c r="D360" s="74"/>
      <c r="E360" s="73"/>
      <c r="F360" s="14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2.75" customHeight="1">
      <c r="A361" s="18"/>
      <c r="B361" s="18"/>
      <c r="C361" s="73"/>
      <c r="D361" s="74"/>
      <c r="E361" s="73"/>
      <c r="F361" s="14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2.75" customHeight="1">
      <c r="A362" s="18"/>
      <c r="B362" s="18"/>
      <c r="C362" s="73"/>
      <c r="D362" s="74"/>
      <c r="E362" s="73"/>
      <c r="F362" s="14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2.75" customHeight="1">
      <c r="A363" s="18"/>
      <c r="B363" s="18"/>
      <c r="C363" s="73"/>
      <c r="D363" s="74"/>
      <c r="E363" s="73"/>
      <c r="F363" s="14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2.75" customHeight="1">
      <c r="A364" s="18"/>
      <c r="B364" s="18"/>
      <c r="C364" s="73"/>
      <c r="D364" s="74"/>
      <c r="E364" s="73"/>
      <c r="F364" s="14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2.75" customHeight="1">
      <c r="A365" s="18"/>
      <c r="B365" s="18"/>
      <c r="C365" s="73"/>
      <c r="D365" s="74"/>
      <c r="E365" s="73"/>
      <c r="F365" s="14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2.75" customHeight="1">
      <c r="A366" s="18"/>
      <c r="B366" s="18"/>
      <c r="C366" s="73"/>
      <c r="D366" s="74"/>
      <c r="E366" s="73"/>
      <c r="F366" s="14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2.75" customHeight="1">
      <c r="A367" s="18"/>
      <c r="B367" s="18"/>
      <c r="C367" s="73"/>
      <c r="D367" s="74"/>
      <c r="E367" s="73"/>
      <c r="F367" s="14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2.75" customHeight="1">
      <c r="A368" s="18"/>
      <c r="B368" s="18"/>
      <c r="C368" s="73"/>
      <c r="D368" s="74"/>
      <c r="E368" s="73"/>
      <c r="F368" s="14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2.75" customHeight="1">
      <c r="A369" s="18"/>
      <c r="B369" s="18"/>
      <c r="C369" s="73"/>
      <c r="D369" s="74"/>
      <c r="E369" s="73"/>
      <c r="F369" s="14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2.75" customHeight="1">
      <c r="A370" s="18"/>
      <c r="B370" s="18"/>
      <c r="C370" s="73"/>
      <c r="D370" s="74"/>
      <c r="E370" s="73"/>
      <c r="F370" s="14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2.75" customHeight="1">
      <c r="A371" s="18"/>
      <c r="B371" s="18"/>
      <c r="C371" s="73"/>
      <c r="D371" s="74"/>
      <c r="E371" s="73"/>
      <c r="F371" s="14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2.75" customHeight="1">
      <c r="A372" s="18"/>
      <c r="B372" s="18"/>
      <c r="C372" s="73"/>
      <c r="D372" s="74"/>
      <c r="E372" s="73"/>
      <c r="F372" s="14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2.75" customHeight="1">
      <c r="A373" s="18"/>
      <c r="B373" s="18"/>
      <c r="C373" s="73"/>
      <c r="D373" s="74"/>
      <c r="E373" s="73"/>
      <c r="F373" s="14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2.75" customHeight="1">
      <c r="A374" s="18"/>
      <c r="B374" s="18"/>
      <c r="C374" s="73"/>
      <c r="D374" s="74"/>
      <c r="E374" s="73"/>
      <c r="F374" s="14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2.75" customHeight="1">
      <c r="A375" s="18"/>
      <c r="B375" s="18"/>
      <c r="C375" s="73"/>
      <c r="D375" s="74"/>
      <c r="E375" s="73"/>
      <c r="F375" s="14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2.75" customHeight="1">
      <c r="A376" s="18"/>
      <c r="B376" s="18"/>
      <c r="C376" s="73"/>
      <c r="D376" s="74"/>
      <c r="E376" s="73"/>
      <c r="F376" s="14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2.75" customHeight="1">
      <c r="A377" s="18"/>
      <c r="B377" s="18"/>
      <c r="C377" s="73"/>
      <c r="D377" s="74"/>
      <c r="E377" s="73"/>
      <c r="F377" s="14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2.75" customHeight="1">
      <c r="A378" s="18"/>
      <c r="B378" s="18"/>
      <c r="C378" s="73"/>
      <c r="D378" s="74"/>
      <c r="E378" s="73"/>
      <c r="F378" s="14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2.75" customHeight="1">
      <c r="A379" s="18"/>
      <c r="B379" s="18"/>
      <c r="C379" s="73"/>
      <c r="D379" s="74"/>
      <c r="E379" s="73"/>
      <c r="F379" s="14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2.75" customHeight="1">
      <c r="A380" s="18"/>
      <c r="B380" s="18"/>
      <c r="C380" s="73"/>
      <c r="D380" s="74"/>
      <c r="E380" s="73"/>
      <c r="F380" s="14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2.75" customHeight="1">
      <c r="A381" s="18"/>
      <c r="B381" s="18"/>
      <c r="C381" s="73"/>
      <c r="D381" s="74"/>
      <c r="E381" s="73"/>
      <c r="F381" s="14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2.75" customHeight="1">
      <c r="A382" s="18"/>
      <c r="B382" s="18"/>
      <c r="C382" s="73"/>
      <c r="D382" s="74"/>
      <c r="E382" s="73"/>
      <c r="F382" s="14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2.75" customHeight="1">
      <c r="A383" s="18"/>
      <c r="B383" s="18"/>
      <c r="C383" s="73"/>
      <c r="D383" s="74"/>
      <c r="E383" s="73"/>
      <c r="F383" s="14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2.75" customHeight="1">
      <c r="A384" s="18"/>
      <c r="B384" s="18"/>
      <c r="C384" s="73"/>
      <c r="D384" s="74"/>
      <c r="E384" s="73"/>
      <c r="F384" s="14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2.75" customHeight="1">
      <c r="A385" s="18"/>
      <c r="B385" s="18"/>
      <c r="C385" s="73"/>
      <c r="D385" s="74"/>
      <c r="E385" s="73"/>
      <c r="F385" s="14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2.75" customHeight="1">
      <c r="A386" s="18"/>
      <c r="B386" s="18"/>
      <c r="C386" s="73"/>
      <c r="D386" s="74"/>
      <c r="E386" s="73"/>
      <c r="F386" s="14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2.75" customHeight="1">
      <c r="A387" s="18"/>
      <c r="B387" s="18"/>
      <c r="C387" s="73"/>
      <c r="D387" s="74"/>
      <c r="E387" s="73"/>
      <c r="F387" s="14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2.75" customHeight="1">
      <c r="A388" s="18"/>
      <c r="B388" s="18"/>
      <c r="C388" s="73"/>
      <c r="D388" s="74"/>
      <c r="E388" s="73"/>
      <c r="F388" s="14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2.75" customHeight="1">
      <c r="A389" s="18"/>
      <c r="B389" s="18"/>
      <c r="C389" s="73"/>
      <c r="D389" s="73"/>
      <c r="E389" s="73"/>
      <c r="F389" s="14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2.75" customHeight="1">
      <c r="A390" s="18"/>
      <c r="B390" s="18"/>
      <c r="C390" s="73"/>
      <c r="D390" s="73"/>
      <c r="E390" s="73"/>
      <c r="F390" s="14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2.75" customHeight="1">
      <c r="A391" s="18"/>
      <c r="B391" s="18"/>
      <c r="C391" s="73"/>
      <c r="D391" s="73"/>
      <c r="E391" s="73"/>
      <c r="F391" s="14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2.75" customHeight="1">
      <c r="A392" s="18"/>
      <c r="B392" s="18"/>
      <c r="C392" s="73"/>
      <c r="D392" s="73"/>
      <c r="E392" s="73"/>
      <c r="F392" s="14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2.75" customHeight="1">
      <c r="A393" s="18"/>
      <c r="B393" s="18"/>
      <c r="C393" s="73"/>
      <c r="D393" s="73"/>
      <c r="E393" s="73"/>
      <c r="F393" s="14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2.75" customHeight="1">
      <c r="A394" s="18"/>
      <c r="B394" s="18"/>
      <c r="C394" s="73"/>
      <c r="D394" s="73"/>
      <c r="E394" s="73"/>
      <c r="F394" s="14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2.75" customHeight="1">
      <c r="A395" s="18"/>
      <c r="B395" s="18"/>
      <c r="C395" s="73"/>
      <c r="D395" s="73"/>
      <c r="E395" s="73"/>
      <c r="F395" s="14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2.75" customHeight="1">
      <c r="A396" s="18"/>
      <c r="B396" s="18"/>
      <c r="C396" s="73"/>
      <c r="D396" s="73"/>
      <c r="E396" s="73"/>
      <c r="F396" s="14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2.75" customHeight="1">
      <c r="A397" s="18"/>
      <c r="B397" s="18"/>
      <c r="C397" s="73"/>
      <c r="D397" s="73"/>
      <c r="E397" s="73"/>
      <c r="F397" s="14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2.75" customHeight="1">
      <c r="A398" s="18"/>
      <c r="B398" s="18"/>
      <c r="C398" s="73"/>
      <c r="D398" s="73"/>
      <c r="E398" s="73"/>
      <c r="F398" s="14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2.75" customHeight="1">
      <c r="A399" s="18"/>
      <c r="B399" s="18"/>
      <c r="C399" s="73"/>
      <c r="D399" s="73"/>
      <c r="E399" s="73"/>
      <c r="F399" s="14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2.75" customHeight="1">
      <c r="A400" s="18"/>
      <c r="B400" s="18"/>
      <c r="C400" s="73"/>
      <c r="D400" s="73"/>
      <c r="E400" s="73"/>
      <c r="F400" s="14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2.75" customHeight="1">
      <c r="A401" s="18"/>
      <c r="B401" s="18"/>
      <c r="C401" s="73"/>
      <c r="D401" s="73"/>
      <c r="E401" s="73"/>
      <c r="F401" s="14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2.75" customHeight="1">
      <c r="A402" s="18"/>
      <c r="B402" s="18"/>
      <c r="C402" s="73"/>
      <c r="D402" s="73"/>
      <c r="E402" s="73"/>
      <c r="F402" s="14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2.75" customHeight="1">
      <c r="A403" s="18"/>
      <c r="B403" s="18"/>
      <c r="C403" s="73"/>
      <c r="D403" s="73"/>
      <c r="E403" s="73"/>
      <c r="F403" s="14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1.63"/>
    <col customWidth="1" min="3" max="3" width="17.13"/>
    <col customWidth="1" min="4" max="4" width="37.25"/>
    <col customWidth="1" min="5" max="24" width="12.38"/>
    <col customWidth="1" min="25" max="26" width="13.0"/>
  </cols>
  <sheetData>
    <row r="1" ht="12.75" customHeight="1">
      <c r="A1" s="87" t="s">
        <v>1075</v>
      </c>
      <c r="B1" s="87" t="s">
        <v>1076</v>
      </c>
      <c r="C1" s="87" t="s">
        <v>1077</v>
      </c>
      <c r="D1" s="87" t="s">
        <v>1078</v>
      </c>
      <c r="E1" s="88" t="s">
        <v>1079</v>
      </c>
      <c r="F1" s="88" t="s">
        <v>1080</v>
      </c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 ht="17.25" customHeight="1">
      <c r="A2" s="74" t="s">
        <v>1081</v>
      </c>
      <c r="B2" s="89" t="s">
        <v>1082</v>
      </c>
      <c r="C2" s="89" t="s">
        <v>1083</v>
      </c>
      <c r="D2" s="89" t="s">
        <v>1084</v>
      </c>
      <c r="E2" s="90" t="s">
        <v>1085</v>
      </c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